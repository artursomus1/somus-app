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APP SOMUS\PROJETO - DASHBOARD\BASE\"/>
    </mc:Choice>
  </mc:AlternateContent>
  <xr:revisionPtr revIDLastSave="0" documentId="8_{D1AC3BA5-7BAC-4D3D-BAD7-E801899A08F2}" xr6:coauthVersionLast="47" xr6:coauthVersionMax="47" xr10:uidLastSave="{00000000-0000-0000-0000-000000000000}"/>
  <bookViews>
    <workbookView xWindow="-108" yWindow="-108" windowWidth="23256" windowHeight="12456" activeTab="1" xr2:uid="{D3473488-2D6B-4269-B51A-2FEF1568BEDD}"/>
  </bookViews>
  <sheets>
    <sheet name="CONSOLIDADO" sheetId="1" r:id="rId1"/>
    <sheet name="CONSOLIDADO (3)" sheetId="20" r:id="rId2"/>
    <sheet name="SECUNDÁRIO RF" sheetId="3" r:id="rId3"/>
    <sheet name="PRIMARIO RF" sheetId="17" r:id="rId4"/>
    <sheet name="RENDA VARIAVEL | CORRETAGEM" sheetId="6" r:id="rId5"/>
    <sheet name="RENDA VARIAVEL | ESTRUTURADAS" sheetId="7" r:id="rId6"/>
    <sheet name="CÂMBIO" sheetId="2" r:id="rId7"/>
    <sheet name="FUNDOS FECHADOS" sheetId="4" r:id="rId8"/>
    <sheet name="SECUNDARIO FUNDOS" sheetId="5" r:id="rId9"/>
    <sheet name="COE" sheetId="11" r:id="rId10"/>
  </sheets>
  <definedNames>
    <definedName name="_xlnm._FilterDatabase" localSheetId="6" hidden="1">CÂMBIO!$B$2:$Q$2</definedName>
    <definedName name="_xlnm._FilterDatabase" localSheetId="9" hidden="1">COE!$B$2:$K$61</definedName>
    <definedName name="_xlnm._FilterDatabase" localSheetId="0" hidden="1">CONSOLIDADO!$B$6:$K$38</definedName>
    <definedName name="_xlnm._FilterDatabase" localSheetId="1" hidden="1">'CONSOLIDADO (3)'!$B$6:$K$38</definedName>
    <definedName name="_xlnm._FilterDatabase" localSheetId="7" hidden="1">'FUNDOS FECHADOS'!$B$2:$T$105</definedName>
    <definedName name="_xlnm._FilterDatabase" localSheetId="3" hidden="1">'PRIMARIO RF'!$B$2:$S$68</definedName>
    <definedName name="_xlnm._FilterDatabase" localSheetId="4" hidden="1">'RENDA VARIAVEL | CORRETAGEM'!$B$2:$O$3040</definedName>
    <definedName name="_xlnm._FilterDatabase" localSheetId="8" hidden="1">'SECUNDARIO FUNDOS'!$B$2:$M$28</definedName>
    <definedName name="_xlnm._FilterDatabase" localSheetId="2" hidden="1">'SECUNDÁRIO RF'!$B$2:$R$417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20" l="1"/>
  <c r="I40" i="20"/>
  <c r="H40" i="20"/>
  <c r="G40" i="20"/>
  <c r="F40" i="20"/>
  <c r="E40" i="20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7" i="1"/>
  <c r="I4" i="4"/>
  <c r="I5" i="4"/>
  <c r="I6" i="4"/>
  <c r="I7" i="4"/>
  <c r="I8" i="4"/>
  <c r="I9" i="4"/>
  <c r="I10" i="4"/>
  <c r="I3" i="4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3" i="5"/>
  <c r="K4" i="11"/>
  <c r="K5" i="11"/>
  <c r="K6" i="11"/>
  <c r="K3" i="1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7" i="1"/>
  <c r="U4" i="17"/>
  <c r="U5" i="17"/>
  <c r="U6" i="17"/>
  <c r="U7" i="17"/>
  <c r="U8" i="17"/>
  <c r="U9" i="17"/>
  <c r="U10" i="17"/>
  <c r="U11" i="17"/>
  <c r="U12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3" i="17"/>
  <c r="F7" i="1"/>
  <c r="K40" i="20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7" i="1"/>
  <c r="M40" i="20" l="1"/>
  <c r="L7" i="20"/>
  <c r="K27" i="1"/>
  <c r="H40" i="1"/>
  <c r="G40" i="1"/>
  <c r="J40" i="1"/>
  <c r="E40" i="1"/>
  <c r="F40" i="1"/>
  <c r="K24" i="1"/>
  <c r="K12" i="1"/>
  <c r="K14" i="1"/>
  <c r="K15" i="1"/>
  <c r="K36" i="1"/>
  <c r="K26" i="1"/>
  <c r="K38" i="1"/>
  <c r="K20" i="1"/>
  <c r="K8" i="1"/>
  <c r="K7" i="1"/>
  <c r="K23" i="1"/>
  <c r="K37" i="1"/>
  <c r="K25" i="1"/>
  <c r="K13" i="1"/>
  <c r="K34" i="1"/>
  <c r="K32" i="1"/>
  <c r="K33" i="1"/>
  <c r="K21" i="1"/>
  <c r="K11" i="1"/>
  <c r="K10" i="1"/>
  <c r="K35" i="1"/>
  <c r="K22" i="1"/>
  <c r="K31" i="1"/>
  <c r="K19" i="1"/>
  <c r="K30" i="1"/>
  <c r="K18" i="1"/>
  <c r="K29" i="1"/>
  <c r="K17" i="1"/>
  <c r="K28" i="1"/>
  <c r="K16" i="1"/>
  <c r="I40" i="1" l="1"/>
  <c r="K40" i="1" s="1"/>
  <c r="M40" i="1" s="1"/>
  <c r="K9" i="1"/>
</calcChain>
</file>

<file path=xl/sharedStrings.xml><?xml version="1.0" encoding="utf-8"?>
<sst xmlns="http://schemas.openxmlformats.org/spreadsheetml/2006/main" count="27624" uniqueCount="987">
  <si>
    <t>Data</t>
  </si>
  <si>
    <t>Código Cliente</t>
  </si>
  <si>
    <t>CD_ESCRITORIO</t>
  </si>
  <si>
    <t>NM_ESCRITORIO</t>
  </si>
  <si>
    <t>TP_PESSOA</t>
  </si>
  <si>
    <t>Assessor</t>
  </si>
  <si>
    <t>Lado Cliente</t>
  </si>
  <si>
    <t>Moeda</t>
  </si>
  <si>
    <t>Valor em Moeda Estrangeira</t>
  </si>
  <si>
    <t>Taxa Custo</t>
  </si>
  <si>
    <t>Taxa Cliente</t>
  </si>
  <si>
    <t>Valor em Reais</t>
  </si>
  <si>
    <t>Spread_Medio</t>
  </si>
  <si>
    <t>Receita a dividir</t>
  </si>
  <si>
    <t>DT_MN_CLI</t>
  </si>
  <si>
    <t>DT_ME_CLI</t>
  </si>
  <si>
    <t>SOMUS CAPITAL ASSESSOR DE INVESTIMENTOS LTDA</t>
  </si>
  <si>
    <t>PJ</t>
  </si>
  <si>
    <t>Recebimento</t>
  </si>
  <si>
    <t>Envio</t>
  </si>
  <si>
    <t>PF</t>
  </si>
  <si>
    <t xml:space="preserve">DATA BASE </t>
  </si>
  <si>
    <t>Cód. conta</t>
  </si>
  <si>
    <t>Tipo ativo</t>
  </si>
  <si>
    <t>Ticker</t>
  </si>
  <si>
    <t>Nome papel</t>
  </si>
  <si>
    <t>Indexador</t>
  </si>
  <si>
    <t>Vencimento</t>
  </si>
  <si>
    <t>Tipo juros</t>
  </si>
  <si>
    <t>Tipo operação</t>
  </si>
  <si>
    <t>Quantidade</t>
  </si>
  <si>
    <t>Volume</t>
  </si>
  <si>
    <t>PU Cliente</t>
  </si>
  <si>
    <t>PU TMR</t>
  </si>
  <si>
    <t>Taxa TMR</t>
  </si>
  <si>
    <t>Título Público</t>
  </si>
  <si>
    <t>100000</t>
  </si>
  <si>
    <t>PRE</t>
  </si>
  <si>
    <t>EB LD - Revolvência XP - Isento</t>
  </si>
  <si>
    <t>CDI</t>
  </si>
  <si>
    <t>APLICAÇÃO</t>
  </si>
  <si>
    <t>RESGATE</t>
  </si>
  <si>
    <t>Crédito Privado</t>
  </si>
  <si>
    <t>IPC-A</t>
  </si>
  <si>
    <t>Semestral</t>
  </si>
  <si>
    <t>EB s/ Liquidez</t>
  </si>
  <si>
    <t>Mensal</t>
  </si>
  <si>
    <t>25C04008336</t>
  </si>
  <si>
    <t>LCD BNDES - MAR/2030</t>
  </si>
  <si>
    <t>24L02792805</t>
  </si>
  <si>
    <t>LCD BNDES - DEZ/2029</t>
  </si>
  <si>
    <t>760199</t>
  </si>
  <si>
    <t>NTN-B - MAI/2035</t>
  </si>
  <si>
    <t>24L01568479</t>
  </si>
  <si>
    <t>NTN-B - AGO/2032</t>
  </si>
  <si>
    <t>760198</t>
  </si>
  <si>
    <t>Anual</t>
  </si>
  <si>
    <t>210100</t>
  </si>
  <si>
    <t>LFT - SET/2027</t>
  </si>
  <si>
    <t>LFT</t>
  </si>
  <si>
    <t>25F02730791</t>
  </si>
  <si>
    <t>LCD BNDES - JUN/2030</t>
  </si>
  <si>
    <t>25C04008340</t>
  </si>
  <si>
    <t>LFT - MAR/2028</t>
  </si>
  <si>
    <t>EB LD - Liquidez Efetiva - Isento</t>
  </si>
  <si>
    <t>25F02196951</t>
  </si>
  <si>
    <t>LCA BANCO COOPERATIVO SICOOB - MAI/2030</t>
  </si>
  <si>
    <t>LFT - SET/2028</t>
  </si>
  <si>
    <t>25C04008335</t>
  </si>
  <si>
    <t>NTN-B - AGO/2028</t>
  </si>
  <si>
    <t>25H03351318</t>
  </si>
  <si>
    <t>LCD BNDES - AGO/2035</t>
  </si>
  <si>
    <t>LCI BRB - ABR/2026</t>
  </si>
  <si>
    <t>CRA0240086L</t>
  </si>
  <si>
    <t>CRA SEARA - SET/2044</t>
  </si>
  <si>
    <t>NTN-B - MAI/2029</t>
  </si>
  <si>
    <t>25H03351317</t>
  </si>
  <si>
    <t>25C04008333</t>
  </si>
  <si>
    <t>25H02179108</t>
  </si>
  <si>
    <t>LCD BNDES - JUL/2032</t>
  </si>
  <si>
    <t>25H02179110</t>
  </si>
  <si>
    <t>LCD BNDES - JUL/2035</t>
  </si>
  <si>
    <t>LCA BANCO COOPERATIVO SICOOB - ABR/2030</t>
  </si>
  <si>
    <t>NTN-B - AGO/2030</t>
  </si>
  <si>
    <t>LCA BANCO JOHN DEERE S.A. - JUL/2029</t>
  </si>
  <si>
    <t>CRI DIRECIONAL - NOV/2028</t>
  </si>
  <si>
    <t>LCA ORIGINAL - NOV/2028</t>
  </si>
  <si>
    <t>LCA BTG PACTUAL - AGO/2027</t>
  </si>
  <si>
    <t>950199</t>
  </si>
  <si>
    <t>CDB AFINZ - JUL/2027</t>
  </si>
  <si>
    <t>LTN - JUL/2026</t>
  </si>
  <si>
    <t>CRA025002S1</t>
  </si>
  <si>
    <t>CRA MINERVA - ABR/2030</t>
  </si>
  <si>
    <t>25F06930932</t>
  </si>
  <si>
    <t>LCI BRB - JUN/2026</t>
  </si>
  <si>
    <t>CRA023000MC</t>
  </si>
  <si>
    <t>CRA VAMOS - JAN/2030</t>
  </si>
  <si>
    <t>NTN-B - MAI/2033</t>
  </si>
  <si>
    <t>25C04008338</t>
  </si>
  <si>
    <t>CDB ORIGINAL - JAN/2031</t>
  </si>
  <si>
    <t>LCI BRB - AGO/2026</t>
  </si>
  <si>
    <t>25H04002165</t>
  </si>
  <si>
    <t>CPRF KLABIN - AGO/2035</t>
  </si>
  <si>
    <t>LCA ORIGINAL - DEZ/2028</t>
  </si>
  <si>
    <t>CRA024002MI</t>
  </si>
  <si>
    <t>CRA JF CITRUS - MAR/2029</t>
  </si>
  <si>
    <t>CRA025008SY</t>
  </si>
  <si>
    <t>CRA JF CITRUS - OUT/2030</t>
  </si>
  <si>
    <t>24I02422877</t>
  </si>
  <si>
    <t>LCA ORIGINAL - MAR/2026</t>
  </si>
  <si>
    <t>CRA024001Q9</t>
  </si>
  <si>
    <t>CRA ZAMP - FEV/2029</t>
  </si>
  <si>
    <t>LCI BRB - MAI/2026</t>
  </si>
  <si>
    <t>LCA BANCO COOPERATIVO SICOOB - MAR/2030</t>
  </si>
  <si>
    <t>25F08579517</t>
  </si>
  <si>
    <t>LCA BANCO COOPERATIVO SICOOB - JUN/2030</t>
  </si>
  <si>
    <t>LCA BRB - MAI/2026</t>
  </si>
  <si>
    <t>NTN-B Principal - AGO/2028</t>
  </si>
  <si>
    <t>NTN-B Principal - MAI/2035</t>
  </si>
  <si>
    <t>25F07417532</t>
  </si>
  <si>
    <t>25D02422221</t>
  </si>
  <si>
    <t>24L01568469</t>
  </si>
  <si>
    <t>LCD BNDES - DEZ/2028</t>
  </si>
  <si>
    <t>25I03751607</t>
  </si>
  <si>
    <t>LCI BRB - SET/2026</t>
  </si>
  <si>
    <t>NTN-B - AGO/2050</t>
  </si>
  <si>
    <t>25E03155031</t>
  </si>
  <si>
    <t>LCI BRB - NOV/2026</t>
  </si>
  <si>
    <t>25L03013398</t>
  </si>
  <si>
    <t>LCI POUPEX - DEZ/2027</t>
  </si>
  <si>
    <t>Marca</t>
  </si>
  <si>
    <t>Código Oferta</t>
  </si>
  <si>
    <t>Ativo</t>
  </si>
  <si>
    <t>Nome Oferta</t>
  </si>
  <si>
    <t>Status Oferta</t>
  </si>
  <si>
    <t>Data Liquidação</t>
  </si>
  <si>
    <t>Fee</t>
  </si>
  <si>
    <t>Cliente</t>
  </si>
  <si>
    <t>Oferta por Quantidade</t>
  </si>
  <si>
    <t>Valor/Qtde Reserva</t>
  </si>
  <si>
    <t>Preço Solicitado</t>
  </si>
  <si>
    <t>Valor/Qtde Exercido</t>
  </si>
  <si>
    <t>Modalidade</t>
  </si>
  <si>
    <t>Status Reserva</t>
  </si>
  <si>
    <t>Status Push</t>
  </si>
  <si>
    <t>Erros</t>
  </si>
  <si>
    <t>Validação de Garantia</t>
  </si>
  <si>
    <t>Sim</t>
  </si>
  <si>
    <t>Solicitado</t>
  </si>
  <si>
    <t>JHSF Capital Malls Feeder FII RL</t>
  </si>
  <si>
    <t>SOMUS CAPITAL</t>
  </si>
  <si>
    <t>Riza Malls Feeder FII RL</t>
  </si>
  <si>
    <t>Maua Lajes Corporativas Feeder FII RL - Senior</t>
  </si>
  <si>
    <t>Verde A&amp;I Portfolio Renda Mais FII RL</t>
  </si>
  <si>
    <t>Comissão</t>
  </si>
  <si>
    <t>Canal</t>
  </si>
  <si>
    <t>BCPX39</t>
  </si>
  <si>
    <t>MELI34</t>
  </si>
  <si>
    <t>BSLV39</t>
  </si>
  <si>
    <t>INBR32</t>
  </si>
  <si>
    <t>VALE3</t>
  </si>
  <si>
    <t>GOLD11</t>
  </si>
  <si>
    <t>AXIA3</t>
  </si>
  <si>
    <t>CPLE3</t>
  </si>
  <si>
    <t>ITUB4</t>
  </si>
  <si>
    <t>SOJA3</t>
  </si>
  <si>
    <t>MBRF3</t>
  </si>
  <si>
    <t>NATU3</t>
  </si>
  <si>
    <t>Código do Cliente</t>
  </si>
  <si>
    <t>Renda Fixa (Primário + Secundário)</t>
  </si>
  <si>
    <t>Renda Variavel (Corretagem)</t>
  </si>
  <si>
    <t>Renda Variavel (PE)</t>
  </si>
  <si>
    <t xml:space="preserve">Câmbio </t>
  </si>
  <si>
    <t>Fundos Fechados (Primário + Secundário)</t>
  </si>
  <si>
    <t>NICOLAS KERSUL</t>
  </si>
  <si>
    <t>LUCAS GEORGINI</t>
  </si>
  <si>
    <t>VICTOR GODOY</t>
  </si>
  <si>
    <t>TAMIRES TEODORO</t>
  </si>
  <si>
    <t>JOÃO VICTOR MORAIS</t>
  </si>
  <si>
    <t>LUCA BELLANDI</t>
  </si>
  <si>
    <t>ALEXANDRE ACHUI</t>
  </si>
  <si>
    <t>GUILHERME PRAXEDES</t>
  </si>
  <si>
    <t>CINTIA BASSI</t>
  </si>
  <si>
    <t>LUCIANO FERES</t>
  </si>
  <si>
    <t>SERGIO FREIRE</t>
  </si>
  <si>
    <t>ARTUR BRITO</t>
  </si>
  <si>
    <t>RAFAEL PEREIRA</t>
  </si>
  <si>
    <t>PEDRO GONÇALVES</t>
  </si>
  <si>
    <t>GUILHERME LEITE</t>
  </si>
  <si>
    <t>EDUARDO SILVEIRA</t>
  </si>
  <si>
    <t>VALDECY LEITE</t>
  </si>
  <si>
    <t>JOAO PEDRO GUIMARAES</t>
  </si>
  <si>
    <t>DIOGO LUZ</t>
  </si>
  <si>
    <t>ERICK VIANNA</t>
  </si>
  <si>
    <t>BRUNO TORRES</t>
  </si>
  <si>
    <t>ANDRE ZENITO</t>
  </si>
  <si>
    <t>JULIA ESPINDOLA</t>
  </si>
  <si>
    <t>CAE BRANDÃO</t>
  </si>
  <si>
    <t>FILIPE MALDONADO</t>
  </si>
  <si>
    <t>MARCOS BAHIA</t>
  </si>
  <si>
    <t>PATRICIA LANGONI</t>
  </si>
  <si>
    <t>PEDRO MARINS</t>
  </si>
  <si>
    <t>BERNARDO LASMAR</t>
  </si>
  <si>
    <t>LUIZ ARAUJO</t>
  </si>
  <si>
    <t>VINICIUS BUENO</t>
  </si>
  <si>
    <t>CANDIDO GONÇALVES</t>
  </si>
  <si>
    <t>Nome Assessor</t>
  </si>
  <si>
    <t>Cód. ssessor</t>
  </si>
  <si>
    <t>Código do ssessor</t>
  </si>
  <si>
    <t>Receita Geral</t>
  </si>
  <si>
    <t>PRODUTOS</t>
  </si>
  <si>
    <t>COE</t>
  </si>
  <si>
    <t>Liquidada</t>
  </si>
  <si>
    <t>Primaria</t>
  </si>
  <si>
    <t>Solicitada</t>
  </si>
  <si>
    <t>Comissão %</t>
  </si>
  <si>
    <t>Situação</t>
  </si>
  <si>
    <t>Financeiro</t>
  </si>
  <si>
    <t>Hora</t>
  </si>
  <si>
    <t>Tipo</t>
  </si>
  <si>
    <t>Receita</t>
  </si>
  <si>
    <t>Conta</t>
  </si>
  <si>
    <t>Suitability</t>
  </si>
  <si>
    <t>Matriz</t>
  </si>
  <si>
    <t>Qtd</t>
  </si>
  <si>
    <t>Corretagem</t>
  </si>
  <si>
    <t>Volume Negociado</t>
  </si>
  <si>
    <t>Produto</t>
  </si>
  <si>
    <t>Tipo de Corretagem</t>
  </si>
  <si>
    <t>Mercado</t>
  </si>
  <si>
    <t>Lado</t>
  </si>
  <si>
    <t>AGRESSIVO</t>
  </si>
  <si>
    <t>LFTB11</t>
  </si>
  <si>
    <t>Opções</t>
  </si>
  <si>
    <t>Push</t>
  </si>
  <si>
    <t>Variavel</t>
  </si>
  <si>
    <t>BOV</t>
  </si>
  <si>
    <t>Compra</t>
  </si>
  <si>
    <t>BRAV3</t>
  </si>
  <si>
    <t>Ações</t>
  </si>
  <si>
    <t>Venda</t>
  </si>
  <si>
    <t>Exercício</t>
  </si>
  <si>
    <t>Exercicio</t>
  </si>
  <si>
    <t>TIMS3</t>
  </si>
  <si>
    <t>IVVB11</t>
  </si>
  <si>
    <t>Mesa</t>
  </si>
  <si>
    <t>PETR4</t>
  </si>
  <si>
    <t>AZZA3</t>
  </si>
  <si>
    <t>CEAB3</t>
  </si>
  <si>
    <t>Estruturadas</t>
  </si>
  <si>
    <t>LREN3</t>
  </si>
  <si>
    <t>CPFE3</t>
  </si>
  <si>
    <t>TECK11T</t>
  </si>
  <si>
    <t>Termo</t>
  </si>
  <si>
    <t>ENEV3</t>
  </si>
  <si>
    <t>JBSS32</t>
  </si>
  <si>
    <t>BDR</t>
  </si>
  <si>
    <t>TECK11</t>
  </si>
  <si>
    <t>RECV3</t>
  </si>
  <si>
    <t>GGBR4</t>
  </si>
  <si>
    <t>MODERADO</t>
  </si>
  <si>
    <t>AAPL34</t>
  </si>
  <si>
    <t>GOGL34</t>
  </si>
  <si>
    <t>ITSA4</t>
  </si>
  <si>
    <t>FPA</t>
  </si>
  <si>
    <t>BMF</t>
  </si>
  <si>
    <t>CDII11</t>
  </si>
  <si>
    <t>FII</t>
  </si>
  <si>
    <t>GOAU4</t>
  </si>
  <si>
    <t>NFLX34</t>
  </si>
  <si>
    <t>NÃO ENCONTRADO</t>
  </si>
  <si>
    <t>CXSE3</t>
  </si>
  <si>
    <t>POMO4</t>
  </si>
  <si>
    <t>M1TA34</t>
  </si>
  <si>
    <t>DIRR3</t>
  </si>
  <si>
    <t>BBAS3</t>
  </si>
  <si>
    <t>CYRE3</t>
  </si>
  <si>
    <t>CURY3</t>
  </si>
  <si>
    <t>RENT3</t>
  </si>
  <si>
    <t>PSSA3</t>
  </si>
  <si>
    <t>MSFT34</t>
  </si>
  <si>
    <t>FCA</t>
  </si>
  <si>
    <t>ENGI11</t>
  </si>
  <si>
    <t>CMIG4</t>
  </si>
  <si>
    <t>RDOR3</t>
  </si>
  <si>
    <t>BPAC11</t>
  </si>
  <si>
    <t>BBSE3</t>
  </si>
  <si>
    <t>ALOS3</t>
  </si>
  <si>
    <t>KLBN11</t>
  </si>
  <si>
    <t>BBDC4</t>
  </si>
  <si>
    <t>ABEV3</t>
  </si>
  <si>
    <t>VGIR11</t>
  </si>
  <si>
    <t>HASH11</t>
  </si>
  <si>
    <t>GARE11</t>
  </si>
  <si>
    <t>SLXB39</t>
  </si>
  <si>
    <t>RZTR11</t>
  </si>
  <si>
    <t>TOTS3</t>
  </si>
  <si>
    <t>IGTI11</t>
  </si>
  <si>
    <t>B3SA3</t>
  </si>
  <si>
    <t>BDIF11</t>
  </si>
  <si>
    <t>BITH11</t>
  </si>
  <si>
    <t>CPTS11</t>
  </si>
  <si>
    <t>CSAN3</t>
  </si>
  <si>
    <t>CSED3</t>
  </si>
  <si>
    <t>HGCR11</t>
  </si>
  <si>
    <t>KNCR11</t>
  </si>
  <si>
    <t>KNSC11</t>
  </si>
  <si>
    <t>LWSA3</t>
  </si>
  <si>
    <t>PVBI11</t>
  </si>
  <si>
    <t>RADL3</t>
  </si>
  <si>
    <t>RBRY11</t>
  </si>
  <si>
    <t>VILG11</t>
  </si>
  <si>
    <t>XPIE11</t>
  </si>
  <si>
    <t>XPML11</t>
  </si>
  <si>
    <t>SMFT3</t>
  </si>
  <si>
    <t>RBRR11</t>
  </si>
  <si>
    <t>AURA33</t>
  </si>
  <si>
    <t>PRIO3</t>
  </si>
  <si>
    <t>SBSP3</t>
  </si>
  <si>
    <t>VIVT3</t>
  </si>
  <si>
    <t>EQTL3</t>
  </si>
  <si>
    <t>BRCO11</t>
  </si>
  <si>
    <t>BTLG11</t>
  </si>
  <si>
    <t>HFOF11</t>
  </si>
  <si>
    <t>MCCI11</t>
  </si>
  <si>
    <t>RBRX11</t>
  </si>
  <si>
    <t>TEPP11</t>
  </si>
  <si>
    <t>XPCI11</t>
  </si>
  <si>
    <t>JSRE11</t>
  </si>
  <si>
    <t>VALE3F</t>
  </si>
  <si>
    <t>Ação Fração</t>
  </si>
  <si>
    <t>MCRE11</t>
  </si>
  <si>
    <t>VBBR3</t>
  </si>
  <si>
    <t>BBDC3</t>
  </si>
  <si>
    <t>AXIA7</t>
  </si>
  <si>
    <t>SBSP3F</t>
  </si>
  <si>
    <t>ORVR3F</t>
  </si>
  <si>
    <t>SANB11</t>
  </si>
  <si>
    <t>AXIA6</t>
  </si>
  <si>
    <t>TGAR11</t>
  </si>
  <si>
    <t>BPAC11F</t>
  </si>
  <si>
    <t>ENGI11F</t>
  </si>
  <si>
    <t>CSMG3F</t>
  </si>
  <si>
    <t>AXIA3F</t>
  </si>
  <si>
    <t>RDOR3F</t>
  </si>
  <si>
    <t>ITUB4F</t>
  </si>
  <si>
    <t>GGBR4F</t>
  </si>
  <si>
    <t>GOAU4F</t>
  </si>
  <si>
    <t>IGTI11F</t>
  </si>
  <si>
    <t>RENT3F</t>
  </si>
  <si>
    <t>PRIO3F</t>
  </si>
  <si>
    <t>NDIV11</t>
  </si>
  <si>
    <t>PSSA3F</t>
  </si>
  <si>
    <t>MANA11</t>
  </si>
  <si>
    <t>LVBI11</t>
  </si>
  <si>
    <t>GGRC11</t>
  </si>
  <si>
    <t>SUZB3F</t>
  </si>
  <si>
    <t>NVDC34</t>
  </si>
  <si>
    <t>EQTL3F</t>
  </si>
  <si>
    <t>SANB11F</t>
  </si>
  <si>
    <t>VIVT3F</t>
  </si>
  <si>
    <t>PETR4F</t>
  </si>
  <si>
    <t>RZAK11</t>
  </si>
  <si>
    <t>CURY3F</t>
  </si>
  <si>
    <t>SPXS11</t>
  </si>
  <si>
    <t>BBSE3F</t>
  </si>
  <si>
    <t>VIVA3F</t>
  </si>
  <si>
    <t>ICRI11</t>
  </si>
  <si>
    <t>CPFE3F</t>
  </si>
  <si>
    <t>CSMG3</t>
  </si>
  <si>
    <t>BIDU34</t>
  </si>
  <si>
    <t>BTHF11</t>
  </si>
  <si>
    <t>AXIA6F</t>
  </si>
  <si>
    <t>RBVA11</t>
  </si>
  <si>
    <t>ALOS3F</t>
  </si>
  <si>
    <t>BODB11</t>
  </si>
  <si>
    <t>BRBI11F</t>
  </si>
  <si>
    <t>CYRE3F</t>
  </si>
  <si>
    <t>AXIA7F</t>
  </si>
  <si>
    <t>ITSA4F</t>
  </si>
  <si>
    <t>CXSE3F</t>
  </si>
  <si>
    <t>DIRR3F</t>
  </si>
  <si>
    <t>BERK34</t>
  </si>
  <si>
    <t>MBRF3F</t>
  </si>
  <si>
    <t>BBDC4F</t>
  </si>
  <si>
    <t>B3SA3F</t>
  </si>
  <si>
    <t>KNHF11</t>
  </si>
  <si>
    <t>CMIG4F</t>
  </si>
  <si>
    <t>CPLE3F</t>
  </si>
  <si>
    <t>TIMS3F</t>
  </si>
  <si>
    <t>ORVR3</t>
  </si>
  <si>
    <t>RECV3F</t>
  </si>
  <si>
    <t>KNCA11</t>
  </si>
  <si>
    <t>TRXF11</t>
  </si>
  <si>
    <t>CPSH11</t>
  </si>
  <si>
    <t>POMO4F</t>
  </si>
  <si>
    <t>RZAG11</t>
  </si>
  <si>
    <t>ALZR11</t>
  </si>
  <si>
    <t>HODL11</t>
  </si>
  <si>
    <t>VGHF11</t>
  </si>
  <si>
    <t>FGAA11</t>
  </si>
  <si>
    <t>PCIP11</t>
  </si>
  <si>
    <t>BTCI11</t>
  </si>
  <si>
    <t>BMOB3</t>
  </si>
  <si>
    <t>KLBN11F</t>
  </si>
  <si>
    <t>XPLG11</t>
  </si>
  <si>
    <t>HGRU11</t>
  </si>
  <si>
    <t>WEGE3</t>
  </si>
  <si>
    <t>WEGE3F</t>
  </si>
  <si>
    <t>SUZB3</t>
  </si>
  <si>
    <t>VGIP11</t>
  </si>
  <si>
    <t>RAPT4</t>
  </si>
  <si>
    <t>VIVA3</t>
  </si>
  <si>
    <t>KNRI11</t>
  </si>
  <si>
    <t>MILS3</t>
  </si>
  <si>
    <t>RBHG11</t>
  </si>
  <si>
    <t>GTWR11</t>
  </si>
  <si>
    <t>RZAT11</t>
  </si>
  <si>
    <t>VISC11</t>
  </si>
  <si>
    <t>JSAF11</t>
  </si>
  <si>
    <t>EMBJ3F</t>
  </si>
  <si>
    <t>MXRF11</t>
  </si>
  <si>
    <t>VULC3</t>
  </si>
  <si>
    <t>VBBR3F</t>
  </si>
  <si>
    <t>SMFT3F</t>
  </si>
  <si>
    <t>BROF11</t>
  </si>
  <si>
    <t>OUJP11</t>
  </si>
  <si>
    <t xml:space="preserve">Cod </t>
  </si>
  <si>
    <t>TOTAL</t>
  </si>
  <si>
    <t>Equipe</t>
  </si>
  <si>
    <t>LEBLON</t>
  </si>
  <si>
    <t>SP</t>
  </si>
  <si>
    <t>CORPORATE</t>
  </si>
  <si>
    <t>BACKOFFICE</t>
  </si>
  <si>
    <t>BARRA</t>
  </si>
  <si>
    <t>ANYWHERE</t>
  </si>
  <si>
    <t>JURO11</t>
  </si>
  <si>
    <t>LIGT3</t>
  </si>
  <si>
    <t>CRA025003PJ</t>
  </si>
  <si>
    <t>CRA SEARA (JBS) - MAI/2055</t>
  </si>
  <si>
    <t>CRA025009EZ</t>
  </si>
  <si>
    <t>CRA SEARA (JBS) - OUT/2065</t>
  </si>
  <si>
    <t>25C04008337</t>
  </si>
  <si>
    <t>PGMN3</t>
  </si>
  <si>
    <t>TTEN3</t>
  </si>
  <si>
    <t>QBTC11</t>
  </si>
  <si>
    <t>QETH11</t>
  </si>
  <si>
    <t>QSOL11</t>
  </si>
  <si>
    <t>HSML11</t>
  </si>
  <si>
    <t>RAPT4F</t>
  </si>
  <si>
    <t>FLRY3</t>
  </si>
  <si>
    <t>BRAV3F</t>
  </si>
  <si>
    <t>FLRY3F</t>
  </si>
  <si>
    <t>BRBI11</t>
  </si>
  <si>
    <t>MILS3F</t>
  </si>
  <si>
    <t>SMAL11</t>
  </si>
  <si>
    <t>RADL3F</t>
  </si>
  <si>
    <t>UGPA3</t>
  </si>
  <si>
    <t>DIVS11</t>
  </si>
  <si>
    <t>VCJR11</t>
  </si>
  <si>
    <t>ITSA3F</t>
  </si>
  <si>
    <t>PETRC395</t>
  </si>
  <si>
    <t>ITUBB458E</t>
  </si>
  <si>
    <t>PETRB340E</t>
  </si>
  <si>
    <t>KLBNB204E</t>
  </si>
  <si>
    <t>ITSAB150E</t>
  </si>
  <si>
    <t>BBASB26E</t>
  </si>
  <si>
    <t>Totalmente executado</t>
  </si>
  <si>
    <t>AZQA11 - AZ Quest Luna - FIAgro</t>
  </si>
  <si>
    <t>IMOV11 - Navi Hedge Fund</t>
  </si>
  <si>
    <t>CLIENTE</t>
  </si>
  <si>
    <t>ANDREIA CLEMENTE ZURLINI</t>
  </si>
  <si>
    <t>CARLOS HENRIQUE SENNA MEDEIROS</t>
  </si>
  <si>
    <t>ALESSANDRA FAGUNDES</t>
  </si>
  <si>
    <t>BEATRIZ HELENA FERREIRA MORTARI</t>
  </si>
  <si>
    <t>BERNARDO ABRAMOFF LISNOVETZKY</t>
  </si>
  <si>
    <t>MARCIA LURDES DE CACIA PRADELLA HALLINAN</t>
  </si>
  <si>
    <t>FRANCISCO GUILHIEN GOMES JUNIOR</t>
  </si>
  <si>
    <t>GILBERTO FERNANDES ROLHA</t>
  </si>
  <si>
    <t>ANALU FERREIRA DE ALMEIDA</t>
  </si>
  <si>
    <t>GIULIANA GIACOMETTI KOWALSKI</t>
  </si>
  <si>
    <t>EDUARDO AUGUSTO RIBEIRO MAGALHAES</t>
  </si>
  <si>
    <t>ROBERTO CARLOS MAZIE</t>
  </si>
  <si>
    <t>GABRIEL BORGHI MOREIRA CARVALHO</t>
  </si>
  <si>
    <t>ALESSANDRA BANASZESKI DA SILVA</t>
  </si>
  <si>
    <t>RIVELINO TRINDADE DE AZEVEDO</t>
  </si>
  <si>
    <t>PATRICIA MARIA FERREIRA MORTARI</t>
  </si>
  <si>
    <t>OSWALDO JOSE LAVINAS JARDIM</t>
  </si>
  <si>
    <t>LUIZ CARLOS GONCALVES GASPAR</t>
  </si>
  <si>
    <t>FELLIPE PETERSEN IORIO PEREIRA</t>
  </si>
  <si>
    <t>BRUNO BARKI GAMEZ</t>
  </si>
  <si>
    <t>MAURICIO ALVARES AGEIA</t>
  </si>
  <si>
    <t>ISABELA DE SOUZA TELO</t>
  </si>
  <si>
    <t>MARIA LUCIA DE OLIVEIRA MIRAS</t>
  </si>
  <si>
    <t>ALAN GOMES OMAR</t>
  </si>
  <si>
    <t>ANNA CECILIA TOSTES NEWLANDS FREIRE</t>
  </si>
  <si>
    <t>SILVIA PENEDO ALVES DA COSTA</t>
  </si>
  <si>
    <t>RAFAEL MARINO CORREA DE SA MAQUIEIRA</t>
  </si>
  <si>
    <t>PEDRO GUSTAVO GONCALVES PEREIRA RAMIRES</t>
  </si>
  <si>
    <t>JAMILLE SCARLET PERES NEDEFF</t>
  </si>
  <si>
    <t>RICARDO SOUZA DIAS</t>
  </si>
  <si>
    <t>FELIPE GELLIS GARCIA</t>
  </si>
  <si>
    <t>BRUNO MARCAL DE FREITAS</t>
  </si>
  <si>
    <t>AVELINO PEREIRA DOS SANTOS JUNIOR</t>
  </si>
  <si>
    <t>SILVANA GIL PERES DOS SANTOS</t>
  </si>
  <si>
    <t>EDUARDO HENRIQUE MORIZOT LEITE</t>
  </si>
  <si>
    <t>LUIZA LEIRIA LEITAO DIAS</t>
  </si>
  <si>
    <t>SONIA MARIA SCHROEDER VIEIRA</t>
  </si>
  <si>
    <t>AZPR11 - AZ Quest Panorama Crédito Imob.</t>
  </si>
  <si>
    <t>VGPR11 - Valora Imobiliário Multiestratégia Premium</t>
  </si>
  <si>
    <t>JiveMauá BossaNova Crédito Securitizado FIDC - Cota Sênior</t>
  </si>
  <si>
    <t>CDB2223IBZF</t>
  </si>
  <si>
    <t>CDB AGIBANK - ABR/2026</t>
  </si>
  <si>
    <t>25G04858539</t>
  </si>
  <si>
    <t>25E0053938</t>
  </si>
  <si>
    <t>CRI JHSF - MAI/2032</t>
  </si>
  <si>
    <t>25K03665372</t>
  </si>
  <si>
    <t>CDBC254OOVB</t>
  </si>
  <si>
    <t>CDB PORTOSEG S/A CREDITO FINA - JUN/2026</t>
  </si>
  <si>
    <t>CDB62596T1Z</t>
  </si>
  <si>
    <t>CDB PINE - JURO MENSAL - JUN/2028</t>
  </si>
  <si>
    <t>CDB824AQDXE</t>
  </si>
  <si>
    <t>CDB PICPAY - AGO/2028</t>
  </si>
  <si>
    <t>CDBB243V9AU</t>
  </si>
  <si>
    <t>CDB PICPAY - NOV/2028</t>
  </si>
  <si>
    <t>CDBC2434YRG</t>
  </si>
  <si>
    <t>CDB BANCO C6 CONSIGNADO S.A. - DEZ/2029</t>
  </si>
  <si>
    <t>CDB2260KIGM</t>
  </si>
  <si>
    <t>CDB BANCO C6 CONSIGNADO S.A. - FEV/2029</t>
  </si>
  <si>
    <t>CDB2261P2BI</t>
  </si>
  <si>
    <t>CDB PICPAY - FEV/2028</t>
  </si>
  <si>
    <t>CDB2261OZD3</t>
  </si>
  <si>
    <t>CDB BMG - JUL/2028</t>
  </si>
  <si>
    <t>CDB2260KGK9</t>
  </si>
  <si>
    <t>CDB BANCO XP S.A. - AGO/2026</t>
  </si>
  <si>
    <t>CDB2261OWVY</t>
  </si>
  <si>
    <t>CDB PAULISTA - FEV/2029</t>
  </si>
  <si>
    <t>CDB2261OYFJ</t>
  </si>
  <si>
    <t>CDB2261OZCU</t>
  </si>
  <si>
    <t>CDB BMG - FEV/2029</t>
  </si>
  <si>
    <t>CDB2261P2CY</t>
  </si>
  <si>
    <t>CDB2261OWVX</t>
  </si>
  <si>
    <t>CDB320BFKRX</t>
  </si>
  <si>
    <t>CDB BS2 - AGO/2026</t>
  </si>
  <si>
    <t>CRA02300NX8</t>
  </si>
  <si>
    <t>CRA BTG - NOV/2033</t>
  </si>
  <si>
    <t>26B01942415</t>
  </si>
  <si>
    <t>LCA RABOBANK - FEV/2031</t>
  </si>
  <si>
    <t>26B01941904</t>
  </si>
  <si>
    <t>LCA BTG PACTUAL - NOV/2026</t>
  </si>
  <si>
    <t>25D02858985</t>
  </si>
  <si>
    <t>CDB2262M149</t>
  </si>
  <si>
    <t>CDB ZEMA FINANCEIRA - FEV/2029</t>
  </si>
  <si>
    <t>25J04674449</t>
  </si>
  <si>
    <t>LCA BRB - JUL/2026</t>
  </si>
  <si>
    <t>CDB2262M1WT</t>
  </si>
  <si>
    <t>26B02133745</t>
  </si>
  <si>
    <t>LCA RABOBANK - FEV/2030</t>
  </si>
  <si>
    <t>25G02590180</t>
  </si>
  <si>
    <t>LCI BRB - JUL/2026</t>
  </si>
  <si>
    <t>CDB225BMC90</t>
  </si>
  <si>
    <t>CDB BANCO PLENO - FEV/2029</t>
  </si>
  <si>
    <t>CRA023000GP</t>
  </si>
  <si>
    <t>CRA VAMOS - JAN/2028</t>
  </si>
  <si>
    <t>CDB22635W7A</t>
  </si>
  <si>
    <t>CDB BANCO C6 CONSIGNADO S.A. - FEV/2031</t>
  </si>
  <si>
    <t>CDB4254QGUC</t>
  </si>
  <si>
    <t>CDB PINE - JURO MENSAL - ABR/2030</t>
  </si>
  <si>
    <t>CDB22635V4D</t>
  </si>
  <si>
    <t>25I04165943</t>
  </si>
  <si>
    <t>LCA BANCO BOCOM BBM SA - SET/2030</t>
  </si>
  <si>
    <t>CDB2263RXCA</t>
  </si>
  <si>
    <t>CDB PERNAMBUCANAS FINANCIADOR - FEV/2028</t>
  </si>
  <si>
    <t>24G01629873</t>
  </si>
  <si>
    <t>25E03517195</t>
  </si>
  <si>
    <t>25H03525519</t>
  </si>
  <si>
    <t>25K02744237</t>
  </si>
  <si>
    <t>NTN-F - JAN/2035</t>
  </si>
  <si>
    <t>CDB52587EPT</t>
  </si>
  <si>
    <t>CDB PINE - MAI/2027</t>
  </si>
  <si>
    <t>CDB6245OSVA</t>
  </si>
  <si>
    <t>CDB BANCO PLENO - JUN/2026</t>
  </si>
  <si>
    <t>CDBA25BD34U</t>
  </si>
  <si>
    <t>CDB BANCO PLENO - OUT/2027</t>
  </si>
  <si>
    <t>26B02133747</t>
  </si>
  <si>
    <t>LCA RABOBANK - FEV/2029</t>
  </si>
  <si>
    <t>25D02282374</t>
  </si>
  <si>
    <t>CDB2263RZKA</t>
  </si>
  <si>
    <t>26B02317756</t>
  </si>
  <si>
    <t>LCA BTG PACTUAL - FEV/2027</t>
  </si>
  <si>
    <t>CDB2263RVUK</t>
  </si>
  <si>
    <t>CDB PICPAY - FEV/2029</t>
  </si>
  <si>
    <t>CDB323LYXY7</t>
  </si>
  <si>
    <t>CDB BANCO PLENO - AGO/2026</t>
  </si>
  <si>
    <t>CRA025006SR</t>
  </si>
  <si>
    <t>CRA BOA SAFRA - FEV/2032</t>
  </si>
  <si>
    <t>26B0LCD9IQX</t>
  </si>
  <si>
    <t>LCD BRDE - FEV/2036</t>
  </si>
  <si>
    <t>26B02618846</t>
  </si>
  <si>
    <t>LCA ORIGINAL - FEV/2027</t>
  </si>
  <si>
    <t>26B02618858</t>
  </si>
  <si>
    <t>LCA ORIGINAL - FEV/2028</t>
  </si>
  <si>
    <t>13J0119975</t>
  </si>
  <si>
    <t>CRI PETROBRAS - OUT/2031</t>
  </si>
  <si>
    <t>CDB2264JARM</t>
  </si>
  <si>
    <t>CDB BTG PACTUAL - FEV/2028</t>
  </si>
  <si>
    <t>CDB2264JB5X</t>
  </si>
  <si>
    <t>CDB BMG - FEV/2028</t>
  </si>
  <si>
    <t>CDB2264JDPU</t>
  </si>
  <si>
    <t>CDB PINE - FEV/2031</t>
  </si>
  <si>
    <t>CRA0250073N</t>
  </si>
  <si>
    <t>CRA MANTIQUEIRA - AGO/2032</t>
  </si>
  <si>
    <t>CDB2264JG9B</t>
  </si>
  <si>
    <t>CDB BANCO C6 S.A. - FEV/2030</t>
  </si>
  <si>
    <t>23E01105010</t>
  </si>
  <si>
    <t>LCA RABOBANK - MAI/2028</t>
  </si>
  <si>
    <t>25J02600005</t>
  </si>
  <si>
    <t>LCA BANCO DLL - OUT/2026</t>
  </si>
  <si>
    <t>CRA024004SA</t>
  </si>
  <si>
    <t>CRA JBS - MAI/2034</t>
  </si>
  <si>
    <t>CMIN22</t>
  </si>
  <si>
    <t>DEB CSN MINERACAO - JUL/2037</t>
  </si>
  <si>
    <t>CRA022007EP</t>
  </si>
  <si>
    <t>CRA KLABIN - MAI/2034</t>
  </si>
  <si>
    <t>STBP45</t>
  </si>
  <si>
    <t>DEB SANTOS BRASIL - AGO/2039</t>
  </si>
  <si>
    <t>25F01687749</t>
  </si>
  <si>
    <t>CDB121BJR3N</t>
  </si>
  <si>
    <t>CDB FIBRA - FEV/2027</t>
  </si>
  <si>
    <t>26B02833181</t>
  </si>
  <si>
    <t>26B02833186</t>
  </si>
  <si>
    <t>CDB2265KA7Z</t>
  </si>
  <si>
    <t>CDB BANCO INDUSTRIAL DO BRASI - JURO MENSAL - FEV/2027</t>
  </si>
  <si>
    <t>CDBB248E2QX</t>
  </si>
  <si>
    <t>26B02833179</t>
  </si>
  <si>
    <t>CDB2265K9CV</t>
  </si>
  <si>
    <t>CDB BANCO C6 CONSIGNADO S.A. - FEV/2032</t>
  </si>
  <si>
    <t>25H0243072</t>
  </si>
  <si>
    <t>CRI BURITI (BRASIL TERRENOS) - AGO/2032</t>
  </si>
  <si>
    <t>CDB22666P4V</t>
  </si>
  <si>
    <t>25B02182844</t>
  </si>
  <si>
    <t>LCA BANCO COOPERATIVO SICOOB - JAN/2030</t>
  </si>
  <si>
    <t>24A2721829</t>
  </si>
  <si>
    <t>CRI DASA - JAN/2031</t>
  </si>
  <si>
    <t>CDB22666OWV</t>
  </si>
  <si>
    <t>CDB BTG PACTUAL - FEV/2027</t>
  </si>
  <si>
    <t>CDB3253X2J1</t>
  </si>
  <si>
    <t>CDB BANCO C6 S.A. - MAR/2030</t>
  </si>
  <si>
    <t>CDBC231HP58</t>
  </si>
  <si>
    <t>CDB BANCO C6 CONSIGNADO S.A. - DEZ/2028</t>
  </si>
  <si>
    <t>LFT - MAR/2031</t>
  </si>
  <si>
    <t>23K0018401</t>
  </si>
  <si>
    <t>CRA02300JR7</t>
  </si>
  <si>
    <t>CRA RAIZEN - OUT/2033</t>
  </si>
  <si>
    <t>CDB2266PM61</t>
  </si>
  <si>
    <t>CDB BANCO ABC - FEV/2027</t>
  </si>
  <si>
    <t>26B03143217</t>
  </si>
  <si>
    <t>26B03143227</t>
  </si>
  <si>
    <t>LCA ORIGINAL - FEV/2029</t>
  </si>
  <si>
    <t>26B03143582</t>
  </si>
  <si>
    <t>25D02741710</t>
  </si>
  <si>
    <t>25E00089745</t>
  </si>
  <si>
    <t>25E02189605</t>
  </si>
  <si>
    <t>CDB2266PHA7</t>
  </si>
  <si>
    <t>CDB221KLPT1</t>
  </si>
  <si>
    <t>CDB ORIGINAL - JUN/2026</t>
  </si>
  <si>
    <t>CDB22677DAI</t>
  </si>
  <si>
    <t>CDB BANCO XP S.A. - FEV/2028</t>
  </si>
  <si>
    <t>CDB226778GL</t>
  </si>
  <si>
    <t>CDB FACTA FINANCEIRA - FEV/2028</t>
  </si>
  <si>
    <t>26B03267132</t>
  </si>
  <si>
    <t>CDB22677E7E</t>
  </si>
  <si>
    <t>25F07065173</t>
  </si>
  <si>
    <t>CDB9256C4EV</t>
  </si>
  <si>
    <t>CDB BRB - MAR/2027</t>
  </si>
  <si>
    <t>26B03267126</t>
  </si>
  <si>
    <t>25D00057125</t>
  </si>
  <si>
    <t>23F1514014</t>
  </si>
  <si>
    <t>CRI MOVIDA - JUN/2028</t>
  </si>
  <si>
    <t>25D04427565</t>
  </si>
  <si>
    <t>CRA021000S8</t>
  </si>
  <si>
    <t>CRA BRASILAGRO - ABR/2028</t>
  </si>
  <si>
    <t>26B03267123</t>
  </si>
  <si>
    <t>CDB22677CYZ</t>
  </si>
  <si>
    <t>CDB PINE - JUL/2029</t>
  </si>
  <si>
    <t>CDBC241IHJ6</t>
  </si>
  <si>
    <t>CDBC259EC48</t>
  </si>
  <si>
    <t>CDB BANCO C6 CONSIGNADO S.A. - DEZ/2031</t>
  </si>
  <si>
    <t>26B03267116</t>
  </si>
  <si>
    <t>CDB22677CY1</t>
  </si>
  <si>
    <t>CDB PINE - JURO MENSAL - FEV/2029</t>
  </si>
  <si>
    <t>CDBC246U1Z4</t>
  </si>
  <si>
    <t>CDB BANCO DIGIMAIS S.A. - DEZ/2027</t>
  </si>
  <si>
    <t>25C04054499</t>
  </si>
  <si>
    <t>LCA BANCO COOPERATIVO SICOOB - MAR/2026</t>
  </si>
  <si>
    <t>25E03155033</t>
  </si>
  <si>
    <t>25G00059748</t>
  </si>
  <si>
    <t>25G03897966</t>
  </si>
  <si>
    <t>CDB223B069M</t>
  </si>
  <si>
    <t>CDB BANCO PAN S/A - MAI/2027</t>
  </si>
  <si>
    <t>CDB320I3RVE</t>
  </si>
  <si>
    <t>CDB BS2 - SET/2026</t>
  </si>
  <si>
    <t>26B03582692</t>
  </si>
  <si>
    <t>LTN - JAN/2032</t>
  </si>
  <si>
    <t>PETR27</t>
  </si>
  <si>
    <t>DEB PETROBRAS - SET/2034</t>
  </si>
  <si>
    <t>25F02192702</t>
  </si>
  <si>
    <t>LCI BRB - JUN/2027</t>
  </si>
  <si>
    <t>25C03758247</t>
  </si>
  <si>
    <t>26B03791560</t>
  </si>
  <si>
    <t>LCA ORIGINAL - FEV/2030</t>
  </si>
  <si>
    <t>26B03791475</t>
  </si>
  <si>
    <t>CDB322G4RHN</t>
  </si>
  <si>
    <t>CDB BANCO DIGIMAIS S.A. - AGO/2026</t>
  </si>
  <si>
    <t>CDB322I75GU</t>
  </si>
  <si>
    <t>CDB PERNAMBUCANAS FINANCIADOR - AGO/2026</t>
  </si>
  <si>
    <t>CDB323QQR1W</t>
  </si>
  <si>
    <t>CDB BANCO C6 CONSIGNADO S.A. - AGO/2026</t>
  </si>
  <si>
    <t>CDB323QRPZK</t>
  </si>
  <si>
    <t>CDB NEON FINANCEIRA - AGO/2026</t>
  </si>
  <si>
    <t>26B03791476</t>
  </si>
  <si>
    <t>26B03791527</t>
  </si>
  <si>
    <t>25L00293314</t>
  </si>
  <si>
    <t>26B03791504</t>
  </si>
  <si>
    <t>26B03937839</t>
  </si>
  <si>
    <t>CDB2269DS06</t>
  </si>
  <si>
    <t>CDB BANCO ANDBANK (BRASIL) S/ - FEV/2029</t>
  </si>
  <si>
    <t>25K00168358</t>
  </si>
  <si>
    <t>23L02757707</t>
  </si>
  <si>
    <t>LCA BANCO CNH CAPITAL S/A - DEZ/2027</t>
  </si>
  <si>
    <t>CDB2269DR0P</t>
  </si>
  <si>
    <t>CDB123NCMQG</t>
  </si>
  <si>
    <t>CDB BMG - MAR/2029</t>
  </si>
  <si>
    <t>CDB219990PR</t>
  </si>
  <si>
    <t>CDB BMG - JUN/2026</t>
  </si>
  <si>
    <t>CRA0210012Y</t>
  </si>
  <si>
    <t>CRA JSL - MAI/2031</t>
  </si>
  <si>
    <t>CRA020002H1</t>
  </si>
  <si>
    <t>CRA BRF - JUL/2030</t>
  </si>
  <si>
    <t>CRA025000MF</t>
  </si>
  <si>
    <t>CRA SEARA (JBS) - FEV/2055</t>
  </si>
  <si>
    <t>26B04261851</t>
  </si>
  <si>
    <t>26B04253501</t>
  </si>
  <si>
    <t>26B04261849</t>
  </si>
  <si>
    <t>22J0346710</t>
  </si>
  <si>
    <t>CRI BTG - JAN/2027</t>
  </si>
  <si>
    <t>22K0767293</t>
  </si>
  <si>
    <t>CRI BTG - JAN/2028</t>
  </si>
  <si>
    <t>CRA024001E7</t>
  </si>
  <si>
    <t>CRA BANCO ABC - FEV/2034</t>
  </si>
  <si>
    <t>Conta XP</t>
  </si>
  <si>
    <t>Nome Cliente</t>
  </si>
  <si>
    <t>Valor Solicitado</t>
  </si>
  <si>
    <t>Taxa Solicitada</t>
  </si>
  <si>
    <t>Opção Pessoa Vinculada</t>
  </si>
  <si>
    <t>Status da Solicitação da Reserva</t>
  </si>
  <si>
    <t>Investidor Qualificado</t>
  </si>
  <si>
    <t>Investidor Profissional</t>
  </si>
  <si>
    <t>Status do Resultado da Oferta</t>
  </si>
  <si>
    <t>Tipo de Investidor</t>
  </si>
  <si>
    <t>Financeiro a liquidar</t>
  </si>
  <si>
    <t>Quantidade a liquidar</t>
  </si>
  <si>
    <t>Data da liquidação prevista</t>
  </si>
  <si>
    <t>Volume total da emissão</t>
  </si>
  <si>
    <t>Taxa final da oferta</t>
  </si>
  <si>
    <t>PU da Liquidação</t>
  </si>
  <si>
    <t>MONICA ANDRES GARCIA MOREJON</t>
  </si>
  <si>
    <t>Investidor Não vinculado</t>
  </si>
  <si>
    <t>Publico Institucional Não Vinculado</t>
  </si>
  <si>
    <t>FLAVIO HACHEM</t>
  </si>
  <si>
    <t>RODOLFO RANIEIRI POMBO</t>
  </si>
  <si>
    <t>JOSE VICENTE PEREIRA JUSTO CARNERO</t>
  </si>
  <si>
    <t>RODRIGO CHOHFI</t>
  </si>
  <si>
    <t>EVANDRO MENDES DA SILVA JUNIOR</t>
  </si>
  <si>
    <t>Não</t>
  </si>
  <si>
    <t>MARIO ASSIS GONCALVES FILHO</t>
  </si>
  <si>
    <t>BETINA ZARZUR HACHEM</t>
  </si>
  <si>
    <t>FABIO HENRIQUE FIGUEIREDO VEGGIATO</t>
  </si>
  <si>
    <t>LEONEL AUGUSTO PIRES GRANJO</t>
  </si>
  <si>
    <t xml:space="preserve">REGINA TREIGER CHERQUES </t>
  </si>
  <si>
    <t>DEISE ESTEVES MARTINS</t>
  </si>
  <si>
    <t>DANIEL SIMON</t>
  </si>
  <si>
    <t>ALEXANDRE MENDES DA SILVA</t>
  </si>
  <si>
    <t>ANTONIO CARLOS VEIGA</t>
  </si>
  <si>
    <t>MARIA MARTA SALEME HACHEM</t>
  </si>
  <si>
    <t>GUILHERME BEZERRA DA SILVA MODESTO</t>
  </si>
  <si>
    <t>Push enviado</t>
  </si>
  <si>
    <t>GABRIEL ALVARES ZILBENBERG</t>
  </si>
  <si>
    <t>NEI FERREIRA MONTEIRO</t>
  </si>
  <si>
    <t>VICENTE GARAMBONE NETO</t>
  </si>
  <si>
    <t>ANTONIO LUIZ DA FONSECA LUCCHESE</t>
  </si>
  <si>
    <t>JULIA SIMOES DANNEMANN</t>
  </si>
  <si>
    <t>VINICIUS BAR ARMSTRONG</t>
  </si>
  <si>
    <t>ROGERIO BIDLOVSKI</t>
  </si>
  <si>
    <t>LEONARDO CARUSO DE OLIVEIRA</t>
  </si>
  <si>
    <t>LEANDRO AZEVEDO DE OLIVEIRA</t>
  </si>
  <si>
    <t>JULIANA GRAVINA NASCIMENTO</t>
  </si>
  <si>
    <t>LAIS MENDES ROCHA</t>
  </si>
  <si>
    <t>THIAGO DO PRADO SILVA</t>
  </si>
  <si>
    <t>CICERO ANDRADE DE LUNA PEDROSA</t>
  </si>
  <si>
    <t>BARRY JOSEPH HALLINAN</t>
  </si>
  <si>
    <t>TANIA REGINA CONSTANT VERGARA</t>
  </si>
  <si>
    <t>BRUNO SIMOES DE CARVALHO</t>
  </si>
  <si>
    <t>PATRICIA DEPINE</t>
  </si>
  <si>
    <t>FLAVIA GUIMARAES DA SILVA PASCHOALINO</t>
  </si>
  <si>
    <t>GUSTAVO CEGALLA FERREIRA GOMES</t>
  </si>
  <si>
    <t>LUCAS GARIOLI ALLEGRETTO</t>
  </si>
  <si>
    <t>ROBERTA BARBOSA RIBEIRO</t>
  </si>
  <si>
    <t>VANESSA MARTINS DE OLIVEIRA CINTRA</t>
  </si>
  <si>
    <t>ANDRE LUIZ BARCELLOS FRANCA</t>
  </si>
  <si>
    <t>BEATRIZ BARCELLOS FRANCA AMARAL</t>
  </si>
  <si>
    <t>MICHELLE ALCANTARA DOS SANTOS</t>
  </si>
  <si>
    <t>RAQUEL GONCALVES COIMBRA FLEXA</t>
  </si>
  <si>
    <t>ALEXANDRE JOSE BARCELLOS FRANCA</t>
  </si>
  <si>
    <t>ANNA PAULA FACCO MATTIAZZI</t>
  </si>
  <si>
    <t>FERNANDA DE CARVALHO STUDART</t>
  </si>
  <si>
    <t>MARCYA CHEUICHE POSE</t>
  </si>
  <si>
    <t>CLAUDIA SANTOS PEREIRA</t>
  </si>
  <si>
    <t>VICTOR MILHOMENS WANDERLEY PESSOA</t>
  </si>
  <si>
    <t>ENEIDA SIMOES DA FONSECA</t>
  </si>
  <si>
    <t>MARIO JOSE BUENO</t>
  </si>
  <si>
    <t>PEDRO HENRIQUE PESSANHA CAVALCANTI</t>
  </si>
  <si>
    <t>ANA PAULA SALES DE OLIVEIRA</t>
  </si>
  <si>
    <t>ALEXANDRE VALLADO BRAGA</t>
  </si>
  <si>
    <t>SAVIO CARVALHO CAETANO</t>
  </si>
  <si>
    <t>THAIS SILVA TANINI</t>
  </si>
  <si>
    <t>VINICIUS CARVALHEIRA MAZZEI</t>
  </si>
  <si>
    <t>LUCAS SIMOES DE SOUZA ARRUDA</t>
  </si>
  <si>
    <t>JOSE PITO VAZ JUNIOR</t>
  </si>
  <si>
    <t>NICOLA YURI BALBONI FRANCINETTI</t>
  </si>
  <si>
    <t>ROA</t>
  </si>
  <si>
    <t>RECEITA</t>
  </si>
  <si>
    <t>Código aai</t>
  </si>
  <si>
    <t>BOVA11</t>
  </si>
  <si>
    <t>CMIN3</t>
  </si>
  <si>
    <t>NASD11</t>
  </si>
  <si>
    <t>PETRC412</t>
  </si>
  <si>
    <t>TOTS3F</t>
  </si>
  <si>
    <t>MESA</t>
  </si>
  <si>
    <t>POP</t>
  </si>
  <si>
    <t>Smart Coupon</t>
  </si>
  <si>
    <t>COLLAR UI BIDIRECIONAL</t>
  </si>
  <si>
    <t>Put</t>
  </si>
  <si>
    <t>Collar UI sob custódia</t>
  </si>
  <si>
    <t>Origem</t>
  </si>
  <si>
    <t>Estratégia</t>
  </si>
  <si>
    <t>Cod Matriz</t>
  </si>
  <si>
    <t>Status da Operação</t>
  </si>
  <si>
    <t>14522139</t>
  </si>
  <si>
    <t>73037</t>
  </si>
  <si>
    <t>18387496</t>
  </si>
  <si>
    <t>8971607</t>
  </si>
  <si>
    <t>17743490</t>
  </si>
  <si>
    <t>2240415</t>
  </si>
  <si>
    <t>3366029</t>
  </si>
  <si>
    <t>390738</t>
  </si>
  <si>
    <t>5704052</t>
  </si>
  <si>
    <t>16587500</t>
  </si>
  <si>
    <t>17374205</t>
  </si>
  <si>
    <t>339489</t>
  </si>
  <si>
    <t>12925431</t>
  </si>
  <si>
    <t>3248188</t>
  </si>
  <si>
    <t>4566500</t>
  </si>
  <si>
    <t>504764</t>
  </si>
  <si>
    <t>5225546</t>
  </si>
  <si>
    <t>2545881</t>
  </si>
  <si>
    <t>4610798</t>
  </si>
  <si>
    <t>2629922</t>
  </si>
  <si>
    <t>3853731</t>
  </si>
  <si>
    <t>2101329</t>
  </si>
  <si>
    <t>256322</t>
  </si>
  <si>
    <t>446394</t>
  </si>
  <si>
    <t>2156584</t>
  </si>
  <si>
    <t>4407761</t>
  </si>
  <si>
    <t>4504860</t>
  </si>
  <si>
    <t>4382412</t>
  </si>
  <si>
    <t>8904322</t>
  </si>
  <si>
    <t>ssessor</t>
  </si>
  <si>
    <t>XP Ouro - Bidirecional - 5y - 11.02.2026</t>
  </si>
  <si>
    <t>10/02/2026</t>
  </si>
  <si>
    <t>19:11:56</t>
  </si>
  <si>
    <t>XP Ouro - Bidirecional - 5y - 20.02.2026</t>
  </si>
  <si>
    <t>19/02/2026</t>
  </si>
  <si>
    <t>13:58:35</t>
  </si>
  <si>
    <t>XP Ouro - Bidirecional Limitado - 3y - 20.02.2026</t>
  </si>
  <si>
    <t>09:52:54</t>
  </si>
  <si>
    <t>XP Ações Defesa Militar EUA - Alta Alavancada - 5y - 25.02.2026</t>
  </si>
  <si>
    <t>06/02/2026</t>
  </si>
  <si>
    <t>12:37:04</t>
  </si>
  <si>
    <t>CONTA</t>
  </si>
  <si>
    <t>ATIVO</t>
  </si>
  <si>
    <t>DATA</t>
  </si>
  <si>
    <t>HORA</t>
  </si>
  <si>
    <t>TIPO</t>
  </si>
  <si>
    <t>ORIGEM</t>
  </si>
  <si>
    <t>QUANTIDADE</t>
  </si>
  <si>
    <t>QTD EXECUTADA</t>
  </si>
  <si>
    <t>VALOR EXECUTADO (R$)</t>
  </si>
  <si>
    <t>STATUS</t>
  </si>
  <si>
    <t>14:52:44</t>
  </si>
  <si>
    <t>Estoque XP</t>
  </si>
  <si>
    <t>Finalizada</t>
  </si>
  <si>
    <t>11:32:11</t>
  </si>
  <si>
    <t>14:02:30</t>
  </si>
  <si>
    <t>11:00:59</t>
  </si>
  <si>
    <t>16:04:20</t>
  </si>
  <si>
    <t>16:04:46</t>
  </si>
  <si>
    <t>16:54:08</t>
  </si>
  <si>
    <t>15:31:47</t>
  </si>
  <si>
    <t>15:34:39</t>
  </si>
  <si>
    <t>15:46:47</t>
  </si>
  <si>
    <t>12:24:46</t>
  </si>
  <si>
    <t>11:18:39</t>
  </si>
  <si>
    <t>14:54:31</t>
  </si>
  <si>
    <t>12:24:50</t>
  </si>
  <si>
    <t>18:34:45</t>
  </si>
  <si>
    <t>19:11:48</t>
  </si>
  <si>
    <t>09:57:32</t>
  </si>
  <si>
    <t>VAGNO MARQUES PEREIRA</t>
  </si>
  <si>
    <t>12:03:22</t>
  </si>
  <si>
    <t>14:05:06</t>
  </si>
  <si>
    <t>14:59:37</t>
  </si>
  <si>
    <t>16:07:38</t>
  </si>
  <si>
    <t>10:01:16</t>
  </si>
  <si>
    <t>11:40:09</t>
  </si>
  <si>
    <t>16:46:42</t>
  </si>
  <si>
    <t>14:27:12</t>
  </si>
  <si>
    <t>Estoque clientes</t>
  </si>
  <si>
    <t>16:32:15</t>
  </si>
  <si>
    <t>09:43:16</t>
  </si>
  <si>
    <t>09:19:22</t>
  </si>
  <si>
    <t>11:03:17</t>
  </si>
  <si>
    <t>14:45:42</t>
  </si>
  <si>
    <t>17:09:09</t>
  </si>
  <si>
    <t>17:50:55</t>
  </si>
  <si>
    <t>17:54:48</t>
  </si>
  <si>
    <t>11:42:17</t>
  </si>
  <si>
    <t>15:36:24</t>
  </si>
  <si>
    <t>15:50:51</t>
  </si>
  <si>
    <t>11:02:53</t>
  </si>
  <si>
    <t>15:02:39</t>
  </si>
  <si>
    <t>11:05:12</t>
  </si>
  <si>
    <t>13:13:25</t>
  </si>
  <si>
    <t>14:22:31</t>
  </si>
  <si>
    <t>17:56:57</t>
  </si>
  <si>
    <t>18:04:56</t>
  </si>
  <si>
    <t>13:29:36</t>
  </si>
  <si>
    <t>16:13:07</t>
  </si>
  <si>
    <t>13:15:08</t>
  </si>
  <si>
    <t>13:33:37</t>
  </si>
  <si>
    <t>15:15:09</t>
  </si>
  <si>
    <t>CLAUDIA MARA DA CRUZ</t>
  </si>
  <si>
    <t>14:34:10</t>
  </si>
  <si>
    <t>10:42:15</t>
  </si>
  <si>
    <t>14:00:49</t>
  </si>
  <si>
    <t>12:45:28</t>
  </si>
  <si>
    <t>PAULA DE ALCANTARA MACHADO DA COSTA RIBEIRO</t>
  </si>
  <si>
    <t>11:25:59</t>
  </si>
  <si>
    <t>10:44:52</t>
  </si>
  <si>
    <t>RAFAEL MICHELUCCI ALVES</t>
  </si>
  <si>
    <t>12:06:49</t>
  </si>
  <si>
    <t>21:38:55</t>
  </si>
  <si>
    <t>22:02:09</t>
  </si>
  <si>
    <t>22:05:01</t>
  </si>
  <si>
    <t>13:23:27</t>
  </si>
  <si>
    <t>15:06:44</t>
  </si>
  <si>
    <t>15:35:49</t>
  </si>
  <si>
    <t>14:36:06</t>
  </si>
  <si>
    <t>17:15:33</t>
  </si>
  <si>
    <t>15:52:16</t>
  </si>
  <si>
    <t>09:34:43</t>
  </si>
  <si>
    <t>14:58:23</t>
  </si>
  <si>
    <t>12:02:41</t>
  </si>
  <si>
    <t>10:29:42</t>
  </si>
  <si>
    <t>CORRETAGEM</t>
  </si>
  <si>
    <t>XP</t>
  </si>
  <si>
    <t>KINSOP</t>
  </si>
  <si>
    <t>1ª Emissão Subclasse A - Kinea Special Opportunities FIF MM CP RL</t>
  </si>
  <si>
    <t>Reserva condicionada ao valor mínimo da oferta - NÃO VINCULADO</t>
  </si>
  <si>
    <t>Não enviado</t>
  </si>
  <si>
    <t>JIVEQ2</t>
  </si>
  <si>
    <t>1ª Emissão JiveMauá BossaNova Crédito Securitizado II FIDC RL (2ª Liquidação)</t>
  </si>
  <si>
    <t>Reserva condicionada ao valor mínimo da oferta - Não Vinculado</t>
  </si>
  <si>
    <t>Aprovado</t>
  </si>
  <si>
    <t>BGRLOG</t>
  </si>
  <si>
    <t>Oferta Secundária BGR Galpões Logísticos I Feeder FII</t>
  </si>
  <si>
    <t>Solicitação de Compra de Cotas - Não Vinculado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</si>
</sst>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"/>
    <numFmt numFmtId="165" formatCode="0.00%;\-0.00%;0.00%"/>
    <numFmt numFmtId="166" formatCode="&quot;R$&quot;#,##0;\-&quot;R$&quot;#,##0;&quot;R$&quot;#,##0"/>
    <numFmt numFmtId="167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22" fontId="0" fillId="0" borderId="0" xfId="0" applyNumberFormat="1"/>
    <xf numFmtId="43" fontId="0" fillId="0" borderId="0" xfId="1" applyFont="1"/>
    <xf numFmtId="10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9" fontId="0" fillId="0" borderId="0" xfId="0" applyNumberFormat="1"/>
    <xf numFmtId="43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1" applyNumberFormat="1" applyFont="1" applyAlignment="1">
      <alignment horizontal="center"/>
    </xf>
    <xf numFmtId="14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43" fontId="0" fillId="0" borderId="0" xfId="0" applyNumberFormat="1"/>
    <xf numFmtId="7" fontId="0" fillId="0" borderId="0" xfId="0" applyNumberFormat="1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43" fontId="0" fillId="0" borderId="0" xfId="1" applyFont="1" applyAlignment="1">
      <alignment horizontal="center"/>
    </xf>
    <xf numFmtId="167" fontId="2" fillId="0" borderId="0" xfId="2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405765</xdr:colOff>
      <xdr:row>1</xdr:row>
      <xdr:rowOff>26670</xdr:rowOff>
    </xdr:from>
    <xdr:to>
      <xdr:col>19</xdr:col>
      <xdr:colOff>148590</xdr:colOff>
      <xdr:row>6</xdr:row>
      <xdr:rowOff>112395</xdr:rowOff>
    </xdr:to>
    <xdr:sp macro="[0]!Limpeza_SecundarioRF" textlink="">
      <xdr:nvSpPr>
        <xdr:cNvPr id="2" name="Raio 1">
          <a:extLst>
            <a:ext uri="{FF2B5EF4-FFF2-40B4-BE49-F238E27FC236}">
              <a16:creationId xmlns:a16="http://schemas.microsoft.com/office/drawing/2014/main" id="{190D2058-4CE0-1B94-3AEB-7CA75EEDBC2C}"/>
            </a:ext>
          </a:extLst>
        </xdr:cNvPr>
        <xdr:cNvSpPr/>
      </xdr:nvSpPr>
      <xdr:spPr>
        <a:xfrm>
          <a:off x="21979890" y="207645"/>
          <a:ext cx="666750" cy="990600"/>
        </a:xfrm>
        <a:prstGeom prst="lightningBolt">
          <a:avLst/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BDAD7-5FDB-4786-92DC-05B3E531E092}">
  <sheetPr codeName="Planilha1"/>
  <dimension ref="B2:M40"/>
  <sheetViews>
    <sheetView showGridLines="0" topLeftCell="A4" zoomScaleNormal="100" workbookViewId="0">
      <selection activeCell="J7" sqref="J7"/>
    </sheetView>
  </sheetViews>
  <sheetFormatPr defaultRowHeight="14.4" x14ac:dyDescent="0.3"/>
  <cols>
    <col min="1" max="1" width="8.88671875" style="4"/>
    <col min="2" max="2" width="10.33203125" style="4" bestFit="1" customWidth="1"/>
    <col min="3" max="3" width="22.44140625" style="4" customWidth="1"/>
    <col min="4" max="4" width="36.33203125" style="4" bestFit="1" customWidth="1"/>
    <col min="5" max="5" width="31.109375" style="4" bestFit="1" customWidth="1"/>
    <col min="6" max="6" width="22.6640625" style="4" bestFit="1" customWidth="1"/>
    <col min="7" max="7" width="17.33203125" style="4" bestFit="1" customWidth="1"/>
    <col min="8" max="8" width="10.44140625" style="4" bestFit="1" customWidth="1"/>
    <col min="9" max="9" width="36" style="4" bestFit="1" customWidth="1"/>
    <col min="10" max="10" width="10.44140625" style="4" bestFit="1" customWidth="1"/>
    <col min="11" max="11" width="11.44140625" style="4" bestFit="1" customWidth="1"/>
    <col min="12" max="13" width="13.109375" style="4" bestFit="1" customWidth="1"/>
    <col min="14" max="16384" width="8.88671875" style="4"/>
  </cols>
  <sheetData>
    <row r="2" spans="2:11" x14ac:dyDescent="0.3">
      <c r="B2" s="4" t="s">
        <v>21</v>
      </c>
    </row>
    <row r="3" spans="2:11" x14ac:dyDescent="0.3">
      <c r="B3" s="5">
        <v>46077</v>
      </c>
    </row>
    <row r="5" spans="2:11" ht="15" thickBot="1" x14ac:dyDescent="0.35">
      <c r="D5" s="38" t="s">
        <v>210</v>
      </c>
      <c r="E5" s="38"/>
      <c r="F5" s="38"/>
      <c r="G5" s="38"/>
      <c r="H5" s="38"/>
      <c r="I5" s="38"/>
    </row>
    <row r="6" spans="2:11" ht="15" thickTop="1" x14ac:dyDescent="0.3">
      <c r="B6" s="6" t="s">
        <v>5</v>
      </c>
      <c r="C6" s="7" t="s">
        <v>429</v>
      </c>
      <c r="D6" s="7" t="s">
        <v>206</v>
      </c>
      <c r="E6" s="7" t="s">
        <v>169</v>
      </c>
      <c r="F6" s="7" t="s">
        <v>170</v>
      </c>
      <c r="G6" s="7" t="s">
        <v>171</v>
      </c>
      <c r="H6" s="7" t="s">
        <v>172</v>
      </c>
      <c r="I6" s="7" t="s">
        <v>173</v>
      </c>
      <c r="J6" s="7" t="s">
        <v>211</v>
      </c>
      <c r="K6" s="7" t="s">
        <v>209</v>
      </c>
    </row>
    <row r="7" spans="2:11" x14ac:dyDescent="0.3">
      <c r="B7" s="8">
        <v>69519</v>
      </c>
      <c r="C7" s="4" t="s">
        <v>430</v>
      </c>
      <c r="D7" s="4" t="s">
        <v>174</v>
      </c>
      <c r="E7" s="9">
        <f>(SUMIF('SECUNDÁRIO RF'!C:C,CONSOLIDADO!B7,'SECUNDÁRIO RF'!N:N)/2)+(SUMIF('PRIMARIO RF'!B:B,CONSOLIDADO!B7,'PRIMARIO RF'!U:U))</f>
        <v>19018.5</v>
      </c>
      <c r="F7" s="9">
        <f>SUMIF('RENDA VARIAVEL | CORRETAGEM'!D:D,CONSOLIDADO!B7,'RENDA VARIAVEL | CORRETAGEM'!H:H)*0.75</f>
        <v>5171.4825000000019</v>
      </c>
      <c r="G7" s="9">
        <f>SUMIF('RENDA VARIAVEL | ESTRUTURADAS'!I:I,CONSOLIDADO!B7,'RENDA VARIAVEL | ESTRUTURADAS'!G:G)</f>
        <v>3451.1000000000004</v>
      </c>
      <c r="H7" s="9">
        <f>SUMIF(CÂMBIO!G:G,CONSOLIDADO!B7,CÂMBIO!O:O)/2</f>
        <v>161.33334799999997</v>
      </c>
      <c r="I7" s="9">
        <f>((SUMIF('FUNDOS FECHADOS'!J:J,CONSOLIDADO!B7,'FUNDOS FECHADOS'!I:I))*0.85)+(SUMIF('SECUNDARIO FUNDOS'!D:D,CONSOLIDADO!B7,'SECUNDARIO FUNDOS'!O:O))</f>
        <v>0</v>
      </c>
      <c r="J7" s="9">
        <f>SUMIF(COE!B:B,CONSOLIDADO!B7,COE!K:K)</f>
        <v>0</v>
      </c>
      <c r="K7" s="10">
        <f>SUM(E7:J7)</f>
        <v>27802.415848000004</v>
      </c>
    </row>
    <row r="8" spans="2:11" x14ac:dyDescent="0.3">
      <c r="B8" s="8">
        <v>27086</v>
      </c>
      <c r="C8" s="4" t="s">
        <v>431</v>
      </c>
      <c r="D8" s="4" t="s">
        <v>175</v>
      </c>
      <c r="E8" s="9">
        <f>(SUMIF('SECUNDÁRIO RF'!C:C,CONSOLIDADO!B8,'SECUNDÁRIO RF'!N:N)/2)+(SUMIF('PRIMARIO RF'!B:B,CONSOLIDADO!B8,'PRIMARIO RF'!U:U))</f>
        <v>3469</v>
      </c>
      <c r="F8" s="9">
        <f>SUMIF('RENDA VARIAVEL | CORRETAGEM'!D:D,CONSOLIDADO!B8,'RENDA VARIAVEL | CORRETAGEM'!H:H)*0.75</f>
        <v>1421.19</v>
      </c>
      <c r="G8" s="9">
        <f>SUMIF('RENDA VARIAVEL | ESTRUTURADAS'!I:I,CONSOLIDADO!B8,'RENDA VARIAVEL | ESTRUTURADAS'!G:G)</f>
        <v>0</v>
      </c>
      <c r="H8" s="9">
        <f>SUMIF(CÂMBIO!G:G,CONSOLIDADO!B8,CÂMBIO!O:O)/2</f>
        <v>794.01</v>
      </c>
      <c r="I8" s="9">
        <f>((SUMIF('FUNDOS FECHADOS'!J:J,CONSOLIDADO!B8,'FUNDOS FECHADOS'!I:I))*0.85)+(SUMIF('SECUNDARIO FUNDOS'!D:D,CONSOLIDADO!B8,'SECUNDARIO FUNDOS'!O:O))</f>
        <v>0</v>
      </c>
      <c r="J8" s="9">
        <f>SUMIF(COE!B:B,CONSOLIDADO!B8,COE!K:K)</f>
        <v>0</v>
      </c>
      <c r="K8" s="10">
        <f t="shared" ref="K8:K40" si="0">SUM(E8:J8)</f>
        <v>5684.2000000000007</v>
      </c>
    </row>
    <row r="9" spans="2:11" x14ac:dyDescent="0.3">
      <c r="B9" s="8">
        <v>49894</v>
      </c>
      <c r="C9" s="4" t="s">
        <v>431</v>
      </c>
      <c r="D9" s="4" t="s">
        <v>176</v>
      </c>
      <c r="E9" s="9">
        <f>(SUMIF('SECUNDÁRIO RF'!C:C,CONSOLIDADO!B9,'SECUNDÁRIO RF'!N:N)/2)+(SUMIF('PRIMARIO RF'!B:B,CONSOLIDADO!B9,'PRIMARIO RF'!U:U))</f>
        <v>32617</v>
      </c>
      <c r="F9" s="9">
        <f>SUMIF('RENDA VARIAVEL | CORRETAGEM'!D:D,CONSOLIDADO!B9,'RENDA VARIAVEL | CORRETAGEM'!H:H)*0.75</f>
        <v>4720.2299999999977</v>
      </c>
      <c r="G9" s="9">
        <f>SUMIF('RENDA VARIAVEL | ESTRUTURADAS'!I:I,CONSOLIDADO!B9,'RENDA VARIAVEL | ESTRUTURADAS'!G:G)</f>
        <v>0</v>
      </c>
      <c r="H9" s="9">
        <f>SUMIF(CÂMBIO!G:G,CONSOLIDADO!B9,CÂMBIO!O:O)/2</f>
        <v>701.29094500000008</v>
      </c>
      <c r="I9" s="9">
        <f>((SUMIF('FUNDOS FECHADOS'!J:J,CONSOLIDADO!B9,'FUNDOS FECHADOS'!I:I))*0.85)+(SUMIF('SECUNDARIO FUNDOS'!D:D,CONSOLIDADO!B9,'SECUNDARIO FUNDOS'!O:O))</f>
        <v>33911.730799999998</v>
      </c>
      <c r="J9" s="9">
        <f>SUMIF(COE!B:B,CONSOLIDADO!B9,COE!K:K)</f>
        <v>0</v>
      </c>
      <c r="K9" s="10">
        <f t="shared" si="0"/>
        <v>71950.251744999987</v>
      </c>
    </row>
    <row r="10" spans="2:11" x14ac:dyDescent="0.3">
      <c r="B10" s="8">
        <v>96553</v>
      </c>
      <c r="C10" s="4" t="s">
        <v>431</v>
      </c>
      <c r="D10" s="4" t="s">
        <v>177</v>
      </c>
      <c r="E10" s="9">
        <f>(SUMIF('SECUNDÁRIO RF'!C:C,CONSOLIDADO!B10,'SECUNDÁRIO RF'!N:N)/2)+(SUMIF('PRIMARIO RF'!B:B,CONSOLIDADO!B10,'PRIMARIO RF'!U:U))</f>
        <v>1145.5</v>
      </c>
      <c r="F10" s="9">
        <f>SUMIF('RENDA VARIAVEL | CORRETAGEM'!D:D,CONSOLIDADO!B10,'RENDA VARIAVEL | CORRETAGEM'!H:H)*0.75</f>
        <v>472.30500000000029</v>
      </c>
      <c r="G10" s="9">
        <f>SUMIF('RENDA VARIAVEL | ESTRUTURADAS'!I:I,CONSOLIDADO!B10,'RENDA VARIAVEL | ESTRUTURADAS'!G:G)</f>
        <v>239.1</v>
      </c>
      <c r="H10" s="9">
        <f>SUMIF(CÂMBIO!G:G,CONSOLIDADO!B10,CÂMBIO!O:O)/2</f>
        <v>0</v>
      </c>
      <c r="I10" s="9">
        <f>((SUMIF('FUNDOS FECHADOS'!J:J,CONSOLIDADO!B10,'FUNDOS FECHADOS'!I:I))*0.85)+(SUMIF('SECUNDARIO FUNDOS'!D:D,CONSOLIDADO!B10,'SECUNDARIO FUNDOS'!O:O))</f>
        <v>0</v>
      </c>
      <c r="J10" s="9">
        <f>SUMIF(COE!B:B,CONSOLIDADO!B10,COE!K:K)</f>
        <v>0</v>
      </c>
      <c r="K10" s="10">
        <f t="shared" si="0"/>
        <v>1856.9050000000002</v>
      </c>
    </row>
    <row r="11" spans="2:11" x14ac:dyDescent="0.3">
      <c r="B11" s="8">
        <v>96837</v>
      </c>
      <c r="C11" s="4" t="s">
        <v>210</v>
      </c>
      <c r="D11" s="4" t="s">
        <v>178</v>
      </c>
      <c r="E11" s="9">
        <f>(SUMIF('SECUNDÁRIO RF'!C:C,CONSOLIDADO!B11,'SECUNDÁRIO RF'!N:N)/2)+(SUMIF('PRIMARIO RF'!B:B,CONSOLIDADO!B11,'PRIMARIO RF'!U:U))</f>
        <v>0</v>
      </c>
      <c r="F11" s="9">
        <f>SUMIF('RENDA VARIAVEL | CORRETAGEM'!D:D,CONSOLIDADO!B11,'RENDA VARIAVEL | CORRETAGEM'!H:H)*0.75</f>
        <v>75</v>
      </c>
      <c r="G11" s="9">
        <f>SUMIF('RENDA VARIAVEL | ESTRUTURADAS'!I:I,CONSOLIDADO!B11,'RENDA VARIAVEL | ESTRUTURADAS'!G:G)</f>
        <v>0</v>
      </c>
      <c r="H11" s="9">
        <f>SUMIF(CÂMBIO!G:G,CONSOLIDADO!B11,CÂMBIO!O:O)/2</f>
        <v>0</v>
      </c>
      <c r="I11" s="9">
        <f>((SUMIF('FUNDOS FECHADOS'!J:J,CONSOLIDADO!B11,'FUNDOS FECHADOS'!I:I))*0.85)+(SUMIF('SECUNDARIO FUNDOS'!D:D,CONSOLIDADO!B11,'SECUNDARIO FUNDOS'!O:O))</f>
        <v>106.1754</v>
      </c>
      <c r="J11" s="9">
        <f>SUMIF(COE!B:B,CONSOLIDADO!B11,COE!K:K)</f>
        <v>0</v>
      </c>
      <c r="K11" s="10">
        <f t="shared" si="0"/>
        <v>181.1754</v>
      </c>
    </row>
    <row r="12" spans="2:11" x14ac:dyDescent="0.3">
      <c r="B12" s="8">
        <v>38675</v>
      </c>
      <c r="C12" s="4" t="s">
        <v>432</v>
      </c>
      <c r="D12" s="4" t="s">
        <v>179</v>
      </c>
      <c r="E12" s="9">
        <f>(SUMIF('SECUNDÁRIO RF'!C:C,CONSOLIDADO!B12,'SECUNDÁRIO RF'!N:N)/2)+(SUMIF('PRIMARIO RF'!B:B,CONSOLIDADO!B12,'PRIMARIO RF'!U:U))</f>
        <v>0</v>
      </c>
      <c r="F12" s="9">
        <f>SUMIF('RENDA VARIAVEL | CORRETAGEM'!D:D,CONSOLIDADO!B12,'RENDA VARIAVEL | CORRETAGEM'!H:H)*0.75</f>
        <v>480.90750000000014</v>
      </c>
      <c r="G12" s="9">
        <f>SUMIF('RENDA VARIAVEL | ESTRUTURADAS'!I:I,CONSOLIDADO!B12,'RENDA VARIAVEL | ESTRUTURADAS'!G:G)</f>
        <v>0</v>
      </c>
      <c r="H12" s="9">
        <f>SUMIF(CÂMBIO!G:G,CONSOLIDADO!B12,CÂMBIO!O:O)/2</f>
        <v>514.87</v>
      </c>
      <c r="I12" s="9">
        <f>((SUMIF('FUNDOS FECHADOS'!J:J,CONSOLIDADO!B12,'FUNDOS FECHADOS'!I:I))*0.85)+(SUMIF('SECUNDARIO FUNDOS'!D:D,CONSOLIDADO!B12,'SECUNDARIO FUNDOS'!O:O))</f>
        <v>3094.9186</v>
      </c>
      <c r="J12" s="9">
        <f>SUMIF(COE!B:B,CONSOLIDADO!B12,COE!K:K)</f>
        <v>0</v>
      </c>
      <c r="K12" s="10">
        <f t="shared" si="0"/>
        <v>4090.6961000000001</v>
      </c>
    </row>
    <row r="13" spans="2:11" x14ac:dyDescent="0.3">
      <c r="B13" s="8">
        <v>20020</v>
      </c>
      <c r="C13" s="4" t="s">
        <v>210</v>
      </c>
      <c r="D13" s="4" t="s">
        <v>180</v>
      </c>
      <c r="E13" s="9">
        <f>(SUMIF('SECUNDÁRIO RF'!C:C,CONSOLIDADO!B13,'SECUNDÁRIO RF'!N:N)/2)+(SUMIF('PRIMARIO RF'!B:B,CONSOLIDADO!B13,'PRIMARIO RF'!U:U))</f>
        <v>160</v>
      </c>
      <c r="F13" s="9">
        <f>SUMIF('RENDA VARIAVEL | CORRETAGEM'!D:D,CONSOLIDADO!B13,'RENDA VARIAVEL | CORRETAGEM'!H:H)*0.75</f>
        <v>105.81</v>
      </c>
      <c r="G13" s="9">
        <f>SUMIF('RENDA VARIAVEL | ESTRUTURADAS'!I:I,CONSOLIDADO!B13,'RENDA VARIAVEL | ESTRUTURADAS'!G:G)</f>
        <v>0</v>
      </c>
      <c r="H13" s="9">
        <f>SUMIF(CÂMBIO!G:G,CONSOLIDADO!B13,CÂMBIO!O:O)/2</f>
        <v>45.533432500000004</v>
      </c>
      <c r="I13" s="9">
        <f>((SUMIF('FUNDOS FECHADOS'!J:J,CONSOLIDADO!B13,'FUNDOS FECHADOS'!I:I))*0.85)+(SUMIF('SECUNDARIO FUNDOS'!D:D,CONSOLIDADO!B13,'SECUNDARIO FUNDOS'!O:O))</f>
        <v>0</v>
      </c>
      <c r="J13" s="9">
        <f>SUMIF(COE!B:B,CONSOLIDADO!B13,COE!K:K)</f>
        <v>0</v>
      </c>
      <c r="K13" s="10">
        <f t="shared" si="0"/>
        <v>311.34343250000001</v>
      </c>
    </row>
    <row r="14" spans="2:11" x14ac:dyDescent="0.3">
      <c r="B14" s="8">
        <v>22945</v>
      </c>
      <c r="C14" s="4" t="s">
        <v>433</v>
      </c>
      <c r="D14" s="4" t="s">
        <v>181</v>
      </c>
      <c r="E14" s="9">
        <f>(SUMIF('SECUNDÁRIO RF'!C:C,CONSOLIDADO!B14,'SECUNDÁRIO RF'!N:N)/2)+(SUMIF('PRIMARIO RF'!B:B,CONSOLIDADO!B14,'PRIMARIO RF'!U:U))</f>
        <v>0</v>
      </c>
      <c r="F14" s="9">
        <f>SUMIF('RENDA VARIAVEL | CORRETAGEM'!D:D,CONSOLIDADO!B14,'RENDA VARIAVEL | CORRETAGEM'!H:H)*0.75</f>
        <v>0</v>
      </c>
      <c r="G14" s="9">
        <f>SUMIF('RENDA VARIAVEL | ESTRUTURADAS'!I:I,CONSOLIDADO!B14,'RENDA VARIAVEL | ESTRUTURADAS'!G:G)</f>
        <v>0</v>
      </c>
      <c r="H14" s="9">
        <f>SUMIF(CÂMBIO!G:G,CONSOLIDADO!B14,CÂMBIO!O:O)/2</f>
        <v>0</v>
      </c>
      <c r="I14" s="9">
        <f>((SUMIF('FUNDOS FECHADOS'!J:J,CONSOLIDADO!B14,'FUNDOS FECHADOS'!I:I))*0.85)+(SUMIF('SECUNDARIO FUNDOS'!D:D,CONSOLIDADO!B14,'SECUNDARIO FUNDOS'!O:O))</f>
        <v>0</v>
      </c>
      <c r="J14" s="9">
        <f>SUMIF(COE!B:B,CONSOLIDADO!B14,COE!K:K)</f>
        <v>0</v>
      </c>
      <c r="K14" s="10">
        <f t="shared" si="0"/>
        <v>0</v>
      </c>
    </row>
    <row r="15" spans="2:11" x14ac:dyDescent="0.3">
      <c r="B15" s="8">
        <v>24415</v>
      </c>
      <c r="C15" s="4" t="s">
        <v>431</v>
      </c>
      <c r="D15" s="4" t="s">
        <v>182</v>
      </c>
      <c r="E15" s="9">
        <f>(SUMIF('SECUNDÁRIO RF'!C:C,CONSOLIDADO!B15,'SECUNDÁRIO RF'!N:N)/2)+(SUMIF('PRIMARIO RF'!B:B,CONSOLIDADO!B15,'PRIMARIO RF'!U:U))</f>
        <v>1328</v>
      </c>
      <c r="F15" s="9">
        <f>SUMIF('RENDA VARIAVEL | CORRETAGEM'!D:D,CONSOLIDADO!B15,'RENDA VARIAVEL | CORRETAGEM'!H:H)*0.75</f>
        <v>2415.9600000000009</v>
      </c>
      <c r="G15" s="9">
        <f>SUMIF('RENDA VARIAVEL | ESTRUTURADAS'!I:I,CONSOLIDADO!B15,'RENDA VARIAVEL | ESTRUTURADAS'!G:G)</f>
        <v>9782.630000000001</v>
      </c>
      <c r="H15" s="9">
        <f>SUMIF(CÂMBIO!G:G,CONSOLIDADO!B15,CÂMBIO!O:O)/2</f>
        <v>1478.7709540000001</v>
      </c>
      <c r="I15" s="9">
        <f>((SUMIF('FUNDOS FECHADOS'!J:J,CONSOLIDADO!B15,'FUNDOS FECHADOS'!I:I))*0.85)+(SUMIF('SECUNDARIO FUNDOS'!D:D,CONSOLIDADO!B15,'SECUNDARIO FUNDOS'!O:O))</f>
        <v>6766.8118000000004</v>
      </c>
      <c r="J15" s="9">
        <f>SUMIF(COE!B:B,CONSOLIDADO!B15,COE!K:K)</f>
        <v>0</v>
      </c>
      <c r="K15" s="10">
        <f t="shared" si="0"/>
        <v>21772.172754000003</v>
      </c>
    </row>
    <row r="16" spans="2:11" x14ac:dyDescent="0.3">
      <c r="B16" s="8">
        <v>22103</v>
      </c>
      <c r="C16" s="4" t="s">
        <v>431</v>
      </c>
      <c r="D16" s="4" t="s">
        <v>183</v>
      </c>
      <c r="E16" s="9">
        <f>(SUMIF('SECUNDÁRIO RF'!C:C,CONSOLIDADO!B16,'SECUNDÁRIO RF'!N:N)/2)+(SUMIF('PRIMARIO RF'!B:B,CONSOLIDADO!B16,'PRIMARIO RF'!U:U))</f>
        <v>147879</v>
      </c>
      <c r="F16" s="9">
        <f>SUMIF('RENDA VARIAVEL | CORRETAGEM'!D:D,CONSOLIDADO!B16,'RENDA VARIAVEL | CORRETAGEM'!H:H)*0.75</f>
        <v>9727.3949999999968</v>
      </c>
      <c r="G16" s="9">
        <f>SUMIF('RENDA VARIAVEL | ESTRUTURADAS'!I:I,CONSOLIDADO!B16,'RENDA VARIAVEL | ESTRUTURADAS'!G:G)</f>
        <v>0</v>
      </c>
      <c r="H16" s="9">
        <f>SUMIF(CÂMBIO!G:G,CONSOLIDADO!B16,CÂMBIO!O:O)/2</f>
        <v>485.85</v>
      </c>
      <c r="I16" s="9">
        <f>((SUMIF('FUNDOS FECHADOS'!J:J,CONSOLIDADO!B16,'FUNDOS FECHADOS'!I:I))*0.85)+(SUMIF('SECUNDARIO FUNDOS'!D:D,CONSOLIDADO!B16,'SECUNDARIO FUNDOS'!O:O))</f>
        <v>0</v>
      </c>
      <c r="J16" s="9">
        <f>SUMIF(COE!B:B,CONSOLIDADO!B16,COE!K:K)</f>
        <v>0</v>
      </c>
      <c r="K16" s="10">
        <f t="shared" si="0"/>
        <v>158092.245</v>
      </c>
    </row>
    <row r="17" spans="2:11" x14ac:dyDescent="0.3">
      <c r="B17" s="8">
        <v>25619</v>
      </c>
      <c r="C17" s="4" t="s">
        <v>431</v>
      </c>
      <c r="D17" s="4" t="s">
        <v>184</v>
      </c>
      <c r="E17" s="9">
        <f>(SUMIF('SECUNDÁRIO RF'!C:C,CONSOLIDADO!B17,'SECUNDÁRIO RF'!N:N)/2)+(SUMIF('PRIMARIO RF'!B:B,CONSOLIDADO!B17,'PRIMARIO RF'!U:U))</f>
        <v>20685.5</v>
      </c>
      <c r="F17" s="9">
        <f>SUMIF('RENDA VARIAVEL | CORRETAGEM'!D:D,CONSOLIDADO!B17,'RENDA VARIAVEL | CORRETAGEM'!H:H)*0.75</f>
        <v>6339.5849999999964</v>
      </c>
      <c r="G17" s="9">
        <f>SUMIF('RENDA VARIAVEL | ESTRUTURADAS'!I:I,CONSOLIDADO!B17,'RENDA VARIAVEL | ESTRUTURADAS'!G:G)</f>
        <v>923.03</v>
      </c>
      <c r="H17" s="9">
        <f>SUMIF(CÂMBIO!G:G,CONSOLIDADO!B17,CÂMBIO!O:O)/2</f>
        <v>64.985749499999997</v>
      </c>
      <c r="I17" s="9">
        <f>((SUMIF('FUNDOS FECHADOS'!J:J,CONSOLIDADO!B17,'FUNDOS FECHADOS'!I:I))*0.85)+(SUMIF('SECUNDARIO FUNDOS'!D:D,CONSOLIDADO!B17,'SECUNDARIO FUNDOS'!O:O))</f>
        <v>28143.293399999999</v>
      </c>
      <c r="J17" s="9">
        <f>SUMIF(COE!B:B,CONSOLIDADO!B17,COE!K:K)</f>
        <v>0</v>
      </c>
      <c r="K17" s="10">
        <f t="shared" si="0"/>
        <v>56156.394149499989</v>
      </c>
    </row>
    <row r="18" spans="2:11" x14ac:dyDescent="0.3">
      <c r="B18" s="8">
        <v>99701</v>
      </c>
      <c r="C18" s="4" t="s">
        <v>210</v>
      </c>
      <c r="D18" s="4" t="s">
        <v>185</v>
      </c>
      <c r="E18" s="9">
        <f>(SUMIF('SECUNDÁRIO RF'!C:C,CONSOLIDADO!B18,'SECUNDÁRIO RF'!N:N)/2)+(SUMIF('PRIMARIO RF'!B:B,CONSOLIDADO!B18,'PRIMARIO RF'!U:U))</f>
        <v>0</v>
      </c>
      <c r="F18" s="9">
        <f>SUMIF('RENDA VARIAVEL | CORRETAGEM'!D:D,CONSOLIDADO!B18,'RENDA VARIAVEL | CORRETAGEM'!H:H)*0.75</f>
        <v>0</v>
      </c>
      <c r="G18" s="9">
        <f>SUMIF('RENDA VARIAVEL | ESTRUTURADAS'!I:I,CONSOLIDADO!B18,'RENDA VARIAVEL | ESTRUTURADAS'!G:G)</f>
        <v>0</v>
      </c>
      <c r="H18" s="9">
        <f>SUMIF(CÂMBIO!G:G,CONSOLIDADO!B18,CÂMBIO!O:O)/2</f>
        <v>0</v>
      </c>
      <c r="I18" s="9">
        <f>((SUMIF('FUNDOS FECHADOS'!J:J,CONSOLIDADO!B18,'FUNDOS FECHADOS'!I:I))*0.85)+(SUMIF('SECUNDARIO FUNDOS'!D:D,CONSOLIDADO!B18,'SECUNDARIO FUNDOS'!O:O))</f>
        <v>0</v>
      </c>
      <c r="J18" s="9">
        <f>SUMIF(COE!B:B,CONSOLIDADO!B18,COE!K:K)</f>
        <v>0</v>
      </c>
      <c r="K18" s="10">
        <f t="shared" si="0"/>
        <v>0</v>
      </c>
    </row>
    <row r="19" spans="2:11" x14ac:dyDescent="0.3">
      <c r="B19" s="8">
        <v>22674</v>
      </c>
      <c r="C19" s="4" t="s">
        <v>430</v>
      </c>
      <c r="D19" s="4" t="s">
        <v>186</v>
      </c>
      <c r="E19" s="9">
        <f>(SUMIF('SECUNDÁRIO RF'!C:C,CONSOLIDADO!B19,'SECUNDÁRIO RF'!N:N)/2)+(SUMIF('PRIMARIO RF'!B:B,CONSOLIDADO!B19,'PRIMARIO RF'!U:U))</f>
        <v>22039</v>
      </c>
      <c r="F19" s="9">
        <f>SUMIF('RENDA VARIAVEL | CORRETAGEM'!D:D,CONSOLIDADO!B19,'RENDA VARIAVEL | CORRETAGEM'!H:H)*0.75</f>
        <v>3827.5725000000011</v>
      </c>
      <c r="G19" s="9">
        <f>SUMIF('RENDA VARIAVEL | ESTRUTURADAS'!I:I,CONSOLIDADO!B19,'RENDA VARIAVEL | ESTRUTURADAS'!G:G)</f>
        <v>720.91000000000008</v>
      </c>
      <c r="H19" s="9">
        <f>SUMIF(CÂMBIO!G:G,CONSOLIDADO!B19,CÂMBIO!O:O)/2</f>
        <v>0</v>
      </c>
      <c r="I19" s="9">
        <f>((SUMIF('FUNDOS FECHADOS'!J:J,CONSOLIDADO!B19,'FUNDOS FECHADOS'!I:I))*0.85)+(SUMIF('SECUNDARIO FUNDOS'!D:D,CONSOLIDADO!B19,'SECUNDARIO FUNDOS'!O:O))</f>
        <v>0</v>
      </c>
      <c r="J19" s="9">
        <f>SUMIF(COE!B:B,CONSOLIDADO!B19,COE!K:K)</f>
        <v>0</v>
      </c>
      <c r="K19" s="10">
        <f t="shared" si="0"/>
        <v>26587.482500000002</v>
      </c>
    </row>
    <row r="20" spans="2:11" x14ac:dyDescent="0.3">
      <c r="B20" s="8">
        <v>38517</v>
      </c>
      <c r="C20" s="4" t="s">
        <v>430</v>
      </c>
      <c r="D20" s="4" t="s">
        <v>187</v>
      </c>
      <c r="E20" s="9">
        <f>(SUMIF('SECUNDÁRIO RF'!C:C,CONSOLIDADO!B20,'SECUNDÁRIO RF'!N:N)/2)+(SUMIF('PRIMARIO RF'!B:B,CONSOLIDADO!B20,'PRIMARIO RF'!U:U))</f>
        <v>17635</v>
      </c>
      <c r="F20" s="9">
        <f>SUMIF('RENDA VARIAVEL | CORRETAGEM'!D:D,CONSOLIDADO!B20,'RENDA VARIAVEL | CORRETAGEM'!H:H)*0.75</f>
        <v>1863.8174999999981</v>
      </c>
      <c r="G20" s="9">
        <f>SUMIF('RENDA VARIAVEL | ESTRUTURADAS'!I:I,CONSOLIDADO!B20,'RENDA VARIAVEL | ESTRUTURADAS'!G:G)</f>
        <v>0</v>
      </c>
      <c r="H20" s="9">
        <f>SUMIF(CÂMBIO!G:G,CONSOLIDADO!B20,CÂMBIO!O:O)/2</f>
        <v>738.05699350000009</v>
      </c>
      <c r="I20" s="9">
        <f>((SUMIF('FUNDOS FECHADOS'!J:J,CONSOLIDADO!B20,'FUNDOS FECHADOS'!I:I))*0.85)+(SUMIF('SECUNDARIO FUNDOS'!D:D,CONSOLIDADO!B20,'SECUNDARIO FUNDOS'!O:O))</f>
        <v>0</v>
      </c>
      <c r="J20" s="9">
        <f>SUMIF(COE!B:B,CONSOLIDADO!B20,COE!K:K)</f>
        <v>0</v>
      </c>
      <c r="K20" s="10">
        <f t="shared" si="0"/>
        <v>20236.874493499996</v>
      </c>
    </row>
    <row r="21" spans="2:11" x14ac:dyDescent="0.3">
      <c r="B21" s="8">
        <v>71881</v>
      </c>
      <c r="C21" s="4" t="s">
        <v>430</v>
      </c>
      <c r="D21" s="4" t="s">
        <v>188</v>
      </c>
      <c r="E21" s="9">
        <f>(SUMIF('SECUNDÁRIO RF'!C:C,CONSOLIDADO!B21,'SECUNDÁRIO RF'!N:N)/2)+(SUMIF('PRIMARIO RF'!B:B,CONSOLIDADO!B21,'PRIMARIO RF'!U:U))</f>
        <v>1406</v>
      </c>
      <c r="F21" s="9">
        <f>SUMIF('RENDA VARIAVEL | CORRETAGEM'!D:D,CONSOLIDADO!B21,'RENDA VARIAVEL | CORRETAGEM'!H:H)*0.75</f>
        <v>813.60000000000059</v>
      </c>
      <c r="G21" s="9">
        <f>SUMIF('RENDA VARIAVEL | ESTRUTURADAS'!I:I,CONSOLIDADO!B21,'RENDA VARIAVEL | ESTRUTURADAS'!G:G)</f>
        <v>0</v>
      </c>
      <c r="H21" s="9">
        <f>SUMIF(CÂMBIO!G:G,CONSOLIDADO!B21,CÂMBIO!O:O)/2</f>
        <v>668.24189350000006</v>
      </c>
      <c r="I21" s="9">
        <f>((SUMIF('FUNDOS FECHADOS'!J:J,CONSOLIDADO!B21,'FUNDOS FECHADOS'!I:I))*0.85)+(SUMIF('SECUNDARIO FUNDOS'!D:D,CONSOLIDADO!B21,'SECUNDARIO FUNDOS'!O:O))</f>
        <v>0</v>
      </c>
      <c r="J21" s="9">
        <f>SUMIF(COE!B:B,CONSOLIDADO!B21,COE!K:K)</f>
        <v>0</v>
      </c>
      <c r="K21" s="10">
        <f t="shared" si="0"/>
        <v>2887.8418935000004</v>
      </c>
    </row>
    <row r="22" spans="2:11" x14ac:dyDescent="0.3">
      <c r="B22" s="8">
        <v>68710</v>
      </c>
      <c r="C22" s="4" t="s">
        <v>430</v>
      </c>
      <c r="D22" s="4" t="s">
        <v>189</v>
      </c>
      <c r="E22" s="9">
        <f>(SUMIF('SECUNDÁRIO RF'!C:C,CONSOLIDADO!B22,'SECUNDÁRIO RF'!N:N)/2)+(SUMIF('PRIMARIO RF'!B:B,CONSOLIDADO!B22,'PRIMARIO RF'!U:U))</f>
        <v>70.5</v>
      </c>
      <c r="F22" s="9">
        <f>SUMIF('RENDA VARIAVEL | CORRETAGEM'!D:D,CONSOLIDADO!B22,'RENDA VARIAVEL | CORRETAGEM'!H:H)*0.75</f>
        <v>12.645</v>
      </c>
      <c r="G22" s="9">
        <f>SUMIF('RENDA VARIAVEL | ESTRUTURADAS'!I:I,CONSOLIDADO!B22,'RENDA VARIAVEL | ESTRUTURADAS'!G:G)</f>
        <v>0</v>
      </c>
      <c r="H22" s="9">
        <f>SUMIF(CÂMBIO!G:G,CONSOLIDADO!B22,CÂMBIO!O:O)/2</f>
        <v>0</v>
      </c>
      <c r="I22" s="9">
        <f>((SUMIF('FUNDOS FECHADOS'!J:J,CONSOLIDADO!B22,'FUNDOS FECHADOS'!I:I))*0.85)+(SUMIF('SECUNDARIO FUNDOS'!D:D,CONSOLIDADO!B22,'SECUNDARIO FUNDOS'!O:O))</f>
        <v>0</v>
      </c>
      <c r="J22" s="9">
        <f>SUMIF(COE!B:B,CONSOLIDADO!B22,COE!K:K)</f>
        <v>0</v>
      </c>
      <c r="K22" s="10">
        <f t="shared" si="0"/>
        <v>83.144999999999996</v>
      </c>
    </row>
    <row r="23" spans="2:11" x14ac:dyDescent="0.3">
      <c r="B23" s="8">
        <v>69579</v>
      </c>
      <c r="C23" s="4" t="s">
        <v>430</v>
      </c>
      <c r="D23" s="4" t="s">
        <v>190</v>
      </c>
      <c r="E23" s="9">
        <f>(SUMIF('SECUNDÁRIO RF'!C:C,CONSOLIDADO!B23,'SECUNDÁRIO RF'!N:N)/2)+(SUMIF('PRIMARIO RF'!B:B,CONSOLIDADO!B23,'PRIMARIO RF'!U:U))</f>
        <v>4199.5</v>
      </c>
      <c r="F23" s="9">
        <f>SUMIF('RENDA VARIAVEL | CORRETAGEM'!D:D,CONSOLIDADO!B23,'RENDA VARIAVEL | CORRETAGEM'!H:H)*0.75</f>
        <v>438.61499999999995</v>
      </c>
      <c r="G23" s="9">
        <f>SUMIF('RENDA VARIAVEL | ESTRUTURADAS'!I:I,CONSOLIDADO!B23,'RENDA VARIAVEL | ESTRUTURADAS'!G:G)</f>
        <v>0</v>
      </c>
      <c r="H23" s="9">
        <f>SUMIF(CÂMBIO!G:G,CONSOLIDADO!B23,CÂMBIO!O:O)/2</f>
        <v>0</v>
      </c>
      <c r="I23" s="9">
        <f>((SUMIF('FUNDOS FECHADOS'!J:J,CONSOLIDADO!B23,'FUNDOS FECHADOS'!I:I))*0.85)+(SUMIF('SECUNDARIO FUNDOS'!D:D,CONSOLIDADO!B23,'SECUNDARIO FUNDOS'!O:O))</f>
        <v>0</v>
      </c>
      <c r="J23" s="9">
        <f>SUMIF(COE!B:B,CONSOLIDADO!B23,COE!K:K)</f>
        <v>0</v>
      </c>
      <c r="K23" s="10">
        <f t="shared" si="0"/>
        <v>4638.1149999999998</v>
      </c>
    </row>
    <row r="24" spans="2:11" x14ac:dyDescent="0.3">
      <c r="B24" s="8">
        <v>40901</v>
      </c>
      <c r="C24" s="4" t="s">
        <v>434</v>
      </c>
      <c r="D24" s="4" t="s">
        <v>191</v>
      </c>
      <c r="E24" s="9">
        <f>(SUMIF('SECUNDÁRIO RF'!C:C,CONSOLIDADO!B24,'SECUNDÁRIO RF'!N:N)/2)+(SUMIF('PRIMARIO RF'!B:B,CONSOLIDADO!B24,'PRIMARIO RF'!U:U))</f>
        <v>3506</v>
      </c>
      <c r="F24" s="9">
        <f>SUMIF('RENDA VARIAVEL | CORRETAGEM'!D:D,CONSOLIDADO!B24,'RENDA VARIAVEL | CORRETAGEM'!H:H)*0.75</f>
        <v>827.83500000000026</v>
      </c>
      <c r="G24" s="9">
        <f>SUMIF('RENDA VARIAVEL | ESTRUTURADAS'!I:I,CONSOLIDADO!B24,'RENDA VARIAVEL | ESTRUTURADAS'!G:G)</f>
        <v>0</v>
      </c>
      <c r="H24" s="9">
        <f>SUMIF(CÂMBIO!G:G,CONSOLIDADO!B24,CÂMBIO!O:O)/2</f>
        <v>1927.1264000000001</v>
      </c>
      <c r="I24" s="9">
        <f>((SUMIF('FUNDOS FECHADOS'!J:J,CONSOLIDADO!B24,'FUNDOS FECHADOS'!I:I))*0.85)+(SUMIF('SECUNDARIO FUNDOS'!D:D,CONSOLIDADO!B24,'SECUNDARIO FUNDOS'!O:O))</f>
        <v>0</v>
      </c>
      <c r="J24" s="9">
        <f>SUMIF(COE!B:B,CONSOLIDADO!B24,COE!K:K)</f>
        <v>0</v>
      </c>
      <c r="K24" s="10">
        <f t="shared" si="0"/>
        <v>6260.9614000000001</v>
      </c>
    </row>
    <row r="25" spans="2:11" x14ac:dyDescent="0.3">
      <c r="B25" s="8">
        <v>21559</v>
      </c>
      <c r="C25" s="4" t="s">
        <v>434</v>
      </c>
      <c r="D25" s="4" t="s">
        <v>192</v>
      </c>
      <c r="E25" s="9">
        <f>(SUMIF('SECUNDÁRIO RF'!C:C,CONSOLIDADO!B25,'SECUNDÁRIO RF'!N:N)/2)+(SUMIF('PRIMARIO RF'!B:B,CONSOLIDADO!B25,'PRIMARIO RF'!U:U))</f>
        <v>10747.5</v>
      </c>
      <c r="F25" s="9">
        <f>SUMIF('RENDA VARIAVEL | CORRETAGEM'!D:D,CONSOLIDADO!B25,'RENDA VARIAVEL | CORRETAGEM'!H:H)*0.75</f>
        <v>2608.9275000000002</v>
      </c>
      <c r="G25" s="9">
        <f>SUMIF('RENDA VARIAVEL | ESTRUTURADAS'!I:I,CONSOLIDADO!B25,'RENDA VARIAVEL | ESTRUTURADAS'!G:G)</f>
        <v>704.17</v>
      </c>
      <c r="H25" s="9">
        <f>SUMIF(CÂMBIO!G:G,CONSOLIDADO!B25,CÂMBIO!O:O)/2</f>
        <v>0</v>
      </c>
      <c r="I25" s="9">
        <f>((SUMIF('FUNDOS FECHADOS'!J:J,CONSOLIDADO!B25,'FUNDOS FECHADOS'!I:I))*0.85)+(SUMIF('SECUNDARIO FUNDOS'!D:D,CONSOLIDADO!B25,'SECUNDARIO FUNDOS'!O:O))</f>
        <v>0</v>
      </c>
      <c r="J25" s="9">
        <f>SUMIF(COE!B:B,CONSOLIDADO!B25,COE!K:K)</f>
        <v>0</v>
      </c>
      <c r="K25" s="10">
        <f t="shared" si="0"/>
        <v>14060.5975</v>
      </c>
    </row>
    <row r="26" spans="2:11" x14ac:dyDescent="0.3">
      <c r="B26" s="8">
        <v>41072</v>
      </c>
      <c r="C26" s="4" t="s">
        <v>434</v>
      </c>
      <c r="D26" s="4" t="s">
        <v>193</v>
      </c>
      <c r="E26" s="9">
        <f>(SUMIF('SECUNDÁRIO RF'!C:C,CONSOLIDADO!B26,'SECUNDÁRIO RF'!N:N)/2)+(SUMIF('PRIMARIO RF'!B:B,CONSOLIDADO!B26,'PRIMARIO RF'!U:U))</f>
        <v>24389.5</v>
      </c>
      <c r="F26" s="9">
        <f>SUMIF('RENDA VARIAVEL | CORRETAGEM'!D:D,CONSOLIDADO!B26,'RENDA VARIAVEL | CORRETAGEM'!H:H)*0.75</f>
        <v>30238.627499999988</v>
      </c>
      <c r="G26" s="9">
        <f>SUMIF('RENDA VARIAVEL | ESTRUTURADAS'!I:I,CONSOLIDADO!B26,'RENDA VARIAVEL | ESTRUTURADAS'!G:G)</f>
        <v>3399.93</v>
      </c>
      <c r="H26" s="9">
        <f>SUMIF(CÂMBIO!G:G,CONSOLIDADO!B26,CÂMBIO!O:O)/2</f>
        <v>0</v>
      </c>
      <c r="I26" s="9">
        <f>((SUMIF('FUNDOS FECHADOS'!J:J,CONSOLIDADO!B26,'FUNDOS FECHADOS'!I:I))*0.85)+(SUMIF('SECUNDARIO FUNDOS'!D:D,CONSOLIDADO!B26,'SECUNDARIO FUNDOS'!O:O))</f>
        <v>0</v>
      </c>
      <c r="J26" s="9">
        <f>SUMIF(COE!B:B,CONSOLIDADO!B26,COE!K:K)</f>
        <v>0</v>
      </c>
      <c r="K26" s="10">
        <f t="shared" si="0"/>
        <v>58028.057499999988</v>
      </c>
    </row>
    <row r="27" spans="2:11" x14ac:dyDescent="0.3">
      <c r="B27" s="8">
        <v>23648</v>
      </c>
      <c r="C27" s="4" t="s">
        <v>434</v>
      </c>
      <c r="D27" s="4" t="s">
        <v>194</v>
      </c>
      <c r="E27" s="9">
        <f>(SUMIF('SECUNDÁRIO RF'!C:C,CONSOLIDADO!B27,'SECUNDÁRIO RF'!N:N)/2)+(SUMIF('PRIMARIO RF'!B:B,CONSOLIDADO!B27,'PRIMARIO RF'!U:U))</f>
        <v>8128</v>
      </c>
      <c r="F27" s="9">
        <f>SUMIF('RENDA VARIAVEL | CORRETAGEM'!D:D,CONSOLIDADO!B27,'RENDA VARIAVEL | CORRETAGEM'!H:H)*0.75</f>
        <v>4157.9850000000006</v>
      </c>
      <c r="G27" s="9">
        <f>SUMIF('RENDA VARIAVEL | ESTRUTURADAS'!I:I,CONSOLIDADO!B27,'RENDA VARIAVEL | ESTRUTURADAS'!G:G)</f>
        <v>242.93</v>
      </c>
      <c r="H27" s="9">
        <f>SUMIF(CÂMBIO!G:G,CONSOLIDADO!B27,CÂMBIO!O:O)/2</f>
        <v>0</v>
      </c>
      <c r="I27" s="9">
        <f>((SUMIF('FUNDOS FECHADOS'!J:J,CONSOLIDADO!B27,'FUNDOS FECHADOS'!I:I))*0.85)+(SUMIF('SECUNDARIO FUNDOS'!D:D,CONSOLIDADO!B27,'SECUNDARIO FUNDOS'!O:O))</f>
        <v>556.27379999999994</v>
      </c>
      <c r="J27" s="9">
        <f>SUMIF(COE!B:B,CONSOLIDADO!B27,COE!K:K)</f>
        <v>935.5</v>
      </c>
      <c r="K27" s="10">
        <f t="shared" si="0"/>
        <v>14020.6888</v>
      </c>
    </row>
    <row r="28" spans="2:11" x14ac:dyDescent="0.3">
      <c r="B28" s="8">
        <v>74304</v>
      </c>
      <c r="C28" s="4" t="s">
        <v>434</v>
      </c>
      <c r="D28" s="4" t="s">
        <v>195</v>
      </c>
      <c r="E28" s="9">
        <f>(SUMIF('SECUNDÁRIO RF'!C:C,CONSOLIDADO!B28,'SECUNDÁRIO RF'!N:N)/2)+(SUMIF('PRIMARIO RF'!B:B,CONSOLIDADO!B28,'PRIMARIO RF'!U:U))</f>
        <v>3508.5</v>
      </c>
      <c r="F28" s="9">
        <f>SUMIF('RENDA VARIAVEL | CORRETAGEM'!D:D,CONSOLIDADO!B28,'RENDA VARIAVEL | CORRETAGEM'!H:H)*0.75</f>
        <v>1153.9424999999999</v>
      </c>
      <c r="G28" s="9">
        <f>SUMIF('RENDA VARIAVEL | ESTRUTURADAS'!I:I,CONSOLIDADO!B28,'RENDA VARIAVEL | ESTRUTURADAS'!G:G)</f>
        <v>431.34</v>
      </c>
      <c r="H28" s="9">
        <f>SUMIF(CÂMBIO!G:G,CONSOLIDADO!B28,CÂMBIO!O:O)/2</f>
        <v>0</v>
      </c>
      <c r="I28" s="9">
        <f>((SUMIF('FUNDOS FECHADOS'!J:J,CONSOLIDADO!B28,'FUNDOS FECHADOS'!I:I))*0.85)+(SUMIF('SECUNDARIO FUNDOS'!D:D,CONSOLIDADO!B28,'SECUNDARIO FUNDOS'!O:O))</f>
        <v>1623.1376</v>
      </c>
      <c r="J28" s="9">
        <f>SUMIF(COE!B:B,CONSOLIDADO!B28,COE!K:K)</f>
        <v>0</v>
      </c>
      <c r="K28" s="10">
        <f t="shared" si="0"/>
        <v>6716.9201000000003</v>
      </c>
    </row>
    <row r="29" spans="2:11" x14ac:dyDescent="0.3">
      <c r="B29" s="8">
        <v>35984</v>
      </c>
      <c r="C29" s="4" t="s">
        <v>433</v>
      </c>
      <c r="D29" s="4" t="s">
        <v>196</v>
      </c>
      <c r="E29" s="9">
        <f>(SUMIF('SECUNDÁRIO RF'!C:C,CONSOLIDADO!B29,'SECUNDÁRIO RF'!N:N)/2)+(SUMIF('PRIMARIO RF'!B:B,CONSOLIDADO!B29,'PRIMARIO RF'!U:U))</f>
        <v>0</v>
      </c>
      <c r="F29" s="9">
        <f>SUMIF('RENDA VARIAVEL | CORRETAGEM'!D:D,CONSOLIDADO!B29,'RENDA VARIAVEL | CORRETAGEM'!H:H)*0.75</f>
        <v>19.259999999999998</v>
      </c>
      <c r="G29" s="9">
        <f>SUMIF('RENDA VARIAVEL | ESTRUTURADAS'!I:I,CONSOLIDADO!B29,'RENDA VARIAVEL | ESTRUTURADAS'!G:G)</f>
        <v>0</v>
      </c>
      <c r="H29" s="9">
        <f>SUMIF(CÂMBIO!G:G,CONSOLIDADO!B29,CÂMBIO!O:O)/2</f>
        <v>0</v>
      </c>
      <c r="I29" s="9">
        <f>((SUMIF('FUNDOS FECHADOS'!J:J,CONSOLIDADO!B29,'FUNDOS FECHADOS'!I:I))*0.85)+(SUMIF('SECUNDARIO FUNDOS'!D:D,CONSOLIDADO!B29,'SECUNDARIO FUNDOS'!O:O))</f>
        <v>0</v>
      </c>
      <c r="J29" s="9">
        <f>SUMIF(COE!B:B,CONSOLIDADO!B29,COE!K:K)</f>
        <v>0</v>
      </c>
      <c r="K29" s="10">
        <f t="shared" si="0"/>
        <v>19.259999999999998</v>
      </c>
    </row>
    <row r="30" spans="2:11" x14ac:dyDescent="0.3">
      <c r="B30" s="8">
        <v>71997</v>
      </c>
      <c r="C30" s="4" t="s">
        <v>434</v>
      </c>
      <c r="D30" s="4" t="s">
        <v>197</v>
      </c>
      <c r="E30" s="9">
        <f>(SUMIF('SECUNDÁRIO RF'!C:C,CONSOLIDADO!B30,'SECUNDÁRIO RF'!N:N)/2)+(SUMIF('PRIMARIO RF'!B:B,CONSOLIDADO!B30,'PRIMARIO RF'!U:U))</f>
        <v>36481.5</v>
      </c>
      <c r="F30" s="9">
        <f>SUMIF('RENDA VARIAVEL | CORRETAGEM'!D:D,CONSOLIDADO!B30,'RENDA VARIAVEL | CORRETAGEM'!H:H)*0.75</f>
        <v>1409.655</v>
      </c>
      <c r="G30" s="9">
        <f>SUMIF('RENDA VARIAVEL | ESTRUTURADAS'!I:I,CONSOLIDADO!B30,'RENDA VARIAVEL | ESTRUTURADAS'!G:G)</f>
        <v>0</v>
      </c>
      <c r="H30" s="9">
        <f>SUMIF(CÂMBIO!G:G,CONSOLIDADO!B30,CÂMBIO!O:O)/2</f>
        <v>3123.79</v>
      </c>
      <c r="I30" s="9">
        <f>((SUMIF('FUNDOS FECHADOS'!J:J,CONSOLIDADO!B30,'FUNDOS FECHADOS'!I:I))*0.85)+(SUMIF('SECUNDARIO FUNDOS'!D:D,CONSOLIDADO!B30,'SECUNDARIO FUNDOS'!O:O))</f>
        <v>0</v>
      </c>
      <c r="J30" s="9">
        <f>SUMIF(COE!B:B,CONSOLIDADO!B30,COE!K:K)</f>
        <v>0</v>
      </c>
      <c r="K30" s="10">
        <f t="shared" si="0"/>
        <v>41014.945</v>
      </c>
    </row>
    <row r="31" spans="2:11" x14ac:dyDescent="0.3">
      <c r="B31" s="8">
        <v>69493</v>
      </c>
      <c r="C31" s="4" t="s">
        <v>430</v>
      </c>
      <c r="D31" s="4" t="s">
        <v>198</v>
      </c>
      <c r="E31" s="9">
        <f>(SUMIF('SECUNDÁRIO RF'!C:C,CONSOLIDADO!B31,'SECUNDÁRIO RF'!N:N)/2)+(SUMIF('PRIMARIO RF'!B:B,CONSOLIDADO!B31,'PRIMARIO RF'!U:U))</f>
        <v>135</v>
      </c>
      <c r="F31" s="9">
        <f>SUMIF('RENDA VARIAVEL | CORRETAGEM'!D:D,CONSOLIDADO!B31,'RENDA VARIAVEL | CORRETAGEM'!H:H)*0.75</f>
        <v>1015.0125000000006</v>
      </c>
      <c r="G31" s="9">
        <f>SUMIF('RENDA VARIAVEL | ESTRUTURADAS'!I:I,CONSOLIDADO!B31,'RENDA VARIAVEL | ESTRUTURADAS'!G:G)</f>
        <v>0</v>
      </c>
      <c r="H31" s="9">
        <f>SUMIF(CÂMBIO!G:G,CONSOLIDADO!B31,CÂMBIO!O:O)/2</f>
        <v>116.69103150000001</v>
      </c>
      <c r="I31" s="9">
        <f>((SUMIF('FUNDOS FECHADOS'!J:J,CONSOLIDADO!B31,'FUNDOS FECHADOS'!I:I))*0.85)+(SUMIF('SECUNDARIO FUNDOS'!D:D,CONSOLIDADO!B31,'SECUNDARIO FUNDOS'!O:O))</f>
        <v>0</v>
      </c>
      <c r="J31" s="9">
        <f>SUMIF(COE!B:B,CONSOLIDADO!B31,COE!K:K)</f>
        <v>0</v>
      </c>
      <c r="K31" s="10">
        <f t="shared" si="0"/>
        <v>1266.7035315000007</v>
      </c>
    </row>
    <row r="32" spans="2:11" x14ac:dyDescent="0.3">
      <c r="B32" s="8">
        <v>68407</v>
      </c>
      <c r="C32" s="4" t="s">
        <v>434</v>
      </c>
      <c r="D32" s="4" t="s">
        <v>199</v>
      </c>
      <c r="E32" s="9">
        <f>(SUMIF('SECUNDÁRIO RF'!C:C,CONSOLIDADO!B32,'SECUNDÁRIO RF'!N:N)/2)+(SUMIF('PRIMARIO RF'!B:B,CONSOLIDADO!B32,'PRIMARIO RF'!U:U))</f>
        <v>0</v>
      </c>
      <c r="F32" s="9">
        <f>SUMIF('RENDA VARIAVEL | CORRETAGEM'!D:D,CONSOLIDADO!B32,'RENDA VARIAVEL | CORRETAGEM'!H:H)*0.75</f>
        <v>0</v>
      </c>
      <c r="G32" s="9">
        <f>SUMIF('RENDA VARIAVEL | ESTRUTURADAS'!I:I,CONSOLIDADO!B32,'RENDA VARIAVEL | ESTRUTURADAS'!G:G)</f>
        <v>0</v>
      </c>
      <c r="H32" s="9">
        <f>SUMIF(CÂMBIO!G:G,CONSOLIDADO!B32,CÂMBIO!O:O)/2</f>
        <v>0</v>
      </c>
      <c r="I32" s="9">
        <f>((SUMIF('FUNDOS FECHADOS'!J:J,CONSOLIDADO!B32,'FUNDOS FECHADOS'!I:I))*0.85)+(SUMIF('SECUNDARIO FUNDOS'!D:D,CONSOLIDADO!B32,'SECUNDARIO FUNDOS'!O:O))</f>
        <v>0</v>
      </c>
      <c r="J32" s="9">
        <f>SUMIF(COE!B:B,CONSOLIDADO!B32,COE!K:K)</f>
        <v>0</v>
      </c>
      <c r="K32" s="10">
        <f t="shared" si="0"/>
        <v>0</v>
      </c>
    </row>
    <row r="33" spans="2:13" x14ac:dyDescent="0.3">
      <c r="B33" s="8">
        <v>23410</v>
      </c>
      <c r="C33" s="4" t="s">
        <v>430</v>
      </c>
      <c r="D33" s="4" t="s">
        <v>200</v>
      </c>
      <c r="E33" s="9">
        <f>(SUMIF('SECUNDÁRIO RF'!C:C,CONSOLIDADO!B33,'SECUNDÁRIO RF'!N:N)/2)+(SUMIF('PRIMARIO RF'!B:B,CONSOLIDADO!B33,'PRIMARIO RF'!U:U))</f>
        <v>17092.5</v>
      </c>
      <c r="F33" s="9">
        <f>SUMIF('RENDA VARIAVEL | CORRETAGEM'!D:D,CONSOLIDADO!B33,'RENDA VARIAVEL | CORRETAGEM'!H:H)*0.75</f>
        <v>3341.4825000000019</v>
      </c>
      <c r="G33" s="9">
        <f>SUMIF('RENDA VARIAVEL | ESTRUTURADAS'!I:I,CONSOLIDADO!B33,'RENDA VARIAVEL | ESTRUTURADAS'!G:G)</f>
        <v>1096.57</v>
      </c>
      <c r="H33" s="9">
        <f>SUMIF(CÂMBIO!G:G,CONSOLIDADO!B33,CÂMBIO!O:O)/2</f>
        <v>158.51435000000001</v>
      </c>
      <c r="I33" s="9">
        <f>((SUMIF('FUNDOS FECHADOS'!J:J,CONSOLIDADO!B33,'FUNDOS FECHADOS'!I:I))*0.85)+(SUMIF('SECUNDARIO FUNDOS'!D:D,CONSOLIDADO!B33,'SECUNDARIO FUNDOS'!O:O))</f>
        <v>0</v>
      </c>
      <c r="J33" s="9">
        <f>SUMIF(COE!B:B,CONSOLIDADO!B33,COE!K:K)</f>
        <v>0</v>
      </c>
      <c r="K33" s="10">
        <f t="shared" si="0"/>
        <v>21689.066850000003</v>
      </c>
    </row>
    <row r="34" spans="2:13" x14ac:dyDescent="0.3">
      <c r="B34" s="8">
        <v>25104</v>
      </c>
      <c r="C34" s="4" t="s">
        <v>430</v>
      </c>
      <c r="D34" s="4" t="s">
        <v>201</v>
      </c>
      <c r="E34" s="9">
        <f>(SUMIF('SECUNDÁRIO RF'!C:C,CONSOLIDADO!B34,'SECUNDÁRIO RF'!N:N)/2)+(SUMIF('PRIMARIO RF'!B:B,CONSOLIDADO!B34,'PRIMARIO RF'!U:U))</f>
        <v>1919</v>
      </c>
      <c r="F34" s="9">
        <f>SUMIF('RENDA VARIAVEL | CORRETAGEM'!D:D,CONSOLIDADO!B34,'RENDA VARIAVEL | CORRETAGEM'!H:H)*0.75</f>
        <v>3636.9825000000001</v>
      </c>
      <c r="G34" s="9">
        <f>SUMIF('RENDA VARIAVEL | ESTRUTURADAS'!I:I,CONSOLIDADO!B34,'RENDA VARIAVEL | ESTRUTURADAS'!G:G)</f>
        <v>0</v>
      </c>
      <c r="H34" s="9">
        <f>SUMIF(CÂMBIO!G:G,CONSOLIDADO!B34,CÂMBIO!O:O)/2</f>
        <v>0</v>
      </c>
      <c r="I34" s="9">
        <f>((SUMIF('FUNDOS FECHADOS'!J:J,CONSOLIDADO!B34,'FUNDOS FECHADOS'!I:I))*0.85)+(SUMIF('SECUNDARIO FUNDOS'!D:D,CONSOLIDADO!B34,'SECUNDARIO FUNDOS'!O:O))</f>
        <v>0</v>
      </c>
      <c r="J34" s="9">
        <f>SUMIF(COE!B:B,CONSOLIDADO!B34,COE!K:K)</f>
        <v>0</v>
      </c>
      <c r="K34" s="10">
        <f t="shared" si="0"/>
        <v>5555.9825000000001</v>
      </c>
    </row>
    <row r="35" spans="2:13" x14ac:dyDescent="0.3">
      <c r="B35" s="8">
        <v>99742</v>
      </c>
      <c r="C35" s="4" t="s">
        <v>433</v>
      </c>
      <c r="D35" s="4" t="s">
        <v>202</v>
      </c>
      <c r="E35" s="9">
        <f>(SUMIF('SECUNDÁRIO RF'!C:C,CONSOLIDADO!B35,'SECUNDÁRIO RF'!N:N)/2)+(SUMIF('PRIMARIO RF'!B:B,CONSOLIDADO!B35,'PRIMARIO RF'!U:U))</f>
        <v>0</v>
      </c>
      <c r="F35" s="9">
        <f>SUMIF('RENDA VARIAVEL | CORRETAGEM'!D:D,CONSOLIDADO!B35,'RENDA VARIAVEL | CORRETAGEM'!H:H)*0.75</f>
        <v>0</v>
      </c>
      <c r="G35" s="9">
        <f>SUMIF('RENDA VARIAVEL | ESTRUTURADAS'!I:I,CONSOLIDADO!B35,'RENDA VARIAVEL | ESTRUTURADAS'!G:G)</f>
        <v>0</v>
      </c>
      <c r="H35" s="9">
        <f>SUMIF(CÂMBIO!G:G,CONSOLIDADO!B35,CÂMBIO!O:O)/2</f>
        <v>0</v>
      </c>
      <c r="I35" s="9">
        <f>((SUMIF('FUNDOS FECHADOS'!J:J,CONSOLIDADO!B35,'FUNDOS FECHADOS'!I:I))*0.85)+(SUMIF('SECUNDARIO FUNDOS'!D:D,CONSOLIDADO!B35,'SECUNDARIO FUNDOS'!O:O))</f>
        <v>0</v>
      </c>
      <c r="J35" s="9">
        <f>SUMIF(COE!B:B,CONSOLIDADO!B35,COE!K:K)</f>
        <v>0</v>
      </c>
      <c r="K35" s="10">
        <f t="shared" si="0"/>
        <v>0</v>
      </c>
    </row>
    <row r="36" spans="2:13" x14ac:dyDescent="0.3">
      <c r="B36" s="8">
        <v>68542</v>
      </c>
      <c r="C36" s="4" t="s">
        <v>435</v>
      </c>
      <c r="D36" s="4" t="s">
        <v>203</v>
      </c>
      <c r="E36" s="9">
        <f>(SUMIF('SECUNDÁRIO RF'!C:C,CONSOLIDADO!B36,'SECUNDÁRIO RF'!N:N)/2)+(SUMIF('PRIMARIO RF'!B:B,CONSOLIDADO!B36,'PRIMARIO RF'!U:U))</f>
        <v>709.5</v>
      </c>
      <c r="F36" s="9">
        <f>SUMIF('RENDA VARIAVEL | CORRETAGEM'!D:D,CONSOLIDADO!B36,'RENDA VARIAVEL | CORRETAGEM'!H:H)*0.75</f>
        <v>982.11000000000013</v>
      </c>
      <c r="G36" s="9">
        <f>SUMIF('RENDA VARIAVEL | ESTRUTURADAS'!I:I,CONSOLIDADO!B36,'RENDA VARIAVEL | ESTRUTURADAS'!G:G)</f>
        <v>0</v>
      </c>
      <c r="H36" s="9">
        <f>SUMIF(CÂMBIO!G:G,CONSOLIDADO!B36,CÂMBIO!O:O)/2</f>
        <v>0</v>
      </c>
      <c r="I36" s="9">
        <f>((SUMIF('FUNDOS FECHADOS'!J:J,CONSOLIDADO!B36,'FUNDOS FECHADOS'!I:I))*0.85)+(SUMIF('SECUNDARIO FUNDOS'!D:D,CONSOLIDADO!B36,'SECUNDARIO FUNDOS'!O:O))</f>
        <v>0</v>
      </c>
      <c r="J36" s="9">
        <f>SUMIF(COE!B:B,CONSOLIDADO!B36,COE!K:K)</f>
        <v>0</v>
      </c>
      <c r="K36" s="10">
        <f t="shared" si="0"/>
        <v>1691.6100000000001</v>
      </c>
    </row>
    <row r="37" spans="2:13" x14ac:dyDescent="0.3">
      <c r="B37" s="8">
        <v>72444</v>
      </c>
      <c r="C37" s="4" t="s">
        <v>435</v>
      </c>
      <c r="D37" s="4" t="s">
        <v>204</v>
      </c>
      <c r="E37" s="9">
        <f>(SUMIF('SECUNDÁRIO RF'!C:C,CONSOLIDADO!B37,'SECUNDÁRIO RF'!N:N)/2)+(SUMIF('PRIMARIO RF'!B:B,CONSOLIDADO!B37,'PRIMARIO RF'!U:U))</f>
        <v>740.5</v>
      </c>
      <c r="F37" s="9">
        <f>SUMIF('RENDA VARIAVEL | CORRETAGEM'!D:D,CONSOLIDADO!B37,'RENDA VARIAVEL | CORRETAGEM'!H:H)*0.75</f>
        <v>1226.1899999999996</v>
      </c>
      <c r="G37" s="9">
        <f>SUMIF('RENDA VARIAVEL | ESTRUTURADAS'!I:I,CONSOLIDADO!B37,'RENDA VARIAVEL | ESTRUTURADAS'!G:G)</f>
        <v>4266.41</v>
      </c>
      <c r="H37" s="9">
        <f>SUMIF(CÂMBIO!G:G,CONSOLIDADO!B37,CÂMBIO!O:O)/2</f>
        <v>41.359421499999996</v>
      </c>
      <c r="I37" s="9">
        <f>((SUMIF('FUNDOS FECHADOS'!J:J,CONSOLIDADO!B37,'FUNDOS FECHADOS'!I:I))*0.85)+(SUMIF('SECUNDARIO FUNDOS'!D:D,CONSOLIDADO!B37,'SECUNDARIO FUNDOS'!O:O))</f>
        <v>95.30040000000001</v>
      </c>
      <c r="J37" s="9">
        <f>SUMIF(COE!B:B,CONSOLIDADO!B37,COE!K:K)</f>
        <v>0</v>
      </c>
      <c r="K37" s="10">
        <f t="shared" si="0"/>
        <v>6369.7598214999998</v>
      </c>
    </row>
    <row r="38" spans="2:13" x14ac:dyDescent="0.3">
      <c r="B38" s="11">
        <v>21468</v>
      </c>
      <c r="C38" s="12" t="s">
        <v>435</v>
      </c>
      <c r="D38" s="12" t="s">
        <v>205</v>
      </c>
      <c r="E38" s="13">
        <f>(SUMIF('SECUNDÁRIO RF'!C:C,CONSOLIDADO!B38,'SECUNDÁRIO RF'!N:N)/2)+(SUMIF('PRIMARIO RF'!B:B,CONSOLIDADO!B38,'PRIMARIO RF'!U:U))</f>
        <v>10712</v>
      </c>
      <c r="F38" s="13">
        <f>SUMIF('RENDA VARIAVEL | CORRETAGEM'!D:D,CONSOLIDADO!B38,'RENDA VARIAVEL | CORRETAGEM'!H:H)*0.75</f>
        <v>3064.5450000000005</v>
      </c>
      <c r="G38" s="13">
        <f>SUMIF('RENDA VARIAVEL | ESTRUTURADAS'!I:I,CONSOLIDADO!B38,'RENDA VARIAVEL | ESTRUTURADAS'!G:G)</f>
        <v>604.74</v>
      </c>
      <c r="H38" s="13">
        <f>SUMIF(CÂMBIO!G:G,CONSOLIDADO!B38,CÂMBIO!O:O)/2</f>
        <v>652.58734750000008</v>
      </c>
      <c r="I38" s="13">
        <f>((SUMIF('FUNDOS FECHADOS'!J:J,CONSOLIDADO!B38,'FUNDOS FECHADOS'!I:I))*0.85)+(SUMIF('SECUNDARIO FUNDOS'!D:D,CONSOLIDADO!B38,'SECUNDARIO FUNDOS'!O:O))</f>
        <v>3319.5787999999998</v>
      </c>
      <c r="J38" s="13">
        <f>SUMIF(COE!B:B,CONSOLIDADO!B38,COE!K:K)</f>
        <v>335</v>
      </c>
      <c r="K38" s="14">
        <f t="shared" si="0"/>
        <v>18688.4511475</v>
      </c>
    </row>
    <row r="40" spans="2:13" x14ac:dyDescent="0.3">
      <c r="D40" s="18" t="s">
        <v>428</v>
      </c>
      <c r="E40" s="17">
        <f>SUM(E7:E38)</f>
        <v>389722</v>
      </c>
      <c r="F40" s="17">
        <f t="shared" ref="F40:J40" si="1">SUM(F7:F38)</f>
        <v>91568.669999999969</v>
      </c>
      <c r="G40" s="17">
        <f t="shared" si="1"/>
        <v>25862.860000000004</v>
      </c>
      <c r="H40" s="17">
        <f t="shared" si="1"/>
        <v>11673.011866500001</v>
      </c>
      <c r="I40" s="17">
        <f t="shared" si="1"/>
        <v>77617.220599999986</v>
      </c>
      <c r="J40" s="17">
        <f t="shared" si="1"/>
        <v>1270.5</v>
      </c>
      <c r="K40" s="17">
        <f t="shared" si="0"/>
        <v>597714.26246649993</v>
      </c>
      <c r="L40" s="9">
        <v>350000</v>
      </c>
      <c r="M40" s="9">
        <f>L40+K40</f>
        <v>947714.26246649993</v>
      </c>
    </row>
  </sheetData>
  <mergeCells count="1">
    <mergeCell ref="D5:I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0A5D-9CEB-4A80-B46F-E763C60E570F}">
  <dimension ref="B2:M40"/>
  <sheetViews>
    <sheetView showGridLines="0" tabSelected="1" topLeftCell="G4" zoomScaleNormal="100" workbookViewId="0">
      <selection activeCell="L7" sqref="L7"/>
    </sheetView>
  </sheetViews>
  <sheetFormatPr defaultRowHeight="14.4" x14ac:dyDescent="0.3"/>
  <cols>
    <col min="1" max="1" width="8.88671875" style="4"/>
    <col min="2" max="2" width="10.33203125" style="4" bestFit="1" customWidth="1"/>
    <col min="3" max="3" width="22.44140625" style="4" customWidth="1"/>
    <col min="4" max="4" width="36.33203125" style="4" customWidth="1"/>
    <col min="5" max="5" width="31.109375" style="4" bestFit="1" customWidth="1"/>
    <col min="6" max="6" width="30.109375" style="4" bestFit="1" customWidth="1"/>
    <col min="7" max="7" width="22.33203125" style="4" bestFit="1" customWidth="1"/>
    <col min="8" max="8" width="10.44140625" style="4" bestFit="1" customWidth="1"/>
    <col min="9" max="9" width="36" style="4" bestFit="1" customWidth="1"/>
    <col min="10" max="10" width="10.44140625" style="4" bestFit="1" customWidth="1"/>
    <col min="11" max="11" width="11.44140625" style="4" bestFit="1" customWidth="1"/>
    <col min="12" max="13" width="13.109375" style="4" bestFit="1" customWidth="1"/>
    <col min="14" max="16384" width="8.88671875" style="4"/>
  </cols>
  <sheetData>
    <row r="2" spans="2:12" x14ac:dyDescent="0.3">
      <c r="B2" s="4" t="s">
        <v>21</v>
      </c>
    </row>
    <row r="3" spans="2:12" x14ac:dyDescent="0.3">
      <c r="B3" s="5">
        <v>46077</v>
      </c>
    </row>
    <row r="5" spans="2:12" ht="15" thickBot="1" x14ac:dyDescent="0.35">
      <c r="D5" s="38" t="s">
        <v>210</v>
      </c>
      <c r="E5" s="38"/>
      <c r="F5" s="38"/>
      <c r="G5" s="38"/>
      <c r="H5" s="38"/>
      <c r="I5" s="38"/>
    </row>
    <row r="6" spans="2:12" ht="15" thickTop="1" x14ac:dyDescent="0.3">
      <c r="B6" s="6" t="s">
        <v>5</v>
      </c>
      <c r="C6" s="7" t="s">
        <v>429</v>
      </c>
      <c r="D6" s="7" t="s">
        <v>206</v>
      </c>
      <c r="E6" s="7" t="s">
        <v>169</v>
      </c>
      <c r="F6" s="7" t="s">
        <v>170</v>
      </c>
      <c r="G6" s="7" t="s">
        <v>171</v>
      </c>
      <c r="H6" s="7" t="s">
        <v>172</v>
      </c>
      <c r="I6" s="7" t="s">
        <v>173</v>
      </c>
      <c r="J6" s="7" t="s">
        <v>211</v>
      </c>
      <c r="K6" s="7" t="s">
        <v>209</v>
      </c>
    </row>
    <row r="7" spans="2:12" x14ac:dyDescent="0.3">
      <c r="B7" s="8">
        <v>22103</v>
      </c>
      <c r="C7" s="4" t="s">
        <v>431</v>
      </c>
      <c r="D7" s="4" t="s">
        <v>183</v>
      </c>
      <c r="E7" s="9">
        <v>147879</v>
      </c>
      <c r="F7" s="9">
        <v>9727.3949999999968</v>
      </c>
      <c r="G7" s="9">
        <v>0</v>
      </c>
      <c r="H7" s="9">
        <v>485.85</v>
      </c>
      <c r="I7" s="9">
        <v>0</v>
      </c>
      <c r="J7" s="9">
        <v>0</v>
      </c>
      <c r="K7" s="10">
        <v>158092.245</v>
      </c>
      <c r="L7" s="37">
        <f>(K7+K8+K10+K14+K23+K28)/K40</f>
        <v>0.52786454742860256</v>
      </c>
    </row>
    <row r="8" spans="2:12" x14ac:dyDescent="0.3">
      <c r="B8" s="8">
        <v>49894</v>
      </c>
      <c r="C8" s="4" t="s">
        <v>431</v>
      </c>
      <c r="D8" s="4" t="s">
        <v>176</v>
      </c>
      <c r="E8" s="9">
        <v>32617</v>
      </c>
      <c r="F8" s="9">
        <v>4720.2299999999977</v>
      </c>
      <c r="G8" s="9">
        <v>0</v>
      </c>
      <c r="H8" s="9">
        <v>701.29094500000008</v>
      </c>
      <c r="I8" s="9">
        <v>33911.730799999998</v>
      </c>
      <c r="J8" s="9">
        <v>0</v>
      </c>
      <c r="K8" s="10">
        <v>71950.251744999987</v>
      </c>
    </row>
    <row r="9" spans="2:12" x14ac:dyDescent="0.3">
      <c r="B9" s="8">
        <v>41072</v>
      </c>
      <c r="C9" s="4" t="s">
        <v>434</v>
      </c>
      <c r="D9" s="4" t="s">
        <v>193</v>
      </c>
      <c r="E9" s="9">
        <v>24389.5</v>
      </c>
      <c r="F9" s="9">
        <v>30238.627499999988</v>
      </c>
      <c r="G9" s="9">
        <v>3399.93</v>
      </c>
      <c r="H9" s="9">
        <v>0</v>
      </c>
      <c r="I9" s="9">
        <v>0</v>
      </c>
      <c r="J9" s="9">
        <v>0</v>
      </c>
      <c r="K9" s="10">
        <v>58028.057499999988</v>
      </c>
    </row>
    <row r="10" spans="2:12" x14ac:dyDescent="0.3">
      <c r="B10" s="8">
        <v>25619</v>
      </c>
      <c r="C10" s="4" t="s">
        <v>431</v>
      </c>
      <c r="D10" s="4" t="s">
        <v>184</v>
      </c>
      <c r="E10" s="9">
        <v>20685.5</v>
      </c>
      <c r="F10" s="9">
        <v>6339.5849999999964</v>
      </c>
      <c r="G10" s="9">
        <v>923.03</v>
      </c>
      <c r="H10" s="9">
        <v>64.985749499999997</v>
      </c>
      <c r="I10" s="9">
        <v>28143.293399999999</v>
      </c>
      <c r="J10" s="9">
        <v>0</v>
      </c>
      <c r="K10" s="10">
        <v>56156.394149499989</v>
      </c>
    </row>
    <row r="11" spans="2:12" x14ac:dyDescent="0.3">
      <c r="B11" s="8">
        <v>71997</v>
      </c>
      <c r="C11" s="4" t="s">
        <v>434</v>
      </c>
      <c r="D11" s="4" t="s">
        <v>197</v>
      </c>
      <c r="E11" s="9">
        <v>36481.5</v>
      </c>
      <c r="F11" s="9">
        <v>1409.655</v>
      </c>
      <c r="G11" s="9">
        <v>0</v>
      </c>
      <c r="H11" s="9">
        <v>3123.79</v>
      </c>
      <c r="I11" s="9">
        <v>0</v>
      </c>
      <c r="J11" s="9">
        <v>0</v>
      </c>
      <c r="K11" s="10">
        <v>41014.945</v>
      </c>
    </row>
    <row r="12" spans="2:12" x14ac:dyDescent="0.3">
      <c r="B12" s="8">
        <v>69519</v>
      </c>
      <c r="C12" s="4" t="s">
        <v>430</v>
      </c>
      <c r="D12" s="4" t="s">
        <v>174</v>
      </c>
      <c r="E12" s="9">
        <v>19018.5</v>
      </c>
      <c r="F12" s="9">
        <v>5171.4825000000019</v>
      </c>
      <c r="G12" s="9">
        <v>3451.1000000000004</v>
      </c>
      <c r="H12" s="9">
        <v>161.33334799999997</v>
      </c>
      <c r="I12" s="9">
        <v>0</v>
      </c>
      <c r="J12" s="9">
        <v>0</v>
      </c>
      <c r="K12" s="10">
        <v>27802.415848000004</v>
      </c>
    </row>
    <row r="13" spans="2:12" x14ac:dyDescent="0.3">
      <c r="B13" s="8">
        <v>22674</v>
      </c>
      <c r="C13" s="4" t="s">
        <v>430</v>
      </c>
      <c r="D13" s="4" t="s">
        <v>186</v>
      </c>
      <c r="E13" s="9">
        <v>22039</v>
      </c>
      <c r="F13" s="9">
        <v>3827.5725000000011</v>
      </c>
      <c r="G13" s="9">
        <v>720.91000000000008</v>
      </c>
      <c r="H13" s="9">
        <v>0</v>
      </c>
      <c r="I13" s="9">
        <v>0</v>
      </c>
      <c r="J13" s="9">
        <v>0</v>
      </c>
      <c r="K13" s="10">
        <v>26587.482500000002</v>
      </c>
    </row>
    <row r="14" spans="2:12" x14ac:dyDescent="0.3">
      <c r="B14" s="8">
        <v>24415</v>
      </c>
      <c r="C14" s="4" t="s">
        <v>431</v>
      </c>
      <c r="D14" s="4" t="s">
        <v>182</v>
      </c>
      <c r="E14" s="9">
        <v>1328</v>
      </c>
      <c r="F14" s="9">
        <v>2415.9600000000009</v>
      </c>
      <c r="G14" s="9">
        <v>9782.630000000001</v>
      </c>
      <c r="H14" s="9">
        <v>1478.7709540000001</v>
      </c>
      <c r="I14" s="9">
        <v>6766.8118000000004</v>
      </c>
      <c r="J14" s="9">
        <v>0</v>
      </c>
      <c r="K14" s="10">
        <v>21772.172754000003</v>
      </c>
    </row>
    <row r="15" spans="2:12" x14ac:dyDescent="0.3">
      <c r="B15" s="8">
        <v>23410</v>
      </c>
      <c r="C15" s="4" t="s">
        <v>430</v>
      </c>
      <c r="D15" s="4" t="s">
        <v>200</v>
      </c>
      <c r="E15" s="9">
        <v>17092.5</v>
      </c>
      <c r="F15" s="9">
        <v>3341.4825000000019</v>
      </c>
      <c r="G15" s="9">
        <v>1096.57</v>
      </c>
      <c r="H15" s="9">
        <v>158.51435000000001</v>
      </c>
      <c r="I15" s="9">
        <v>0</v>
      </c>
      <c r="J15" s="9">
        <v>0</v>
      </c>
      <c r="K15" s="10">
        <v>21689.066850000003</v>
      </c>
    </row>
    <row r="16" spans="2:12" x14ac:dyDescent="0.3">
      <c r="B16" s="8">
        <v>38517</v>
      </c>
      <c r="C16" s="4" t="s">
        <v>430</v>
      </c>
      <c r="D16" s="4" t="s">
        <v>187</v>
      </c>
      <c r="E16" s="9">
        <v>17635</v>
      </c>
      <c r="F16" s="9">
        <v>1863.8174999999981</v>
      </c>
      <c r="G16" s="9">
        <v>0</v>
      </c>
      <c r="H16" s="9">
        <v>738.05699350000009</v>
      </c>
      <c r="I16" s="9">
        <v>0</v>
      </c>
      <c r="J16" s="9">
        <v>0</v>
      </c>
      <c r="K16" s="10">
        <v>20236.874493499996</v>
      </c>
    </row>
    <row r="17" spans="2:11" x14ac:dyDescent="0.3">
      <c r="B17" s="8">
        <v>21468</v>
      </c>
      <c r="C17" s="4" t="s">
        <v>435</v>
      </c>
      <c r="D17" s="4" t="s">
        <v>205</v>
      </c>
      <c r="E17" s="15">
        <v>10712</v>
      </c>
      <c r="F17" s="15">
        <v>3064.5450000000005</v>
      </c>
      <c r="G17" s="15">
        <v>604.74</v>
      </c>
      <c r="H17" s="15">
        <v>652.58734750000008</v>
      </c>
      <c r="I17" s="15">
        <v>3319.5787999999998</v>
      </c>
      <c r="J17" s="15">
        <v>335</v>
      </c>
      <c r="K17" s="10">
        <v>18688.4511475</v>
      </c>
    </row>
    <row r="18" spans="2:11" x14ac:dyDescent="0.3">
      <c r="B18" s="8">
        <v>21559</v>
      </c>
      <c r="C18" s="4" t="s">
        <v>434</v>
      </c>
      <c r="D18" s="4" t="s">
        <v>192</v>
      </c>
      <c r="E18" s="9">
        <v>10747.5</v>
      </c>
      <c r="F18" s="9">
        <v>2608.9275000000002</v>
      </c>
      <c r="G18" s="9">
        <v>704.17</v>
      </c>
      <c r="H18" s="9">
        <v>0</v>
      </c>
      <c r="I18" s="9">
        <v>0</v>
      </c>
      <c r="J18" s="9">
        <v>0</v>
      </c>
      <c r="K18" s="10">
        <v>14060.5975</v>
      </c>
    </row>
    <row r="19" spans="2:11" x14ac:dyDescent="0.3">
      <c r="B19" s="8">
        <v>23648</v>
      </c>
      <c r="C19" s="4" t="s">
        <v>434</v>
      </c>
      <c r="D19" s="4" t="s">
        <v>194</v>
      </c>
      <c r="E19" s="9">
        <v>8128</v>
      </c>
      <c r="F19" s="9">
        <v>4157.9850000000006</v>
      </c>
      <c r="G19" s="9">
        <v>242.93</v>
      </c>
      <c r="H19" s="9">
        <v>0</v>
      </c>
      <c r="I19" s="9">
        <v>556.27379999999994</v>
      </c>
      <c r="J19" s="9">
        <v>935.5</v>
      </c>
      <c r="K19" s="10">
        <v>14020.6888</v>
      </c>
    </row>
    <row r="20" spans="2:11" x14ac:dyDescent="0.3">
      <c r="B20" s="8">
        <v>74304</v>
      </c>
      <c r="C20" s="4" t="s">
        <v>434</v>
      </c>
      <c r="D20" s="4" t="s">
        <v>195</v>
      </c>
      <c r="E20" s="9">
        <v>3508.5</v>
      </c>
      <c r="F20" s="9">
        <v>1153.9424999999999</v>
      </c>
      <c r="G20" s="9">
        <v>431.34</v>
      </c>
      <c r="H20" s="9">
        <v>0</v>
      </c>
      <c r="I20" s="9">
        <v>1623.1376</v>
      </c>
      <c r="J20" s="9">
        <v>0</v>
      </c>
      <c r="K20" s="10">
        <v>6716.9201000000003</v>
      </c>
    </row>
    <row r="21" spans="2:11" x14ac:dyDescent="0.3">
      <c r="B21" s="8">
        <v>72444</v>
      </c>
      <c r="C21" s="4" t="s">
        <v>435</v>
      </c>
      <c r="D21" s="4" t="s">
        <v>204</v>
      </c>
      <c r="E21" s="9">
        <v>740.5</v>
      </c>
      <c r="F21" s="9">
        <v>1226.1899999999996</v>
      </c>
      <c r="G21" s="9">
        <v>4266.41</v>
      </c>
      <c r="H21" s="9">
        <v>41.359421499999996</v>
      </c>
      <c r="I21" s="9">
        <v>95.30040000000001</v>
      </c>
      <c r="J21" s="9">
        <v>0</v>
      </c>
      <c r="K21" s="10">
        <v>6369.7598214999998</v>
      </c>
    </row>
    <row r="22" spans="2:11" x14ac:dyDescent="0.3">
      <c r="B22" s="8">
        <v>40901</v>
      </c>
      <c r="C22" s="4" t="s">
        <v>434</v>
      </c>
      <c r="D22" s="4" t="s">
        <v>191</v>
      </c>
      <c r="E22" s="9">
        <v>3506</v>
      </c>
      <c r="F22" s="9">
        <v>827.83500000000026</v>
      </c>
      <c r="G22" s="9">
        <v>0</v>
      </c>
      <c r="H22" s="9">
        <v>1927.1264000000001</v>
      </c>
      <c r="I22" s="9">
        <v>0</v>
      </c>
      <c r="J22" s="9">
        <v>0</v>
      </c>
      <c r="K22" s="10">
        <v>6260.9614000000001</v>
      </c>
    </row>
    <row r="23" spans="2:11" x14ac:dyDescent="0.3">
      <c r="B23" s="8">
        <v>27086</v>
      </c>
      <c r="C23" s="4" t="s">
        <v>431</v>
      </c>
      <c r="D23" s="4" t="s">
        <v>175</v>
      </c>
      <c r="E23" s="9">
        <v>3469</v>
      </c>
      <c r="F23" s="9">
        <v>1421.19</v>
      </c>
      <c r="G23" s="9">
        <v>0</v>
      </c>
      <c r="H23" s="9">
        <v>794.01</v>
      </c>
      <c r="I23" s="9">
        <v>0</v>
      </c>
      <c r="J23" s="9">
        <v>0</v>
      </c>
      <c r="K23" s="10">
        <v>5684.2000000000007</v>
      </c>
    </row>
    <row r="24" spans="2:11" x14ac:dyDescent="0.3">
      <c r="B24" s="8">
        <v>25104</v>
      </c>
      <c r="C24" s="4" t="s">
        <v>430</v>
      </c>
      <c r="D24" s="4" t="s">
        <v>201</v>
      </c>
      <c r="E24" s="9">
        <v>1919</v>
      </c>
      <c r="F24" s="9">
        <v>3636.9825000000001</v>
      </c>
      <c r="G24" s="9">
        <v>0</v>
      </c>
      <c r="H24" s="9">
        <v>0</v>
      </c>
      <c r="I24" s="9">
        <v>0</v>
      </c>
      <c r="J24" s="9">
        <v>0</v>
      </c>
      <c r="K24" s="10">
        <v>5555.9825000000001</v>
      </c>
    </row>
    <row r="25" spans="2:11" x14ac:dyDescent="0.3">
      <c r="B25" s="8">
        <v>69579</v>
      </c>
      <c r="C25" s="4" t="s">
        <v>430</v>
      </c>
      <c r="D25" s="4" t="s">
        <v>190</v>
      </c>
      <c r="E25" s="9">
        <v>4199.5</v>
      </c>
      <c r="F25" s="9">
        <v>438.61499999999995</v>
      </c>
      <c r="G25" s="9">
        <v>0</v>
      </c>
      <c r="H25" s="9">
        <v>0</v>
      </c>
      <c r="I25" s="9">
        <v>0</v>
      </c>
      <c r="J25" s="9">
        <v>0</v>
      </c>
      <c r="K25" s="10">
        <v>4638.1149999999998</v>
      </c>
    </row>
    <row r="26" spans="2:11" x14ac:dyDescent="0.3">
      <c r="B26" s="8">
        <v>38675</v>
      </c>
      <c r="C26" s="4" t="s">
        <v>432</v>
      </c>
      <c r="D26" s="4" t="s">
        <v>179</v>
      </c>
      <c r="E26" s="9">
        <v>0</v>
      </c>
      <c r="F26" s="9">
        <v>480.90750000000014</v>
      </c>
      <c r="G26" s="9">
        <v>0</v>
      </c>
      <c r="H26" s="9">
        <v>514.87</v>
      </c>
      <c r="I26" s="9">
        <v>3094.9186</v>
      </c>
      <c r="J26" s="9">
        <v>0</v>
      </c>
      <c r="K26" s="10">
        <v>4090.6961000000001</v>
      </c>
    </row>
    <row r="27" spans="2:11" x14ac:dyDescent="0.3">
      <c r="B27" s="8">
        <v>71881</v>
      </c>
      <c r="C27" s="4" t="s">
        <v>430</v>
      </c>
      <c r="D27" s="4" t="s">
        <v>188</v>
      </c>
      <c r="E27" s="9">
        <v>1406</v>
      </c>
      <c r="F27" s="9">
        <v>813.60000000000059</v>
      </c>
      <c r="G27" s="9">
        <v>0</v>
      </c>
      <c r="H27" s="9">
        <v>668.24189350000006</v>
      </c>
      <c r="I27" s="9">
        <v>0</v>
      </c>
      <c r="J27" s="9">
        <v>0</v>
      </c>
      <c r="K27" s="10">
        <v>2887.8418935000004</v>
      </c>
    </row>
    <row r="28" spans="2:11" x14ac:dyDescent="0.3">
      <c r="B28" s="8">
        <v>96553</v>
      </c>
      <c r="C28" s="4" t="s">
        <v>431</v>
      </c>
      <c r="D28" s="4" t="s">
        <v>177</v>
      </c>
      <c r="E28" s="9">
        <v>1145.5</v>
      </c>
      <c r="F28" s="9">
        <v>472.30500000000029</v>
      </c>
      <c r="G28" s="9">
        <v>239.1</v>
      </c>
      <c r="H28" s="9">
        <v>0</v>
      </c>
      <c r="I28" s="9">
        <v>0</v>
      </c>
      <c r="J28" s="9">
        <v>0</v>
      </c>
      <c r="K28" s="10">
        <v>1856.9050000000002</v>
      </c>
    </row>
    <row r="29" spans="2:11" x14ac:dyDescent="0.3">
      <c r="B29" s="8">
        <v>68542</v>
      </c>
      <c r="C29" s="4" t="s">
        <v>435</v>
      </c>
      <c r="D29" s="4" t="s">
        <v>203</v>
      </c>
      <c r="E29" s="9">
        <v>709.5</v>
      </c>
      <c r="F29" s="9">
        <v>982.11000000000013</v>
      </c>
      <c r="G29" s="9">
        <v>0</v>
      </c>
      <c r="H29" s="9">
        <v>0</v>
      </c>
      <c r="I29" s="9">
        <v>0</v>
      </c>
      <c r="J29" s="9">
        <v>0</v>
      </c>
      <c r="K29" s="10">
        <v>1691.6100000000001</v>
      </c>
    </row>
    <row r="30" spans="2:11" x14ac:dyDescent="0.3">
      <c r="B30" s="8">
        <v>69493</v>
      </c>
      <c r="C30" s="4" t="s">
        <v>430</v>
      </c>
      <c r="D30" s="4" t="s">
        <v>198</v>
      </c>
      <c r="E30" s="9">
        <v>135</v>
      </c>
      <c r="F30" s="9">
        <v>1015.0125000000006</v>
      </c>
      <c r="G30" s="9">
        <v>0</v>
      </c>
      <c r="H30" s="9">
        <v>116.69103150000001</v>
      </c>
      <c r="I30" s="9">
        <v>0</v>
      </c>
      <c r="J30" s="9">
        <v>0</v>
      </c>
      <c r="K30" s="10">
        <v>1266.7035315000007</v>
      </c>
    </row>
    <row r="31" spans="2:11" x14ac:dyDescent="0.3">
      <c r="B31" s="8">
        <v>20020</v>
      </c>
      <c r="C31" s="4" t="s">
        <v>210</v>
      </c>
      <c r="D31" s="4" t="s">
        <v>180</v>
      </c>
      <c r="E31" s="9">
        <v>160</v>
      </c>
      <c r="F31" s="9">
        <v>105.81</v>
      </c>
      <c r="G31" s="9">
        <v>0</v>
      </c>
      <c r="H31" s="9">
        <v>45.533432500000004</v>
      </c>
      <c r="I31" s="9">
        <v>0</v>
      </c>
      <c r="J31" s="9">
        <v>0</v>
      </c>
      <c r="K31" s="10">
        <v>311.34343250000001</v>
      </c>
    </row>
    <row r="32" spans="2:11" x14ac:dyDescent="0.3">
      <c r="B32" s="8">
        <v>96837</v>
      </c>
      <c r="C32" s="4" t="s">
        <v>210</v>
      </c>
      <c r="D32" s="4" t="s">
        <v>178</v>
      </c>
      <c r="E32" s="9">
        <v>0</v>
      </c>
      <c r="F32" s="9">
        <v>75</v>
      </c>
      <c r="G32" s="9">
        <v>0</v>
      </c>
      <c r="H32" s="9">
        <v>0</v>
      </c>
      <c r="I32" s="9">
        <v>106.1754</v>
      </c>
      <c r="J32" s="9">
        <v>0</v>
      </c>
      <c r="K32" s="10">
        <v>181.1754</v>
      </c>
    </row>
    <row r="33" spans="2:13" x14ac:dyDescent="0.3">
      <c r="B33" s="8">
        <v>68710</v>
      </c>
      <c r="C33" s="4" t="s">
        <v>430</v>
      </c>
      <c r="D33" s="4" t="s">
        <v>189</v>
      </c>
      <c r="E33" s="9">
        <v>70.5</v>
      </c>
      <c r="F33" s="9">
        <v>12.645</v>
      </c>
      <c r="G33" s="9">
        <v>0</v>
      </c>
      <c r="H33" s="9">
        <v>0</v>
      </c>
      <c r="I33" s="9">
        <v>0</v>
      </c>
      <c r="J33" s="9">
        <v>0</v>
      </c>
      <c r="K33" s="10">
        <v>83.144999999999996</v>
      </c>
    </row>
    <row r="34" spans="2:13" x14ac:dyDescent="0.3">
      <c r="B34" s="8">
        <v>35984</v>
      </c>
      <c r="C34" s="4" t="s">
        <v>433</v>
      </c>
      <c r="D34" s="4" t="s">
        <v>196</v>
      </c>
      <c r="E34" s="9">
        <v>0</v>
      </c>
      <c r="F34" s="9">
        <v>19.259999999999998</v>
      </c>
      <c r="G34" s="9">
        <v>0</v>
      </c>
      <c r="H34" s="9">
        <v>0</v>
      </c>
      <c r="I34" s="9">
        <v>0</v>
      </c>
      <c r="J34" s="9">
        <v>0</v>
      </c>
      <c r="K34" s="10">
        <v>19.259999999999998</v>
      </c>
    </row>
    <row r="35" spans="2:13" x14ac:dyDescent="0.3">
      <c r="B35" s="8">
        <v>22945</v>
      </c>
      <c r="C35" s="4" t="s">
        <v>433</v>
      </c>
      <c r="D35" s="4" t="s">
        <v>181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10">
        <v>0</v>
      </c>
    </row>
    <row r="36" spans="2:13" x14ac:dyDescent="0.3">
      <c r="B36" s="8">
        <v>99701</v>
      </c>
      <c r="C36" s="4" t="s">
        <v>210</v>
      </c>
      <c r="D36" s="4" t="s">
        <v>185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10">
        <v>0</v>
      </c>
    </row>
    <row r="37" spans="2:13" x14ac:dyDescent="0.3">
      <c r="B37" s="8">
        <v>68407</v>
      </c>
      <c r="C37" s="4" t="s">
        <v>434</v>
      </c>
      <c r="D37" s="4" t="s">
        <v>199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10">
        <v>0</v>
      </c>
    </row>
    <row r="38" spans="2:13" x14ac:dyDescent="0.3">
      <c r="B38" s="11">
        <v>99742</v>
      </c>
      <c r="C38" s="12" t="s">
        <v>433</v>
      </c>
      <c r="D38" s="12" t="s">
        <v>202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4">
        <v>0</v>
      </c>
    </row>
    <row r="40" spans="2:13" x14ac:dyDescent="0.3">
      <c r="D40" s="18" t="s">
        <v>428</v>
      </c>
      <c r="E40" s="17">
        <f>SUM(E7:E38)</f>
        <v>389722</v>
      </c>
      <c r="F40" s="17">
        <f t="shared" ref="F40:J40" si="0">SUM(F7:F38)</f>
        <v>91568.670000000013</v>
      </c>
      <c r="G40" s="17">
        <f t="shared" si="0"/>
        <v>25862.86</v>
      </c>
      <c r="H40" s="17">
        <f t="shared" si="0"/>
        <v>11673.011866500003</v>
      </c>
      <c r="I40" s="17">
        <f t="shared" si="0"/>
        <v>77617.220599999986</v>
      </c>
      <c r="J40" s="17">
        <f t="shared" si="0"/>
        <v>1270.5</v>
      </c>
      <c r="K40" s="17">
        <f t="shared" ref="K40" si="1">SUM(E40:J40)</f>
        <v>597714.26246650005</v>
      </c>
      <c r="L40" s="9">
        <v>350000</v>
      </c>
      <c r="M40" s="9">
        <f>L40+K40</f>
        <v>947714.26246650005</v>
      </c>
    </row>
  </sheetData>
  <autoFilter ref="B6:K38" xr:uid="{4B2F0A5D-9CEB-4A80-B46F-E763C60E570F}"/>
  <mergeCells count="1">
    <mergeCell ref="D5:I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9504-4679-4E8E-8F4F-30C79C55CE7B}">
  <sheetPr codeName="Planilha3"/>
  <dimension ref="B2:T464"/>
  <sheetViews>
    <sheetView workbookViewId="0">
      <selection activeCell="C1" sqref="C1"/>
    </sheetView>
  </sheetViews>
  <sheetFormatPr defaultRowHeight="14.4" x14ac:dyDescent="0.3"/>
  <cols>
    <col min="2" max="2" width="10.33203125" bestFit="1" customWidth="1"/>
    <col min="3" max="3" width="16.33203125" bestFit="1" customWidth="1"/>
    <col min="4" max="4" width="14.5546875" bestFit="1" customWidth="1"/>
    <col min="5" max="5" width="27.44140625" bestFit="1" customWidth="1"/>
    <col min="6" max="6" width="14.33203125" bestFit="1" customWidth="1"/>
    <col min="7" max="7" width="53.5546875" bestFit="1" customWidth="1"/>
    <col min="8" max="8" width="14" bestFit="1" customWidth="1"/>
    <col min="9" max="9" width="15.5546875" bestFit="1" customWidth="1"/>
    <col min="10" max="10" width="14" bestFit="1" customWidth="1"/>
    <col min="11" max="11" width="17.88671875" bestFit="1" customWidth="1"/>
    <col min="12" max="12" width="15.5546875" bestFit="1" customWidth="1"/>
    <col min="13" max="13" width="11.88671875" bestFit="1" customWidth="1"/>
    <col min="14" max="14" width="19.109375" bestFit="1" customWidth="1"/>
    <col min="15" max="15" width="14" bestFit="1" customWidth="1"/>
    <col min="16" max="16" width="11.77734375" bestFit="1" customWidth="1"/>
    <col min="17" max="17" width="15.6640625" bestFit="1" customWidth="1"/>
    <col min="18" max="18" width="13.44140625" bestFit="1" customWidth="1"/>
    <col min="19" max="20" width="13.44140625" customWidth="1"/>
  </cols>
  <sheetData>
    <row r="2" spans="2:20" x14ac:dyDescent="0.3">
      <c r="B2" s="19" t="s">
        <v>0</v>
      </c>
      <c r="C2" s="19" t="s">
        <v>207</v>
      </c>
      <c r="D2" s="19" t="s">
        <v>22</v>
      </c>
      <c r="E2" s="19" t="s">
        <v>23</v>
      </c>
      <c r="F2" s="19" t="s">
        <v>24</v>
      </c>
      <c r="G2" s="19" t="s">
        <v>25</v>
      </c>
      <c r="H2" s="19" t="s">
        <v>26</v>
      </c>
      <c r="I2" s="19" t="s">
        <v>27</v>
      </c>
      <c r="J2" s="19" t="s">
        <v>28</v>
      </c>
      <c r="K2" s="19" t="s">
        <v>29</v>
      </c>
      <c r="L2" s="19" t="s">
        <v>30</v>
      </c>
      <c r="M2" s="19" t="s">
        <v>31</v>
      </c>
      <c r="N2" s="19" t="s">
        <v>13</v>
      </c>
      <c r="O2" s="19" t="s">
        <v>32</v>
      </c>
      <c r="P2" s="19" t="s">
        <v>33</v>
      </c>
      <c r="Q2" s="19" t="s">
        <v>10</v>
      </c>
      <c r="R2" s="19" t="s">
        <v>34</v>
      </c>
      <c r="S2" s="21"/>
      <c r="T2" s="21"/>
    </row>
    <row r="3" spans="2:20" x14ac:dyDescent="0.3">
      <c r="B3" s="27">
        <v>46055</v>
      </c>
      <c r="C3">
        <v>22674</v>
      </c>
      <c r="D3" s="28">
        <v>8014791</v>
      </c>
      <c r="E3" t="s">
        <v>45</v>
      </c>
      <c r="F3" t="s">
        <v>511</v>
      </c>
      <c r="G3" t="s">
        <v>512</v>
      </c>
      <c r="H3" t="s">
        <v>43</v>
      </c>
      <c r="I3" s="27">
        <v>46125</v>
      </c>
      <c r="J3" t="s">
        <v>27</v>
      </c>
      <c r="K3" t="s">
        <v>41</v>
      </c>
      <c r="L3">
        <v>22</v>
      </c>
      <c r="M3" s="29">
        <v>-33788</v>
      </c>
      <c r="N3" s="29">
        <v>14</v>
      </c>
      <c r="O3">
        <v>1535.8</v>
      </c>
      <c r="P3">
        <v>1536.5</v>
      </c>
      <c r="Q3">
        <v>10.75</v>
      </c>
      <c r="R3">
        <v>10.5</v>
      </c>
      <c r="S3" s="21"/>
      <c r="T3" s="21"/>
    </row>
    <row r="4" spans="2:20" x14ac:dyDescent="0.3">
      <c r="B4" s="27">
        <v>46055</v>
      </c>
      <c r="C4">
        <v>23410</v>
      </c>
      <c r="D4" s="28">
        <v>284340</v>
      </c>
      <c r="E4" t="s">
        <v>35</v>
      </c>
      <c r="F4" t="s">
        <v>51</v>
      </c>
      <c r="G4" t="s">
        <v>75</v>
      </c>
      <c r="H4" t="s">
        <v>43</v>
      </c>
      <c r="I4" s="27">
        <v>47253</v>
      </c>
      <c r="J4" t="s">
        <v>44</v>
      </c>
      <c r="K4" t="s">
        <v>40</v>
      </c>
      <c r="L4">
        <v>4</v>
      </c>
      <c r="M4" s="29">
        <v>18088</v>
      </c>
      <c r="N4" s="29">
        <v>247</v>
      </c>
      <c r="O4">
        <v>4521.8999999999996</v>
      </c>
      <c r="P4">
        <v>4460.1000000000004</v>
      </c>
      <c r="Q4">
        <v>7.09</v>
      </c>
      <c r="R4">
        <v>7.59</v>
      </c>
      <c r="S4" s="21"/>
      <c r="T4" s="21"/>
    </row>
    <row r="5" spans="2:20" x14ac:dyDescent="0.3">
      <c r="B5" s="27">
        <v>46055</v>
      </c>
      <c r="C5">
        <v>23410</v>
      </c>
      <c r="D5" s="28">
        <v>3090926</v>
      </c>
      <c r="E5" t="s">
        <v>35</v>
      </c>
      <c r="F5" t="s">
        <v>51</v>
      </c>
      <c r="G5" t="s">
        <v>75</v>
      </c>
      <c r="H5" t="s">
        <v>43</v>
      </c>
      <c r="I5" s="27">
        <v>47253</v>
      </c>
      <c r="J5" t="s">
        <v>44</v>
      </c>
      <c r="K5" t="s">
        <v>40</v>
      </c>
      <c r="L5">
        <v>9</v>
      </c>
      <c r="M5" s="29">
        <v>40697</v>
      </c>
      <c r="N5" s="29">
        <v>556</v>
      </c>
      <c r="O5">
        <v>4521.8999999999996</v>
      </c>
      <c r="P5">
        <v>4460.1000000000004</v>
      </c>
      <c r="Q5">
        <v>7.09</v>
      </c>
      <c r="R5">
        <v>7.59</v>
      </c>
      <c r="S5" s="21"/>
      <c r="T5" s="21"/>
    </row>
    <row r="6" spans="2:20" x14ac:dyDescent="0.3">
      <c r="B6" s="27">
        <v>46055</v>
      </c>
      <c r="C6">
        <v>23410</v>
      </c>
      <c r="D6" s="28">
        <v>6162039</v>
      </c>
      <c r="E6" t="s">
        <v>35</v>
      </c>
      <c r="F6" t="s">
        <v>51</v>
      </c>
      <c r="G6" t="s">
        <v>83</v>
      </c>
      <c r="H6" t="s">
        <v>43</v>
      </c>
      <c r="I6" s="27">
        <v>47710</v>
      </c>
      <c r="J6" t="s">
        <v>44</v>
      </c>
      <c r="K6" t="s">
        <v>40</v>
      </c>
      <c r="L6">
        <v>26</v>
      </c>
      <c r="M6" s="29">
        <v>118002</v>
      </c>
      <c r="N6" s="29">
        <v>1904</v>
      </c>
      <c r="O6">
        <v>4538.5</v>
      </c>
      <c r="P6">
        <v>4465.3</v>
      </c>
      <c r="Q6">
        <v>7.13</v>
      </c>
      <c r="R6">
        <v>7.58</v>
      </c>
      <c r="S6" s="21"/>
      <c r="T6" s="21"/>
    </row>
    <row r="7" spans="2:20" x14ac:dyDescent="0.3">
      <c r="B7" s="27">
        <v>46055</v>
      </c>
      <c r="C7">
        <v>23410</v>
      </c>
      <c r="D7" s="28">
        <v>8449786</v>
      </c>
      <c r="E7" t="s">
        <v>35</v>
      </c>
      <c r="F7" t="s">
        <v>51</v>
      </c>
      <c r="G7" t="s">
        <v>69</v>
      </c>
      <c r="H7" t="s">
        <v>43</v>
      </c>
      <c r="I7" s="27">
        <v>46980</v>
      </c>
      <c r="J7" t="s">
        <v>44</v>
      </c>
      <c r="K7" t="s">
        <v>41</v>
      </c>
      <c r="L7">
        <v>7</v>
      </c>
      <c r="M7" s="29">
        <v>-31581</v>
      </c>
      <c r="N7" s="29">
        <v>169</v>
      </c>
      <c r="O7">
        <v>4511.6000000000004</v>
      </c>
      <c r="P7">
        <v>4535.7</v>
      </c>
      <c r="Q7">
        <v>8.14</v>
      </c>
      <c r="R7">
        <v>7.89</v>
      </c>
      <c r="S7" s="21"/>
      <c r="T7" s="21"/>
    </row>
    <row r="8" spans="2:20" x14ac:dyDescent="0.3">
      <c r="B8" s="27">
        <v>46055</v>
      </c>
      <c r="C8">
        <v>23410</v>
      </c>
      <c r="D8" s="28">
        <v>11000943</v>
      </c>
      <c r="E8" t="s">
        <v>35</v>
      </c>
      <c r="F8" t="s">
        <v>51</v>
      </c>
      <c r="G8" t="s">
        <v>54</v>
      </c>
      <c r="H8" t="s">
        <v>43</v>
      </c>
      <c r="I8" s="27">
        <v>48441</v>
      </c>
      <c r="J8" t="s">
        <v>44</v>
      </c>
      <c r="K8" t="s">
        <v>40</v>
      </c>
      <c r="L8">
        <v>11</v>
      </c>
      <c r="M8" s="29">
        <v>49324</v>
      </c>
      <c r="N8" s="29">
        <v>1199</v>
      </c>
      <c r="O8">
        <v>4484</v>
      </c>
      <c r="P8">
        <v>4375</v>
      </c>
      <c r="Q8">
        <v>7.07</v>
      </c>
      <c r="R8">
        <v>7.57</v>
      </c>
      <c r="S8" s="21"/>
      <c r="T8" s="21"/>
    </row>
    <row r="9" spans="2:20" x14ac:dyDescent="0.3">
      <c r="B9" s="27">
        <v>46055</v>
      </c>
      <c r="C9">
        <v>23410</v>
      </c>
      <c r="D9" s="28">
        <v>11000943</v>
      </c>
      <c r="E9" t="s">
        <v>35</v>
      </c>
      <c r="F9" t="s">
        <v>51</v>
      </c>
      <c r="G9" t="s">
        <v>52</v>
      </c>
      <c r="H9" t="s">
        <v>43</v>
      </c>
      <c r="I9" s="27">
        <v>49444</v>
      </c>
      <c r="J9" t="s">
        <v>44</v>
      </c>
      <c r="K9" t="s">
        <v>40</v>
      </c>
      <c r="L9">
        <v>12</v>
      </c>
      <c r="M9" s="29">
        <v>52251</v>
      </c>
      <c r="N9" s="29">
        <v>1352</v>
      </c>
      <c r="O9">
        <v>4354.3</v>
      </c>
      <c r="P9">
        <v>4241.6000000000004</v>
      </c>
      <c r="Q9">
        <v>7.04</v>
      </c>
      <c r="R9">
        <v>7.44</v>
      </c>
      <c r="S9" s="21"/>
      <c r="T9" s="21"/>
    </row>
    <row r="10" spans="2:20" x14ac:dyDescent="0.3">
      <c r="B10" s="27">
        <v>46055</v>
      </c>
      <c r="C10">
        <v>23410</v>
      </c>
      <c r="D10" s="28">
        <v>11175225</v>
      </c>
      <c r="E10" t="s">
        <v>35</v>
      </c>
      <c r="F10" t="s">
        <v>51</v>
      </c>
      <c r="G10" t="s">
        <v>54</v>
      </c>
      <c r="H10" t="s">
        <v>43</v>
      </c>
      <c r="I10" s="27">
        <v>48441</v>
      </c>
      <c r="J10" t="s">
        <v>44</v>
      </c>
      <c r="K10" t="s">
        <v>40</v>
      </c>
      <c r="L10">
        <v>26</v>
      </c>
      <c r="M10" s="29">
        <v>116585</v>
      </c>
      <c r="N10" s="29">
        <v>2834</v>
      </c>
      <c r="O10">
        <v>4484</v>
      </c>
      <c r="P10">
        <v>4375</v>
      </c>
      <c r="Q10">
        <v>7.07</v>
      </c>
      <c r="R10">
        <v>7.57</v>
      </c>
      <c r="S10" s="21"/>
      <c r="T10" s="21"/>
    </row>
    <row r="11" spans="2:20" x14ac:dyDescent="0.3">
      <c r="B11" s="27">
        <v>46055</v>
      </c>
      <c r="C11">
        <v>23410</v>
      </c>
      <c r="D11" s="28">
        <v>13051869</v>
      </c>
      <c r="E11" t="s">
        <v>35</v>
      </c>
      <c r="F11" t="s">
        <v>51</v>
      </c>
      <c r="G11" t="s">
        <v>83</v>
      </c>
      <c r="H11" t="s">
        <v>43</v>
      </c>
      <c r="I11" s="27">
        <v>47710</v>
      </c>
      <c r="J11" t="s">
        <v>44</v>
      </c>
      <c r="K11" t="s">
        <v>40</v>
      </c>
      <c r="L11">
        <v>7</v>
      </c>
      <c r="M11" s="29">
        <v>31393</v>
      </c>
      <c r="N11" s="29">
        <v>136</v>
      </c>
      <c r="O11">
        <v>4484.7</v>
      </c>
      <c r="P11">
        <v>4465.3</v>
      </c>
      <c r="Q11">
        <v>7.46</v>
      </c>
      <c r="R11">
        <v>7.58</v>
      </c>
      <c r="S11" s="21"/>
      <c r="T11" s="21"/>
    </row>
    <row r="12" spans="2:20" x14ac:dyDescent="0.3">
      <c r="B12" s="27">
        <v>46055</v>
      </c>
      <c r="C12">
        <v>25104</v>
      </c>
      <c r="D12" s="28">
        <v>401402</v>
      </c>
      <c r="E12" t="s">
        <v>45</v>
      </c>
      <c r="F12" t="s">
        <v>513</v>
      </c>
      <c r="G12" t="s">
        <v>84</v>
      </c>
      <c r="H12" t="s">
        <v>39</v>
      </c>
      <c r="I12" s="27">
        <v>47323</v>
      </c>
      <c r="J12" t="s">
        <v>27</v>
      </c>
      <c r="K12" t="s">
        <v>40</v>
      </c>
      <c r="L12">
        <v>40</v>
      </c>
      <c r="M12" s="29">
        <v>43453</v>
      </c>
      <c r="N12" s="29">
        <v>537</v>
      </c>
      <c r="O12">
        <v>1086.3</v>
      </c>
      <c r="P12">
        <v>1072.9000000000001</v>
      </c>
      <c r="Q12">
        <v>93</v>
      </c>
      <c r="R12">
        <v>96</v>
      </c>
      <c r="S12" s="21"/>
      <c r="T12" s="21"/>
    </row>
    <row r="13" spans="2:20" x14ac:dyDescent="0.3">
      <c r="B13" s="27">
        <v>46055</v>
      </c>
      <c r="C13">
        <v>25104</v>
      </c>
      <c r="D13" s="28">
        <v>6035839</v>
      </c>
      <c r="E13" t="s">
        <v>45</v>
      </c>
      <c r="F13" t="s">
        <v>49</v>
      </c>
      <c r="G13" t="s">
        <v>50</v>
      </c>
      <c r="H13" t="s">
        <v>39</v>
      </c>
      <c r="I13" s="27">
        <v>47457</v>
      </c>
      <c r="J13" t="s">
        <v>27</v>
      </c>
      <c r="K13" t="s">
        <v>41</v>
      </c>
      <c r="L13">
        <v>5</v>
      </c>
      <c r="M13" s="29">
        <v>-58680</v>
      </c>
      <c r="N13" s="29">
        <v>679</v>
      </c>
      <c r="O13">
        <v>11735.9</v>
      </c>
      <c r="P13">
        <v>11871.7</v>
      </c>
      <c r="Q13">
        <v>95</v>
      </c>
      <c r="R13">
        <v>92.5</v>
      </c>
      <c r="S13" s="21"/>
      <c r="T13" s="21"/>
    </row>
    <row r="14" spans="2:20" x14ac:dyDescent="0.3">
      <c r="B14" s="27">
        <v>46055</v>
      </c>
      <c r="C14">
        <v>25619</v>
      </c>
      <c r="D14" s="28">
        <v>5375448</v>
      </c>
      <c r="E14" t="s">
        <v>42</v>
      </c>
      <c r="F14" t="s">
        <v>514</v>
      </c>
      <c r="G14" t="s">
        <v>515</v>
      </c>
      <c r="H14" t="s">
        <v>37</v>
      </c>
      <c r="I14" s="27">
        <v>48351</v>
      </c>
      <c r="J14" t="s">
        <v>27</v>
      </c>
      <c r="K14" t="s">
        <v>40</v>
      </c>
      <c r="L14">
        <v>100</v>
      </c>
      <c r="M14" s="29">
        <v>104143</v>
      </c>
      <c r="N14" s="29">
        <v>185</v>
      </c>
      <c r="O14">
        <v>1041.4000000000001</v>
      </c>
      <c r="P14">
        <v>1039.5999999999999</v>
      </c>
      <c r="Q14">
        <v>13.85</v>
      </c>
      <c r="R14">
        <v>13.9</v>
      </c>
      <c r="S14" s="21"/>
      <c r="T14" s="21"/>
    </row>
    <row r="15" spans="2:20" x14ac:dyDescent="0.3">
      <c r="B15" s="27">
        <v>46055</v>
      </c>
      <c r="C15">
        <v>37111</v>
      </c>
      <c r="D15" s="28">
        <v>3366029</v>
      </c>
      <c r="E15" t="s">
        <v>45</v>
      </c>
      <c r="F15" t="s">
        <v>126</v>
      </c>
      <c r="G15" t="s">
        <v>112</v>
      </c>
      <c r="H15" t="s">
        <v>39</v>
      </c>
      <c r="I15" s="27">
        <v>46161</v>
      </c>
      <c r="J15" t="s">
        <v>27</v>
      </c>
      <c r="K15" t="s">
        <v>40</v>
      </c>
      <c r="L15">
        <v>55</v>
      </c>
      <c r="M15" s="29">
        <v>60257</v>
      </c>
      <c r="N15" s="29">
        <v>46</v>
      </c>
      <c r="O15">
        <v>1095.5999999999999</v>
      </c>
      <c r="P15">
        <v>1094.7</v>
      </c>
      <c r="Q15">
        <v>100</v>
      </c>
      <c r="R15">
        <v>102</v>
      </c>
      <c r="S15" s="21"/>
      <c r="T15" s="21"/>
    </row>
    <row r="16" spans="2:20" x14ac:dyDescent="0.3">
      <c r="B16" s="27">
        <v>46055</v>
      </c>
      <c r="C16">
        <v>37111</v>
      </c>
      <c r="D16" s="28">
        <v>3366029</v>
      </c>
      <c r="E16" t="s">
        <v>45</v>
      </c>
      <c r="F16" t="s">
        <v>516</v>
      </c>
      <c r="G16" t="s">
        <v>127</v>
      </c>
      <c r="H16" t="s">
        <v>39</v>
      </c>
      <c r="I16" s="27">
        <v>46356</v>
      </c>
      <c r="J16" t="s">
        <v>27</v>
      </c>
      <c r="K16" t="s">
        <v>40</v>
      </c>
      <c r="L16">
        <v>103</v>
      </c>
      <c r="M16" s="29">
        <v>104586</v>
      </c>
      <c r="N16" s="29">
        <v>217</v>
      </c>
      <c r="O16">
        <v>1015.4</v>
      </c>
      <c r="P16">
        <v>1013.3</v>
      </c>
      <c r="Q16">
        <v>100</v>
      </c>
      <c r="R16">
        <v>102</v>
      </c>
      <c r="S16" s="21"/>
      <c r="T16" s="21"/>
    </row>
    <row r="17" spans="2:20" x14ac:dyDescent="0.3">
      <c r="B17" s="27">
        <v>46055</v>
      </c>
      <c r="C17">
        <v>38517</v>
      </c>
      <c r="D17" s="28">
        <v>405314</v>
      </c>
      <c r="E17" t="s">
        <v>45</v>
      </c>
      <c r="F17" t="s">
        <v>76</v>
      </c>
      <c r="G17" t="s">
        <v>71</v>
      </c>
      <c r="H17" t="s">
        <v>39</v>
      </c>
      <c r="I17" s="27">
        <v>49536</v>
      </c>
      <c r="J17" t="s">
        <v>27</v>
      </c>
      <c r="K17" t="s">
        <v>40</v>
      </c>
      <c r="L17">
        <v>1</v>
      </c>
      <c r="M17" s="29">
        <v>11360</v>
      </c>
      <c r="N17" s="29">
        <v>67</v>
      </c>
      <c r="O17">
        <v>11360.4</v>
      </c>
      <c r="P17">
        <v>11293.4</v>
      </c>
      <c r="Q17">
        <v>92.5</v>
      </c>
      <c r="R17">
        <v>93</v>
      </c>
      <c r="S17" s="21"/>
      <c r="T17" s="21"/>
    </row>
    <row r="18" spans="2:20" x14ac:dyDescent="0.3">
      <c r="B18" s="27">
        <v>46055</v>
      </c>
      <c r="C18">
        <v>38517</v>
      </c>
      <c r="D18" s="28">
        <v>2801160</v>
      </c>
      <c r="E18" t="s">
        <v>45</v>
      </c>
      <c r="F18" t="s">
        <v>517</v>
      </c>
      <c r="G18" t="s">
        <v>518</v>
      </c>
      <c r="H18" t="s">
        <v>39</v>
      </c>
      <c r="I18" s="27">
        <v>46181</v>
      </c>
      <c r="J18" t="s">
        <v>27</v>
      </c>
      <c r="K18" t="s">
        <v>40</v>
      </c>
      <c r="L18">
        <v>1000</v>
      </c>
      <c r="M18" s="29">
        <v>1018</v>
      </c>
      <c r="N18" s="29">
        <v>4</v>
      </c>
      <c r="O18">
        <v>1</v>
      </c>
      <c r="P18">
        <v>1</v>
      </c>
      <c r="Q18">
        <v>106.5</v>
      </c>
      <c r="R18">
        <v>115.5</v>
      </c>
      <c r="S18" s="21"/>
      <c r="T18" s="21"/>
    </row>
    <row r="19" spans="2:20" x14ac:dyDescent="0.3">
      <c r="B19" s="27">
        <v>46055</v>
      </c>
      <c r="C19">
        <v>38517</v>
      </c>
      <c r="D19" s="28">
        <v>17540464</v>
      </c>
      <c r="E19" t="s">
        <v>45</v>
      </c>
      <c r="F19" t="s">
        <v>76</v>
      </c>
      <c r="G19" t="s">
        <v>71</v>
      </c>
      <c r="H19" t="s">
        <v>39</v>
      </c>
      <c r="I19" s="27">
        <v>49536</v>
      </c>
      <c r="J19" t="s">
        <v>27</v>
      </c>
      <c r="K19" t="s">
        <v>40</v>
      </c>
      <c r="L19">
        <v>8</v>
      </c>
      <c r="M19" s="29">
        <v>90883</v>
      </c>
      <c r="N19" s="29">
        <v>536</v>
      </c>
      <c r="O19">
        <v>11360.4</v>
      </c>
      <c r="P19">
        <v>11293.4</v>
      </c>
      <c r="Q19">
        <v>92.5</v>
      </c>
      <c r="R19">
        <v>93</v>
      </c>
      <c r="S19" s="21"/>
      <c r="T19" s="21"/>
    </row>
    <row r="20" spans="2:20" x14ac:dyDescent="0.3">
      <c r="B20" s="27">
        <v>46055</v>
      </c>
      <c r="C20">
        <v>40901</v>
      </c>
      <c r="D20" s="28">
        <v>2568596</v>
      </c>
      <c r="E20" t="s">
        <v>45</v>
      </c>
      <c r="F20" t="s">
        <v>77</v>
      </c>
      <c r="G20" t="s">
        <v>48</v>
      </c>
      <c r="H20" t="s">
        <v>39</v>
      </c>
      <c r="I20" s="27">
        <v>47557</v>
      </c>
      <c r="J20" t="s">
        <v>27</v>
      </c>
      <c r="K20" t="s">
        <v>41</v>
      </c>
      <c r="L20">
        <v>2</v>
      </c>
      <c r="M20" s="29">
        <v>-22558</v>
      </c>
      <c r="N20" s="29">
        <v>112</v>
      </c>
      <c r="O20">
        <v>11279.2</v>
      </c>
      <c r="P20">
        <v>11335.1</v>
      </c>
      <c r="Q20">
        <v>96</v>
      </c>
      <c r="R20">
        <v>95</v>
      </c>
      <c r="S20" s="21"/>
      <c r="T20" s="21"/>
    </row>
    <row r="21" spans="2:20" x14ac:dyDescent="0.3">
      <c r="B21" s="27">
        <v>46055</v>
      </c>
      <c r="C21">
        <v>40901</v>
      </c>
      <c r="D21" s="28">
        <v>19014660</v>
      </c>
      <c r="E21" t="s">
        <v>42</v>
      </c>
      <c r="F21" t="s">
        <v>106</v>
      </c>
      <c r="G21" t="s">
        <v>107</v>
      </c>
      <c r="H21" t="s">
        <v>39</v>
      </c>
      <c r="I21" s="27">
        <v>47771</v>
      </c>
      <c r="J21" t="s">
        <v>46</v>
      </c>
      <c r="K21" t="s">
        <v>40</v>
      </c>
      <c r="L21">
        <v>147</v>
      </c>
      <c r="M21" s="29">
        <v>149790</v>
      </c>
      <c r="N21" s="29">
        <v>4402</v>
      </c>
      <c r="O21">
        <v>1019</v>
      </c>
      <c r="P21">
        <v>989</v>
      </c>
      <c r="Q21">
        <v>105</v>
      </c>
      <c r="R21">
        <v>112.69</v>
      </c>
      <c r="S21" s="21"/>
      <c r="T21" s="21"/>
    </row>
    <row r="22" spans="2:20" x14ac:dyDescent="0.3">
      <c r="B22" s="27">
        <v>46055</v>
      </c>
      <c r="C22">
        <v>68542</v>
      </c>
      <c r="D22" s="28">
        <v>389063</v>
      </c>
      <c r="E22" t="s">
        <v>45</v>
      </c>
      <c r="F22" t="s">
        <v>519</v>
      </c>
      <c r="G22" t="s">
        <v>520</v>
      </c>
      <c r="H22" t="s">
        <v>37</v>
      </c>
      <c r="I22" s="27">
        <v>46920</v>
      </c>
      <c r="J22" t="s">
        <v>46</v>
      </c>
      <c r="K22" t="s">
        <v>40</v>
      </c>
      <c r="L22">
        <v>83</v>
      </c>
      <c r="M22" s="29">
        <v>82977</v>
      </c>
      <c r="N22" s="29">
        <v>1313</v>
      </c>
      <c r="O22">
        <v>999.7</v>
      </c>
      <c r="P22">
        <v>983.9</v>
      </c>
      <c r="Q22">
        <v>13.95</v>
      </c>
      <c r="R22">
        <v>14.85</v>
      </c>
      <c r="S22" s="21"/>
      <c r="T22" s="21"/>
    </row>
    <row r="23" spans="2:20" x14ac:dyDescent="0.3">
      <c r="B23" s="27">
        <v>46055</v>
      </c>
      <c r="C23">
        <v>69519</v>
      </c>
      <c r="D23" s="28">
        <v>3440767</v>
      </c>
      <c r="E23" t="s">
        <v>45</v>
      </c>
      <c r="F23" t="s">
        <v>521</v>
      </c>
      <c r="G23" t="s">
        <v>522</v>
      </c>
      <c r="H23" t="s">
        <v>37</v>
      </c>
      <c r="I23" s="27">
        <v>46993</v>
      </c>
      <c r="J23" t="s">
        <v>27</v>
      </c>
      <c r="K23" t="s">
        <v>40</v>
      </c>
      <c r="L23">
        <v>2</v>
      </c>
      <c r="M23" s="29">
        <v>2315</v>
      </c>
      <c r="N23" s="29">
        <v>26</v>
      </c>
      <c r="O23">
        <v>1157.7</v>
      </c>
      <c r="P23">
        <v>1144.9000000000001</v>
      </c>
      <c r="Q23">
        <v>14.5</v>
      </c>
      <c r="R23">
        <v>15</v>
      </c>
      <c r="S23" s="21"/>
      <c r="T23" s="21"/>
    </row>
    <row r="24" spans="2:20" x14ac:dyDescent="0.3">
      <c r="B24" s="27">
        <v>46055</v>
      </c>
      <c r="C24">
        <v>69519</v>
      </c>
      <c r="D24" s="28">
        <v>3440767</v>
      </c>
      <c r="E24" t="s">
        <v>45</v>
      </c>
      <c r="F24" t="s">
        <v>523</v>
      </c>
      <c r="G24" t="s">
        <v>524</v>
      </c>
      <c r="H24" t="s">
        <v>37</v>
      </c>
      <c r="I24" s="27">
        <v>47064</v>
      </c>
      <c r="J24" t="s">
        <v>27</v>
      </c>
      <c r="K24" t="s">
        <v>40</v>
      </c>
      <c r="L24">
        <v>5</v>
      </c>
      <c r="M24" s="29">
        <v>5815</v>
      </c>
      <c r="N24" s="29">
        <v>69</v>
      </c>
      <c r="O24">
        <v>1162.9000000000001</v>
      </c>
      <c r="P24">
        <v>1149.0999999999999</v>
      </c>
      <c r="Q24">
        <v>14.5</v>
      </c>
      <c r="R24">
        <v>15</v>
      </c>
      <c r="S24" s="21"/>
      <c r="T24" s="21"/>
    </row>
    <row r="25" spans="2:20" x14ac:dyDescent="0.3">
      <c r="B25" s="27">
        <v>46055</v>
      </c>
      <c r="C25">
        <v>69519</v>
      </c>
      <c r="D25" s="28">
        <v>3440767</v>
      </c>
      <c r="E25" t="s">
        <v>45</v>
      </c>
      <c r="F25" t="s">
        <v>525</v>
      </c>
      <c r="G25" t="s">
        <v>526</v>
      </c>
      <c r="H25" t="s">
        <v>37</v>
      </c>
      <c r="I25" s="27">
        <v>47456</v>
      </c>
      <c r="J25" t="s">
        <v>27</v>
      </c>
      <c r="K25" t="s">
        <v>40</v>
      </c>
      <c r="L25">
        <v>5</v>
      </c>
      <c r="M25" s="29">
        <v>5852</v>
      </c>
      <c r="N25" s="29">
        <v>86</v>
      </c>
      <c r="O25">
        <v>1170.4000000000001</v>
      </c>
      <c r="P25">
        <v>1153.0999999999999</v>
      </c>
      <c r="Q25">
        <v>14.6</v>
      </c>
      <c r="R25">
        <v>15.05</v>
      </c>
      <c r="S25" s="21"/>
      <c r="T25" s="21"/>
    </row>
    <row r="26" spans="2:20" x14ac:dyDescent="0.3">
      <c r="B26" s="27">
        <v>46055</v>
      </c>
      <c r="C26">
        <v>71881</v>
      </c>
      <c r="D26" s="28">
        <v>5370675</v>
      </c>
      <c r="E26" t="s">
        <v>64</v>
      </c>
      <c r="F26" t="s">
        <v>128</v>
      </c>
      <c r="G26" t="s">
        <v>129</v>
      </c>
      <c r="H26" t="s">
        <v>39</v>
      </c>
      <c r="I26" s="27">
        <v>46737</v>
      </c>
      <c r="J26" t="s">
        <v>27</v>
      </c>
      <c r="K26" t="s">
        <v>41</v>
      </c>
      <c r="L26">
        <v>20</v>
      </c>
      <c r="M26" s="29">
        <v>-18939</v>
      </c>
      <c r="N26" s="29">
        <v>105</v>
      </c>
      <c r="O26">
        <v>947</v>
      </c>
      <c r="P26">
        <v>952.2</v>
      </c>
      <c r="Q26">
        <v>125</v>
      </c>
      <c r="R26">
        <v>122.5</v>
      </c>
      <c r="S26" s="21"/>
      <c r="T26" s="21"/>
    </row>
    <row r="27" spans="2:20" x14ac:dyDescent="0.3">
      <c r="B27" s="27">
        <v>46055</v>
      </c>
      <c r="C27">
        <v>71881</v>
      </c>
      <c r="D27" s="28">
        <v>9662619</v>
      </c>
      <c r="E27" t="s">
        <v>45</v>
      </c>
      <c r="F27" t="s">
        <v>527</v>
      </c>
      <c r="G27" t="s">
        <v>528</v>
      </c>
      <c r="H27" t="s">
        <v>37</v>
      </c>
      <c r="I27" s="27">
        <v>47150</v>
      </c>
      <c r="J27" t="s">
        <v>27</v>
      </c>
      <c r="K27" t="s">
        <v>40</v>
      </c>
      <c r="L27">
        <v>75</v>
      </c>
      <c r="M27" s="29">
        <v>75000</v>
      </c>
      <c r="N27" s="29">
        <v>683</v>
      </c>
      <c r="O27">
        <v>1000</v>
      </c>
      <c r="P27">
        <v>990.9</v>
      </c>
      <c r="Q27">
        <v>13.55</v>
      </c>
      <c r="R27">
        <v>13.9</v>
      </c>
      <c r="S27" s="21"/>
      <c r="T27" s="21"/>
    </row>
    <row r="28" spans="2:20" x14ac:dyDescent="0.3">
      <c r="B28" s="27">
        <v>46056</v>
      </c>
      <c r="C28">
        <v>21468</v>
      </c>
      <c r="D28" s="28">
        <v>542586</v>
      </c>
      <c r="E28" t="s">
        <v>45</v>
      </c>
      <c r="F28" t="s">
        <v>47</v>
      </c>
      <c r="G28" t="s">
        <v>48</v>
      </c>
      <c r="H28" t="s">
        <v>39</v>
      </c>
      <c r="I28" s="27">
        <v>47557</v>
      </c>
      <c r="J28" t="s">
        <v>27</v>
      </c>
      <c r="K28" t="s">
        <v>40</v>
      </c>
      <c r="L28">
        <v>16</v>
      </c>
      <c r="M28" s="29">
        <v>185112</v>
      </c>
      <c r="N28" s="29">
        <v>2740</v>
      </c>
      <c r="O28">
        <v>11569.5</v>
      </c>
      <c r="P28">
        <v>11398.3</v>
      </c>
      <c r="Q28">
        <v>91</v>
      </c>
      <c r="R28">
        <v>94</v>
      </c>
      <c r="S28" s="21"/>
      <c r="T28" s="21"/>
    </row>
    <row r="29" spans="2:20" x14ac:dyDescent="0.3">
      <c r="B29" s="27">
        <v>46056</v>
      </c>
      <c r="C29">
        <v>21468</v>
      </c>
      <c r="D29" s="28">
        <v>542586</v>
      </c>
      <c r="E29" t="s">
        <v>45</v>
      </c>
      <c r="F29" t="s">
        <v>70</v>
      </c>
      <c r="G29" t="s">
        <v>71</v>
      </c>
      <c r="H29" t="s">
        <v>39</v>
      </c>
      <c r="I29" s="27">
        <v>49536</v>
      </c>
      <c r="J29" t="s">
        <v>27</v>
      </c>
      <c r="K29" t="s">
        <v>40</v>
      </c>
      <c r="L29">
        <v>15</v>
      </c>
      <c r="M29" s="29">
        <v>173652</v>
      </c>
      <c r="N29" s="29">
        <v>6097</v>
      </c>
      <c r="O29">
        <v>11576.8</v>
      </c>
      <c r="P29">
        <v>11170.3</v>
      </c>
      <c r="Q29">
        <v>91</v>
      </c>
      <c r="R29">
        <v>94</v>
      </c>
      <c r="S29" s="21"/>
      <c r="T29" s="21"/>
    </row>
    <row r="30" spans="2:20" x14ac:dyDescent="0.3">
      <c r="B30" s="27">
        <v>46056</v>
      </c>
      <c r="C30">
        <v>22674</v>
      </c>
      <c r="D30" s="28">
        <v>2742454</v>
      </c>
      <c r="E30" t="s">
        <v>45</v>
      </c>
      <c r="F30" t="s">
        <v>529</v>
      </c>
      <c r="G30" t="s">
        <v>530</v>
      </c>
      <c r="H30" t="s">
        <v>37</v>
      </c>
      <c r="I30" s="27">
        <v>46786</v>
      </c>
      <c r="J30" t="s">
        <v>27</v>
      </c>
      <c r="K30" t="s">
        <v>40</v>
      </c>
      <c r="L30">
        <v>23</v>
      </c>
      <c r="M30" s="29">
        <v>23000</v>
      </c>
      <c r="N30" s="29">
        <v>180</v>
      </c>
      <c r="O30">
        <v>1000</v>
      </c>
      <c r="P30">
        <v>992.2</v>
      </c>
      <c r="Q30">
        <v>13.35</v>
      </c>
      <c r="R30">
        <v>13.8</v>
      </c>
      <c r="S30" s="21"/>
      <c r="T30" s="21"/>
    </row>
    <row r="31" spans="2:20" x14ac:dyDescent="0.3">
      <c r="B31" s="27">
        <v>46056</v>
      </c>
      <c r="C31">
        <v>22674</v>
      </c>
      <c r="D31" s="28">
        <v>3845505</v>
      </c>
      <c r="E31" t="s">
        <v>42</v>
      </c>
      <c r="F31" t="s">
        <v>101</v>
      </c>
      <c r="G31" t="s">
        <v>102</v>
      </c>
      <c r="H31" t="s">
        <v>43</v>
      </c>
      <c r="I31" s="27">
        <v>49536</v>
      </c>
      <c r="J31" t="s">
        <v>44</v>
      </c>
      <c r="K31" t="s">
        <v>40</v>
      </c>
      <c r="L31">
        <v>14</v>
      </c>
      <c r="M31" s="29">
        <v>15302</v>
      </c>
      <c r="N31" s="29">
        <v>703</v>
      </c>
      <c r="O31">
        <v>1093</v>
      </c>
      <c r="P31">
        <v>1042.8</v>
      </c>
      <c r="Q31">
        <v>6.45</v>
      </c>
      <c r="R31">
        <v>7.18</v>
      </c>
      <c r="S31" s="21"/>
      <c r="T31" s="21"/>
    </row>
    <row r="32" spans="2:20" x14ac:dyDescent="0.3">
      <c r="B32" s="27">
        <v>46056</v>
      </c>
      <c r="C32">
        <v>23410</v>
      </c>
      <c r="D32" s="28">
        <v>2256879</v>
      </c>
      <c r="E32" t="s">
        <v>35</v>
      </c>
      <c r="F32" t="s">
        <v>51</v>
      </c>
      <c r="G32" t="s">
        <v>52</v>
      </c>
      <c r="H32" t="s">
        <v>43</v>
      </c>
      <c r="I32" s="27">
        <v>49444</v>
      </c>
      <c r="J32" t="s">
        <v>44</v>
      </c>
      <c r="K32" t="s">
        <v>40</v>
      </c>
      <c r="L32">
        <v>14</v>
      </c>
      <c r="M32" s="29">
        <v>61026</v>
      </c>
      <c r="N32" s="29">
        <v>1579</v>
      </c>
      <c r="O32">
        <v>4359</v>
      </c>
      <c r="P32">
        <v>4246.2</v>
      </c>
      <c r="Q32">
        <v>7.03</v>
      </c>
      <c r="R32">
        <v>7.43</v>
      </c>
      <c r="S32" s="21"/>
      <c r="T32" s="21"/>
    </row>
    <row r="33" spans="2:20" x14ac:dyDescent="0.3">
      <c r="B33" s="27">
        <v>46056</v>
      </c>
      <c r="C33">
        <v>23410</v>
      </c>
      <c r="D33" s="28">
        <v>6440294</v>
      </c>
      <c r="E33" t="s">
        <v>35</v>
      </c>
      <c r="F33" t="s">
        <v>51</v>
      </c>
      <c r="G33" t="s">
        <v>52</v>
      </c>
      <c r="H33" t="s">
        <v>43</v>
      </c>
      <c r="I33" s="27">
        <v>49444</v>
      </c>
      <c r="J33" t="s">
        <v>44</v>
      </c>
      <c r="K33" t="s">
        <v>40</v>
      </c>
      <c r="L33">
        <v>19</v>
      </c>
      <c r="M33" s="29">
        <v>82008</v>
      </c>
      <c r="N33" s="29">
        <v>1278</v>
      </c>
      <c r="O33">
        <v>4316.2</v>
      </c>
      <c r="P33">
        <v>4249</v>
      </c>
      <c r="Q33">
        <v>7.18</v>
      </c>
      <c r="R33">
        <v>7.42</v>
      </c>
      <c r="S33" s="21"/>
      <c r="T33" s="21"/>
    </row>
    <row r="34" spans="2:20" x14ac:dyDescent="0.3">
      <c r="B34" s="27">
        <v>46056</v>
      </c>
      <c r="C34">
        <v>23410</v>
      </c>
      <c r="D34" s="28">
        <v>15329954</v>
      </c>
      <c r="E34" t="s">
        <v>35</v>
      </c>
      <c r="F34" t="s">
        <v>51</v>
      </c>
      <c r="G34" t="s">
        <v>75</v>
      </c>
      <c r="H34" t="s">
        <v>43</v>
      </c>
      <c r="I34" s="27">
        <v>47253</v>
      </c>
      <c r="J34" t="s">
        <v>44</v>
      </c>
      <c r="K34" t="s">
        <v>40</v>
      </c>
      <c r="L34">
        <v>20</v>
      </c>
      <c r="M34" s="29">
        <v>90426</v>
      </c>
      <c r="N34" s="29">
        <v>1235</v>
      </c>
      <c r="O34">
        <v>4521.3</v>
      </c>
      <c r="P34">
        <v>4459.6000000000004</v>
      </c>
      <c r="Q34">
        <v>7.11</v>
      </c>
      <c r="R34">
        <v>7.61</v>
      </c>
      <c r="S34" s="21"/>
      <c r="T34" s="21"/>
    </row>
    <row r="35" spans="2:20" x14ac:dyDescent="0.3">
      <c r="B35" s="27">
        <v>46056</v>
      </c>
      <c r="C35">
        <v>23648</v>
      </c>
      <c r="D35" s="28">
        <v>2674006</v>
      </c>
      <c r="E35" t="s">
        <v>45</v>
      </c>
      <c r="F35" t="s">
        <v>531</v>
      </c>
      <c r="G35" t="s">
        <v>532</v>
      </c>
      <c r="H35" t="s">
        <v>43</v>
      </c>
      <c r="I35" s="27">
        <v>46958</v>
      </c>
      <c r="J35" t="s">
        <v>27</v>
      </c>
      <c r="K35" t="s">
        <v>40</v>
      </c>
      <c r="L35">
        <v>24553</v>
      </c>
      <c r="M35" s="29">
        <v>24553</v>
      </c>
      <c r="N35" s="29">
        <v>221</v>
      </c>
      <c r="O35">
        <v>1</v>
      </c>
      <c r="P35">
        <v>1</v>
      </c>
      <c r="Q35">
        <v>8.01</v>
      </c>
      <c r="R35">
        <v>8.41</v>
      </c>
      <c r="S35" s="21"/>
      <c r="T35" s="21"/>
    </row>
    <row r="36" spans="2:20" x14ac:dyDescent="0.3">
      <c r="B36" s="27">
        <v>46056</v>
      </c>
      <c r="C36">
        <v>38517</v>
      </c>
      <c r="D36" s="28">
        <v>405314</v>
      </c>
      <c r="E36" t="s">
        <v>45</v>
      </c>
      <c r="F36" t="s">
        <v>80</v>
      </c>
      <c r="G36" t="s">
        <v>81</v>
      </c>
      <c r="H36" t="s">
        <v>39</v>
      </c>
      <c r="I36" s="27">
        <v>49506</v>
      </c>
      <c r="J36" t="s">
        <v>27</v>
      </c>
      <c r="K36" t="s">
        <v>40</v>
      </c>
      <c r="L36">
        <v>6</v>
      </c>
      <c r="M36" s="29">
        <v>67572</v>
      </c>
      <c r="N36" s="29">
        <v>398</v>
      </c>
      <c r="O36">
        <v>11262</v>
      </c>
      <c r="P36">
        <v>11195.7</v>
      </c>
      <c r="Q36">
        <v>93.5</v>
      </c>
      <c r="R36">
        <v>94</v>
      </c>
      <c r="S36" s="21"/>
      <c r="T36" s="21"/>
    </row>
    <row r="37" spans="2:20" x14ac:dyDescent="0.3">
      <c r="B37" s="27">
        <v>46056</v>
      </c>
      <c r="C37">
        <v>38517</v>
      </c>
      <c r="D37" s="28">
        <v>405314</v>
      </c>
      <c r="E37" t="s">
        <v>45</v>
      </c>
      <c r="F37" t="s">
        <v>70</v>
      </c>
      <c r="G37" t="s">
        <v>71</v>
      </c>
      <c r="H37" t="s">
        <v>39</v>
      </c>
      <c r="I37" s="27">
        <v>49536</v>
      </c>
      <c r="J37" t="s">
        <v>27</v>
      </c>
      <c r="K37" t="s">
        <v>40</v>
      </c>
      <c r="L37">
        <v>2</v>
      </c>
      <c r="M37" s="29">
        <v>22474</v>
      </c>
      <c r="N37" s="29">
        <v>133</v>
      </c>
      <c r="O37">
        <v>11237.1</v>
      </c>
      <c r="P37">
        <v>11170.3</v>
      </c>
      <c r="Q37">
        <v>93.5</v>
      </c>
      <c r="R37">
        <v>94</v>
      </c>
      <c r="S37" s="21"/>
      <c r="T37" s="21"/>
    </row>
    <row r="38" spans="2:20" x14ac:dyDescent="0.3">
      <c r="B38" s="27">
        <v>46056</v>
      </c>
      <c r="C38">
        <v>38517</v>
      </c>
      <c r="D38" s="28">
        <v>2801160</v>
      </c>
      <c r="E38" t="s">
        <v>45</v>
      </c>
      <c r="F38" t="s">
        <v>533</v>
      </c>
      <c r="G38" t="s">
        <v>534</v>
      </c>
      <c r="H38" t="s">
        <v>39</v>
      </c>
      <c r="I38" s="27">
        <v>46237</v>
      </c>
      <c r="J38" t="s">
        <v>27</v>
      </c>
      <c r="K38" t="s">
        <v>41</v>
      </c>
      <c r="L38">
        <v>43</v>
      </c>
      <c r="M38" s="29">
        <v>-42818</v>
      </c>
      <c r="N38" s="29">
        <v>14</v>
      </c>
      <c r="O38">
        <v>995.8</v>
      </c>
      <c r="P38">
        <v>996.1</v>
      </c>
      <c r="Q38">
        <v>109</v>
      </c>
      <c r="R38">
        <v>108.5</v>
      </c>
      <c r="S38" s="21"/>
      <c r="T38" s="21"/>
    </row>
    <row r="39" spans="2:20" x14ac:dyDescent="0.3">
      <c r="B39" s="27">
        <v>46056</v>
      </c>
      <c r="C39">
        <v>38517</v>
      </c>
      <c r="D39" s="28">
        <v>4481731</v>
      </c>
      <c r="E39" t="s">
        <v>45</v>
      </c>
      <c r="F39" t="s">
        <v>76</v>
      </c>
      <c r="G39" t="s">
        <v>71</v>
      </c>
      <c r="H39" t="s">
        <v>39</v>
      </c>
      <c r="I39" s="27">
        <v>49536</v>
      </c>
      <c r="J39" t="s">
        <v>27</v>
      </c>
      <c r="K39" t="s">
        <v>40</v>
      </c>
      <c r="L39">
        <v>6</v>
      </c>
      <c r="M39" s="29">
        <v>67825</v>
      </c>
      <c r="N39" s="29">
        <v>803</v>
      </c>
      <c r="O39">
        <v>11304.2</v>
      </c>
      <c r="P39">
        <v>11170.3</v>
      </c>
      <c r="Q39">
        <v>93</v>
      </c>
      <c r="R39">
        <v>94</v>
      </c>
      <c r="S39" s="21"/>
      <c r="T39" s="21"/>
    </row>
    <row r="40" spans="2:20" x14ac:dyDescent="0.3">
      <c r="B40" s="27">
        <v>46056</v>
      </c>
      <c r="C40">
        <v>38517</v>
      </c>
      <c r="D40" s="28">
        <v>17540464</v>
      </c>
      <c r="E40" t="s">
        <v>45</v>
      </c>
      <c r="F40" t="s">
        <v>80</v>
      </c>
      <c r="G40" t="s">
        <v>81</v>
      </c>
      <c r="H40" t="s">
        <v>39</v>
      </c>
      <c r="I40" s="27">
        <v>49506</v>
      </c>
      <c r="J40" t="s">
        <v>27</v>
      </c>
      <c r="K40" t="s">
        <v>40</v>
      </c>
      <c r="L40">
        <v>1</v>
      </c>
      <c r="M40" s="29">
        <v>11262</v>
      </c>
      <c r="N40" s="29">
        <v>66</v>
      </c>
      <c r="O40">
        <v>11262</v>
      </c>
      <c r="P40">
        <v>11195.7</v>
      </c>
      <c r="Q40">
        <v>93.5</v>
      </c>
      <c r="R40">
        <v>94</v>
      </c>
      <c r="S40" s="21"/>
      <c r="T40" s="21"/>
    </row>
    <row r="41" spans="2:20" x14ac:dyDescent="0.3">
      <c r="B41" s="27">
        <v>46056</v>
      </c>
      <c r="C41">
        <v>38517</v>
      </c>
      <c r="D41" s="28">
        <v>19162084</v>
      </c>
      <c r="E41" t="s">
        <v>45</v>
      </c>
      <c r="F41" t="s">
        <v>76</v>
      </c>
      <c r="G41" t="s">
        <v>71</v>
      </c>
      <c r="H41" t="s">
        <v>39</v>
      </c>
      <c r="I41" s="27">
        <v>49536</v>
      </c>
      <c r="J41" t="s">
        <v>27</v>
      </c>
      <c r="K41" t="s">
        <v>40</v>
      </c>
      <c r="L41">
        <v>1</v>
      </c>
      <c r="M41" s="29">
        <v>11372</v>
      </c>
      <c r="N41" s="29">
        <v>201</v>
      </c>
      <c r="O41">
        <v>11371.7</v>
      </c>
      <c r="P41">
        <v>11170.3</v>
      </c>
      <c r="Q41">
        <v>92.5</v>
      </c>
      <c r="R41">
        <v>94</v>
      </c>
      <c r="S41" s="21"/>
      <c r="T41" s="21"/>
    </row>
    <row r="42" spans="2:20" x14ac:dyDescent="0.3">
      <c r="B42" s="27">
        <v>46056</v>
      </c>
      <c r="C42">
        <v>40901</v>
      </c>
      <c r="D42" s="28">
        <v>2568596</v>
      </c>
      <c r="E42" t="s">
        <v>45</v>
      </c>
      <c r="F42" t="s">
        <v>77</v>
      </c>
      <c r="G42" t="s">
        <v>48</v>
      </c>
      <c r="H42" t="s">
        <v>39</v>
      </c>
      <c r="I42" s="27">
        <v>47557</v>
      </c>
      <c r="J42" t="s">
        <v>27</v>
      </c>
      <c r="K42" t="s">
        <v>41</v>
      </c>
      <c r="L42">
        <v>2</v>
      </c>
      <c r="M42" s="29">
        <v>-22571</v>
      </c>
      <c r="N42" s="29">
        <v>112</v>
      </c>
      <c r="O42">
        <v>11285.6</v>
      </c>
      <c r="P42">
        <v>11341.8</v>
      </c>
      <c r="Q42">
        <v>96</v>
      </c>
      <c r="R42">
        <v>95</v>
      </c>
      <c r="S42" s="21"/>
      <c r="T42" s="21"/>
    </row>
    <row r="43" spans="2:20" x14ac:dyDescent="0.3">
      <c r="B43" s="27">
        <v>46056</v>
      </c>
      <c r="C43">
        <v>49894</v>
      </c>
      <c r="D43" s="28">
        <v>3774271</v>
      </c>
      <c r="E43" t="s">
        <v>45</v>
      </c>
      <c r="F43" t="s">
        <v>535</v>
      </c>
      <c r="G43" t="s">
        <v>536</v>
      </c>
      <c r="H43" t="s">
        <v>39</v>
      </c>
      <c r="I43" s="27">
        <v>47151</v>
      </c>
      <c r="J43" t="s">
        <v>27</v>
      </c>
      <c r="K43" t="s">
        <v>40</v>
      </c>
      <c r="L43">
        <v>3</v>
      </c>
      <c r="M43" s="29">
        <v>3000</v>
      </c>
      <c r="N43" s="29">
        <v>32</v>
      </c>
      <c r="O43">
        <v>1000</v>
      </c>
      <c r="P43">
        <v>989.3</v>
      </c>
      <c r="Q43">
        <v>107</v>
      </c>
      <c r="R43">
        <v>110</v>
      </c>
      <c r="S43" s="21"/>
      <c r="T43" s="21"/>
    </row>
    <row r="44" spans="2:20" x14ac:dyDescent="0.3">
      <c r="B44" s="27">
        <v>46056</v>
      </c>
      <c r="C44">
        <v>49894</v>
      </c>
      <c r="D44" s="28">
        <v>3774271</v>
      </c>
      <c r="E44" t="s">
        <v>45</v>
      </c>
      <c r="F44" t="s">
        <v>537</v>
      </c>
      <c r="G44" t="s">
        <v>99</v>
      </c>
      <c r="H44" t="s">
        <v>39</v>
      </c>
      <c r="I44" s="27">
        <v>47863</v>
      </c>
      <c r="J44" t="s">
        <v>27</v>
      </c>
      <c r="K44" t="s">
        <v>40</v>
      </c>
      <c r="L44">
        <v>3</v>
      </c>
      <c r="M44" s="29">
        <v>3000</v>
      </c>
      <c r="N44" s="29">
        <v>81</v>
      </c>
      <c r="O44">
        <v>1000</v>
      </c>
      <c r="P44">
        <v>973.1</v>
      </c>
      <c r="Q44">
        <v>105</v>
      </c>
      <c r="R44">
        <v>109.5</v>
      </c>
      <c r="S44" s="21"/>
      <c r="T44" s="21"/>
    </row>
    <row r="45" spans="2:20" x14ac:dyDescent="0.3">
      <c r="B45" s="27">
        <v>46056</v>
      </c>
      <c r="C45">
        <v>69579</v>
      </c>
      <c r="D45" s="28">
        <v>356643</v>
      </c>
      <c r="E45" t="s">
        <v>45</v>
      </c>
      <c r="F45" t="s">
        <v>442</v>
      </c>
      <c r="G45" t="s">
        <v>48</v>
      </c>
      <c r="H45" t="s">
        <v>39</v>
      </c>
      <c r="I45" s="27">
        <v>47557</v>
      </c>
      <c r="J45" t="s">
        <v>27</v>
      </c>
      <c r="K45" t="s">
        <v>41</v>
      </c>
      <c r="L45">
        <v>4</v>
      </c>
      <c r="M45" s="29">
        <v>-45255</v>
      </c>
      <c r="N45" s="29">
        <v>113</v>
      </c>
      <c r="O45">
        <v>11313.6</v>
      </c>
      <c r="P45">
        <v>11341.8</v>
      </c>
      <c r="Q45">
        <v>95.5</v>
      </c>
      <c r="R45">
        <v>95</v>
      </c>
      <c r="S45" s="21"/>
      <c r="T45" s="21"/>
    </row>
    <row r="46" spans="2:20" x14ac:dyDescent="0.3">
      <c r="B46" s="27">
        <v>46056</v>
      </c>
      <c r="C46">
        <v>69579</v>
      </c>
      <c r="D46" s="28">
        <v>4571178</v>
      </c>
      <c r="E46" t="s">
        <v>45</v>
      </c>
      <c r="F46" t="s">
        <v>538</v>
      </c>
      <c r="G46" t="s">
        <v>539</v>
      </c>
      <c r="H46" t="s">
        <v>43</v>
      </c>
      <c r="I46" s="27">
        <v>47151</v>
      </c>
      <c r="J46" t="s">
        <v>27</v>
      </c>
      <c r="K46" t="s">
        <v>40</v>
      </c>
      <c r="L46">
        <v>85415</v>
      </c>
      <c r="M46" s="29">
        <v>85415</v>
      </c>
      <c r="N46" s="29">
        <v>117</v>
      </c>
      <c r="O46">
        <v>1</v>
      </c>
      <c r="P46">
        <v>1</v>
      </c>
      <c r="Q46">
        <v>8.35</v>
      </c>
      <c r="R46">
        <v>8.4</v>
      </c>
      <c r="S46" s="21"/>
      <c r="T46" s="21"/>
    </row>
    <row r="47" spans="2:20" x14ac:dyDescent="0.3">
      <c r="B47" s="27">
        <v>46056</v>
      </c>
      <c r="C47">
        <v>72444</v>
      </c>
      <c r="D47" s="28">
        <v>357627</v>
      </c>
      <c r="E47" t="s">
        <v>45</v>
      </c>
      <c r="F47" t="s">
        <v>540</v>
      </c>
      <c r="G47" t="s">
        <v>530</v>
      </c>
      <c r="H47" t="s">
        <v>39</v>
      </c>
      <c r="I47" s="27">
        <v>46786</v>
      </c>
      <c r="J47" t="s">
        <v>27</v>
      </c>
      <c r="K47" t="s">
        <v>40</v>
      </c>
      <c r="L47">
        <v>100</v>
      </c>
      <c r="M47" s="29">
        <v>100000</v>
      </c>
      <c r="N47" s="29">
        <v>238</v>
      </c>
      <c r="O47">
        <v>1000</v>
      </c>
      <c r="P47">
        <v>997.6</v>
      </c>
      <c r="Q47">
        <v>107.25</v>
      </c>
      <c r="R47">
        <v>108.25</v>
      </c>
      <c r="S47" s="21"/>
      <c r="T47" s="21"/>
    </row>
    <row r="48" spans="2:20" x14ac:dyDescent="0.3">
      <c r="B48" s="27">
        <v>46056</v>
      </c>
      <c r="C48">
        <v>74304</v>
      </c>
      <c r="D48" s="28">
        <v>18702217</v>
      </c>
      <c r="E48" t="s">
        <v>45</v>
      </c>
      <c r="F48" t="s">
        <v>541</v>
      </c>
      <c r="G48" t="s">
        <v>536</v>
      </c>
      <c r="H48" t="s">
        <v>39</v>
      </c>
      <c r="I48" s="27">
        <v>47151</v>
      </c>
      <c r="J48" t="s">
        <v>27</v>
      </c>
      <c r="K48" t="s">
        <v>40</v>
      </c>
      <c r="L48">
        <v>139</v>
      </c>
      <c r="M48" s="29">
        <v>139000</v>
      </c>
      <c r="N48" s="29">
        <v>990</v>
      </c>
      <c r="O48">
        <v>1000</v>
      </c>
      <c r="P48">
        <v>992.9</v>
      </c>
      <c r="Q48">
        <v>108</v>
      </c>
      <c r="R48">
        <v>110</v>
      </c>
      <c r="S48" s="21"/>
      <c r="T48" s="21"/>
    </row>
    <row r="49" spans="2:20" x14ac:dyDescent="0.3">
      <c r="B49" s="27">
        <v>46057</v>
      </c>
      <c r="C49">
        <v>21468</v>
      </c>
      <c r="D49" s="28">
        <v>3911170</v>
      </c>
      <c r="E49" t="s">
        <v>45</v>
      </c>
      <c r="F49" t="s">
        <v>542</v>
      </c>
      <c r="G49" t="s">
        <v>543</v>
      </c>
      <c r="H49" t="s">
        <v>37</v>
      </c>
      <c r="I49" s="27">
        <v>46260</v>
      </c>
      <c r="J49" t="s">
        <v>27</v>
      </c>
      <c r="K49" t="s">
        <v>40</v>
      </c>
      <c r="L49">
        <v>3</v>
      </c>
      <c r="M49" s="29">
        <v>4623</v>
      </c>
      <c r="N49" s="29">
        <v>20</v>
      </c>
      <c r="O49">
        <v>1540.9</v>
      </c>
      <c r="P49">
        <v>1534.2</v>
      </c>
      <c r="Q49">
        <v>14.95</v>
      </c>
      <c r="R49">
        <v>15.85</v>
      </c>
      <c r="S49" s="21"/>
      <c r="T49" s="21"/>
    </row>
    <row r="50" spans="2:20" x14ac:dyDescent="0.3">
      <c r="B50" s="27">
        <v>46057</v>
      </c>
      <c r="C50">
        <v>21559</v>
      </c>
      <c r="D50" s="28">
        <v>457690</v>
      </c>
      <c r="E50" t="s">
        <v>42</v>
      </c>
      <c r="F50" t="s">
        <v>544</v>
      </c>
      <c r="G50" t="s">
        <v>545</v>
      </c>
      <c r="H50" t="s">
        <v>37</v>
      </c>
      <c r="I50" s="27">
        <v>48899</v>
      </c>
      <c r="J50" t="s">
        <v>44</v>
      </c>
      <c r="K50" t="s">
        <v>40</v>
      </c>
      <c r="L50">
        <v>15</v>
      </c>
      <c r="M50" s="29">
        <v>15466</v>
      </c>
      <c r="N50" s="29">
        <v>139</v>
      </c>
      <c r="O50">
        <v>1031.0999999999999</v>
      </c>
      <c r="P50">
        <v>1021.8</v>
      </c>
      <c r="Q50">
        <v>12.45</v>
      </c>
      <c r="R50">
        <v>12.65</v>
      </c>
      <c r="S50" s="21"/>
      <c r="T50" s="21"/>
    </row>
    <row r="51" spans="2:20" x14ac:dyDescent="0.3">
      <c r="B51" s="27">
        <v>46057</v>
      </c>
      <c r="C51">
        <v>21559</v>
      </c>
      <c r="D51" s="28">
        <v>8903252</v>
      </c>
      <c r="E51" t="s">
        <v>35</v>
      </c>
      <c r="F51" t="s">
        <v>51</v>
      </c>
      <c r="G51" t="s">
        <v>54</v>
      </c>
      <c r="H51" t="s">
        <v>43</v>
      </c>
      <c r="I51" s="27">
        <v>48441</v>
      </c>
      <c r="J51" t="s">
        <v>44</v>
      </c>
      <c r="K51" t="s">
        <v>41</v>
      </c>
      <c r="L51">
        <v>8</v>
      </c>
      <c r="M51" s="29">
        <v>-34657</v>
      </c>
      <c r="N51" s="29">
        <v>170</v>
      </c>
      <c r="O51">
        <v>4332.1000000000004</v>
      </c>
      <c r="P51">
        <v>4353.3</v>
      </c>
      <c r="Q51">
        <v>7.79</v>
      </c>
      <c r="R51">
        <v>7.69</v>
      </c>
      <c r="S51" s="21"/>
      <c r="T51" s="21"/>
    </row>
    <row r="52" spans="2:20" x14ac:dyDescent="0.3">
      <c r="B52" s="27">
        <v>46057</v>
      </c>
      <c r="C52">
        <v>22674</v>
      </c>
      <c r="D52" s="28">
        <v>2264895</v>
      </c>
      <c r="E52" t="s">
        <v>42</v>
      </c>
      <c r="F52" t="s">
        <v>73</v>
      </c>
      <c r="G52" t="s">
        <v>74</v>
      </c>
      <c r="H52" t="s">
        <v>43</v>
      </c>
      <c r="I52" s="27">
        <v>52855</v>
      </c>
      <c r="J52" t="s">
        <v>44</v>
      </c>
      <c r="K52" t="s">
        <v>40</v>
      </c>
      <c r="L52">
        <v>30</v>
      </c>
      <c r="M52" s="29">
        <v>30101</v>
      </c>
      <c r="N52" s="29">
        <v>1796</v>
      </c>
      <c r="O52">
        <v>1003.4</v>
      </c>
      <c r="P52">
        <v>943.5</v>
      </c>
      <c r="Q52">
        <v>7.75</v>
      </c>
      <c r="R52">
        <v>8.4499999999999993</v>
      </c>
      <c r="S52" s="21"/>
      <c r="T52" s="21"/>
    </row>
    <row r="53" spans="2:20" x14ac:dyDescent="0.3">
      <c r="B53" s="27">
        <v>46057</v>
      </c>
      <c r="C53">
        <v>22674</v>
      </c>
      <c r="D53" s="28">
        <v>3065087</v>
      </c>
      <c r="E53" t="s">
        <v>42</v>
      </c>
      <c r="F53" t="s">
        <v>440</v>
      </c>
      <c r="G53" t="s">
        <v>441</v>
      </c>
      <c r="H53" t="s">
        <v>43</v>
      </c>
      <c r="I53" s="27">
        <v>60555</v>
      </c>
      <c r="J53" t="s">
        <v>44</v>
      </c>
      <c r="K53" t="s">
        <v>40</v>
      </c>
      <c r="L53">
        <v>49</v>
      </c>
      <c r="M53" s="29">
        <v>50210</v>
      </c>
      <c r="N53" s="29">
        <v>2195</v>
      </c>
      <c r="O53">
        <v>1024.7</v>
      </c>
      <c r="P53">
        <v>979.9</v>
      </c>
      <c r="Q53">
        <v>8.0500000000000007</v>
      </c>
      <c r="R53">
        <v>8.4499999999999993</v>
      </c>
      <c r="S53" s="21"/>
      <c r="T53" s="21"/>
    </row>
    <row r="54" spans="2:20" x14ac:dyDescent="0.3">
      <c r="B54" s="27">
        <v>46057</v>
      </c>
      <c r="C54">
        <v>22674</v>
      </c>
      <c r="D54" s="28">
        <v>4180748</v>
      </c>
      <c r="E54" t="s">
        <v>45</v>
      </c>
      <c r="F54" t="s">
        <v>546</v>
      </c>
      <c r="G54" t="s">
        <v>547</v>
      </c>
      <c r="H54" t="s">
        <v>39</v>
      </c>
      <c r="I54" s="27">
        <v>47882</v>
      </c>
      <c r="J54" t="s">
        <v>27</v>
      </c>
      <c r="K54" t="s">
        <v>40</v>
      </c>
      <c r="L54">
        <v>26</v>
      </c>
      <c r="M54" s="29">
        <v>26000</v>
      </c>
      <c r="N54" s="29">
        <v>471</v>
      </c>
      <c r="O54">
        <v>1000</v>
      </c>
      <c r="P54">
        <v>981.9</v>
      </c>
      <c r="Q54">
        <v>93</v>
      </c>
      <c r="R54">
        <v>96</v>
      </c>
      <c r="S54" s="21"/>
      <c r="T54" s="21"/>
    </row>
    <row r="55" spans="2:20" x14ac:dyDescent="0.3">
      <c r="B55" s="27">
        <v>46057</v>
      </c>
      <c r="C55">
        <v>23410</v>
      </c>
      <c r="D55" s="28">
        <v>5297527</v>
      </c>
      <c r="E55" t="s">
        <v>35</v>
      </c>
      <c r="F55" t="s">
        <v>55</v>
      </c>
      <c r="G55" t="s">
        <v>117</v>
      </c>
      <c r="H55" t="s">
        <v>43</v>
      </c>
      <c r="I55" s="27">
        <v>46980</v>
      </c>
      <c r="J55" t="s">
        <v>27</v>
      </c>
      <c r="K55" t="s">
        <v>40</v>
      </c>
      <c r="L55">
        <v>10</v>
      </c>
      <c r="M55" s="29">
        <v>38327</v>
      </c>
      <c r="N55" s="29">
        <v>45</v>
      </c>
      <c r="O55">
        <v>3832.7</v>
      </c>
      <c r="P55">
        <v>3828.2</v>
      </c>
      <c r="Q55">
        <v>7.5</v>
      </c>
      <c r="R55">
        <v>7.55</v>
      </c>
      <c r="S55" s="21"/>
      <c r="T55" s="21"/>
    </row>
    <row r="56" spans="2:20" x14ac:dyDescent="0.3">
      <c r="B56" s="27">
        <v>46057</v>
      </c>
      <c r="C56">
        <v>23410</v>
      </c>
      <c r="D56" s="28">
        <v>5297527</v>
      </c>
      <c r="E56" t="s">
        <v>35</v>
      </c>
      <c r="F56" t="s">
        <v>55</v>
      </c>
      <c r="G56" t="s">
        <v>118</v>
      </c>
      <c r="H56" t="s">
        <v>43</v>
      </c>
      <c r="I56" s="27">
        <v>49444</v>
      </c>
      <c r="J56" t="s">
        <v>27</v>
      </c>
      <c r="K56" t="s">
        <v>40</v>
      </c>
      <c r="L56">
        <v>17</v>
      </c>
      <c r="M56" s="29">
        <v>41185</v>
      </c>
      <c r="N56" s="29">
        <v>176</v>
      </c>
      <c r="O56">
        <v>2422.6999999999998</v>
      </c>
      <c r="P56">
        <v>2412.3000000000002</v>
      </c>
      <c r="Q56">
        <v>7.2</v>
      </c>
      <c r="R56">
        <v>7.25</v>
      </c>
      <c r="S56" s="21"/>
      <c r="T56" s="21"/>
    </row>
    <row r="57" spans="2:20" x14ac:dyDescent="0.3">
      <c r="B57" s="27">
        <v>46057</v>
      </c>
      <c r="C57">
        <v>23410</v>
      </c>
      <c r="D57" s="28">
        <v>5636668</v>
      </c>
      <c r="E57" t="s">
        <v>35</v>
      </c>
      <c r="F57" t="s">
        <v>55</v>
      </c>
      <c r="G57" t="s">
        <v>117</v>
      </c>
      <c r="H57" t="s">
        <v>43</v>
      </c>
      <c r="I57" s="27">
        <v>46980</v>
      </c>
      <c r="J57" t="s">
        <v>27</v>
      </c>
      <c r="K57" t="s">
        <v>40</v>
      </c>
      <c r="L57">
        <v>6</v>
      </c>
      <c r="M57" s="29">
        <v>22996</v>
      </c>
      <c r="N57" s="29">
        <v>27</v>
      </c>
      <c r="O57">
        <v>3832.7</v>
      </c>
      <c r="P57">
        <v>3828.2</v>
      </c>
      <c r="Q57">
        <v>7.5</v>
      </c>
      <c r="R57">
        <v>7.55</v>
      </c>
      <c r="S57" s="21"/>
      <c r="T57" s="21"/>
    </row>
    <row r="58" spans="2:20" x14ac:dyDescent="0.3">
      <c r="B58" s="27">
        <v>46057</v>
      </c>
      <c r="C58">
        <v>23410</v>
      </c>
      <c r="D58" s="28">
        <v>6162039</v>
      </c>
      <c r="E58" t="s">
        <v>45</v>
      </c>
      <c r="F58" t="s">
        <v>77</v>
      </c>
      <c r="G58" t="s">
        <v>48</v>
      </c>
      <c r="H58" t="s">
        <v>39</v>
      </c>
      <c r="I58" s="27">
        <v>47557</v>
      </c>
      <c r="J58" t="s">
        <v>27</v>
      </c>
      <c r="K58" t="s">
        <v>40</v>
      </c>
      <c r="L58">
        <v>9</v>
      </c>
      <c r="M58" s="29">
        <v>102885</v>
      </c>
      <c r="N58" s="29">
        <v>254</v>
      </c>
      <c r="O58">
        <v>11431.6</v>
      </c>
      <c r="P58">
        <v>11403.4</v>
      </c>
      <c r="Q58">
        <v>93.5</v>
      </c>
      <c r="R58">
        <v>94</v>
      </c>
      <c r="S58" s="21"/>
      <c r="T58" s="21"/>
    </row>
    <row r="59" spans="2:20" x14ac:dyDescent="0.3">
      <c r="B59" s="27">
        <v>46057</v>
      </c>
      <c r="C59">
        <v>23410</v>
      </c>
      <c r="D59" s="28">
        <v>6162039</v>
      </c>
      <c r="E59" t="s">
        <v>35</v>
      </c>
      <c r="F59" t="s">
        <v>51</v>
      </c>
      <c r="G59" t="s">
        <v>83</v>
      </c>
      <c r="H59" t="s">
        <v>43</v>
      </c>
      <c r="I59" s="27">
        <v>47710</v>
      </c>
      <c r="J59" t="s">
        <v>44</v>
      </c>
      <c r="K59" t="s">
        <v>40</v>
      </c>
      <c r="L59">
        <v>18</v>
      </c>
      <c r="M59" s="29">
        <v>81851</v>
      </c>
      <c r="N59" s="29">
        <v>1463</v>
      </c>
      <c r="O59">
        <v>4547.3</v>
      </c>
      <c r="P59">
        <v>4466</v>
      </c>
      <c r="Q59">
        <v>7.1</v>
      </c>
      <c r="R59">
        <v>7.6</v>
      </c>
      <c r="S59" s="21"/>
      <c r="T59" s="21"/>
    </row>
    <row r="60" spans="2:20" x14ac:dyDescent="0.3">
      <c r="B60" s="27">
        <v>46057</v>
      </c>
      <c r="C60">
        <v>23410</v>
      </c>
      <c r="D60" s="28">
        <v>6162039</v>
      </c>
      <c r="E60" t="s">
        <v>35</v>
      </c>
      <c r="F60" t="s">
        <v>51</v>
      </c>
      <c r="G60" t="s">
        <v>75</v>
      </c>
      <c r="H60" t="s">
        <v>43</v>
      </c>
      <c r="I60" s="27">
        <v>47253</v>
      </c>
      <c r="J60" t="s">
        <v>44</v>
      </c>
      <c r="K60" t="s">
        <v>40</v>
      </c>
      <c r="L60">
        <v>18</v>
      </c>
      <c r="M60" s="29">
        <v>81441</v>
      </c>
      <c r="N60" s="29">
        <v>1110</v>
      </c>
      <c r="O60">
        <v>4524.5</v>
      </c>
      <c r="P60">
        <v>4462.8</v>
      </c>
      <c r="Q60">
        <v>7.1</v>
      </c>
      <c r="R60">
        <v>7.6</v>
      </c>
      <c r="S60" s="21"/>
      <c r="T60" s="21"/>
    </row>
    <row r="61" spans="2:20" x14ac:dyDescent="0.3">
      <c r="B61" s="27">
        <v>46057</v>
      </c>
      <c r="C61">
        <v>37111</v>
      </c>
      <c r="D61" s="28">
        <v>2923617</v>
      </c>
      <c r="E61" t="s">
        <v>45</v>
      </c>
      <c r="F61" t="s">
        <v>548</v>
      </c>
      <c r="G61" t="s">
        <v>549</v>
      </c>
      <c r="H61" t="s">
        <v>39</v>
      </c>
      <c r="I61" s="27">
        <v>46329</v>
      </c>
      <c r="J61" t="s">
        <v>27</v>
      </c>
      <c r="K61" t="s">
        <v>40</v>
      </c>
      <c r="L61">
        <v>68</v>
      </c>
      <c r="M61" s="29">
        <v>68000</v>
      </c>
      <c r="N61" s="29">
        <v>128</v>
      </c>
      <c r="O61">
        <v>1000</v>
      </c>
      <c r="P61">
        <v>998.1</v>
      </c>
      <c r="Q61">
        <v>83.5</v>
      </c>
      <c r="R61">
        <v>85.5</v>
      </c>
      <c r="S61" s="21"/>
      <c r="T61" s="21"/>
    </row>
    <row r="62" spans="2:20" x14ac:dyDescent="0.3">
      <c r="B62" s="27">
        <v>46057</v>
      </c>
      <c r="C62">
        <v>37111</v>
      </c>
      <c r="D62" s="28">
        <v>3366029</v>
      </c>
      <c r="E62" t="s">
        <v>45</v>
      </c>
      <c r="F62" t="s">
        <v>120</v>
      </c>
      <c r="G62" t="s">
        <v>72</v>
      </c>
      <c r="H62" t="s">
        <v>39</v>
      </c>
      <c r="I62" s="27">
        <v>46122</v>
      </c>
      <c r="J62" t="s">
        <v>27</v>
      </c>
      <c r="K62" t="s">
        <v>40</v>
      </c>
      <c r="L62">
        <v>26</v>
      </c>
      <c r="M62" s="29">
        <v>28883</v>
      </c>
      <c r="N62" s="29">
        <v>14</v>
      </c>
      <c r="O62">
        <v>1110.9000000000001</v>
      </c>
      <c r="P62">
        <v>1110.3</v>
      </c>
      <c r="Q62">
        <v>100</v>
      </c>
      <c r="R62">
        <v>102</v>
      </c>
      <c r="S62" s="21"/>
      <c r="T62" s="21"/>
    </row>
    <row r="63" spans="2:20" x14ac:dyDescent="0.3">
      <c r="B63" s="27">
        <v>46057</v>
      </c>
      <c r="C63">
        <v>37111</v>
      </c>
      <c r="D63" s="28">
        <v>3366029</v>
      </c>
      <c r="E63" t="s">
        <v>45</v>
      </c>
      <c r="F63" t="s">
        <v>550</v>
      </c>
      <c r="G63" t="s">
        <v>72</v>
      </c>
      <c r="H63" t="s">
        <v>39</v>
      </c>
      <c r="I63" s="27">
        <v>46127</v>
      </c>
      <c r="J63" t="s">
        <v>27</v>
      </c>
      <c r="K63" t="s">
        <v>40</v>
      </c>
      <c r="L63">
        <v>19</v>
      </c>
      <c r="M63" s="29">
        <v>21015</v>
      </c>
      <c r="N63" s="29">
        <v>11</v>
      </c>
      <c r="O63">
        <v>1106.0999999999999</v>
      </c>
      <c r="P63">
        <v>1105.5</v>
      </c>
      <c r="Q63">
        <v>100</v>
      </c>
      <c r="R63">
        <v>102</v>
      </c>
      <c r="S63" s="21"/>
      <c r="T63" s="21"/>
    </row>
    <row r="64" spans="2:20" x14ac:dyDescent="0.3">
      <c r="B64" s="27">
        <v>46057</v>
      </c>
      <c r="C64">
        <v>37111</v>
      </c>
      <c r="D64" s="28">
        <v>5374537</v>
      </c>
      <c r="E64" t="s">
        <v>45</v>
      </c>
      <c r="F64" t="s">
        <v>551</v>
      </c>
      <c r="G64" t="s">
        <v>552</v>
      </c>
      <c r="H64" t="s">
        <v>39</v>
      </c>
      <c r="I64" s="27">
        <v>47154</v>
      </c>
      <c r="J64" t="s">
        <v>27</v>
      </c>
      <c r="K64" t="s">
        <v>40</v>
      </c>
      <c r="L64">
        <v>42</v>
      </c>
      <c r="M64" s="29">
        <v>42000</v>
      </c>
      <c r="N64" s="29">
        <v>75</v>
      </c>
      <c r="O64">
        <v>1000</v>
      </c>
      <c r="P64">
        <v>998.2</v>
      </c>
      <c r="Q64">
        <v>108</v>
      </c>
      <c r="R64">
        <v>108.5</v>
      </c>
      <c r="S64" s="21"/>
      <c r="T64" s="21"/>
    </row>
    <row r="65" spans="2:20" x14ac:dyDescent="0.3">
      <c r="B65" s="27">
        <v>46057</v>
      </c>
      <c r="C65">
        <v>37111</v>
      </c>
      <c r="D65" s="28">
        <v>16602987</v>
      </c>
      <c r="E65" t="s">
        <v>45</v>
      </c>
      <c r="F65" t="s">
        <v>553</v>
      </c>
      <c r="G65" t="s">
        <v>554</v>
      </c>
      <c r="H65" t="s">
        <v>39</v>
      </c>
      <c r="I65" s="27">
        <v>46233</v>
      </c>
      <c r="J65" t="s">
        <v>27</v>
      </c>
      <c r="K65" t="s">
        <v>40</v>
      </c>
      <c r="L65">
        <v>11</v>
      </c>
      <c r="M65" s="29">
        <v>11305</v>
      </c>
      <c r="N65" s="29">
        <v>36</v>
      </c>
      <c r="O65">
        <v>1027.7</v>
      </c>
      <c r="P65">
        <v>1024.5</v>
      </c>
      <c r="Q65">
        <v>100.11</v>
      </c>
      <c r="R65">
        <v>105.11</v>
      </c>
      <c r="S65" s="21"/>
      <c r="T65" s="21"/>
    </row>
    <row r="66" spans="2:20" x14ac:dyDescent="0.3">
      <c r="B66" s="27">
        <v>46057</v>
      </c>
      <c r="C66">
        <v>38517</v>
      </c>
      <c r="D66" s="28">
        <v>297098</v>
      </c>
      <c r="E66" t="s">
        <v>45</v>
      </c>
      <c r="F66" t="s">
        <v>76</v>
      </c>
      <c r="G66" t="s">
        <v>71</v>
      </c>
      <c r="H66" t="s">
        <v>39</v>
      </c>
      <c r="I66" s="27">
        <v>49536</v>
      </c>
      <c r="J66" t="s">
        <v>27</v>
      </c>
      <c r="K66" t="s">
        <v>40</v>
      </c>
      <c r="L66">
        <v>1</v>
      </c>
      <c r="M66" s="29">
        <v>11307</v>
      </c>
      <c r="N66" s="29">
        <v>133</v>
      </c>
      <c r="O66">
        <v>11307.3</v>
      </c>
      <c r="P66">
        <v>11174</v>
      </c>
      <c r="Q66">
        <v>93</v>
      </c>
      <c r="R66">
        <v>94</v>
      </c>
      <c r="S66" s="21"/>
      <c r="T66" s="21"/>
    </row>
    <row r="67" spans="2:20" x14ac:dyDescent="0.3">
      <c r="B67" s="27">
        <v>46057</v>
      </c>
      <c r="C67">
        <v>38517</v>
      </c>
      <c r="D67" s="28">
        <v>297098</v>
      </c>
      <c r="E67" t="s">
        <v>45</v>
      </c>
      <c r="F67" t="s">
        <v>70</v>
      </c>
      <c r="G67" t="s">
        <v>71</v>
      </c>
      <c r="H67" t="s">
        <v>39</v>
      </c>
      <c r="I67" s="27">
        <v>49536</v>
      </c>
      <c r="J67" t="s">
        <v>27</v>
      </c>
      <c r="K67" t="s">
        <v>40</v>
      </c>
      <c r="L67">
        <v>1</v>
      </c>
      <c r="M67" s="29">
        <v>11307</v>
      </c>
      <c r="N67" s="29">
        <v>133</v>
      </c>
      <c r="O67">
        <v>11307.3</v>
      </c>
      <c r="P67">
        <v>11174</v>
      </c>
      <c r="Q67">
        <v>93</v>
      </c>
      <c r="R67">
        <v>94</v>
      </c>
      <c r="S67" s="21"/>
      <c r="T67" s="21"/>
    </row>
    <row r="68" spans="2:20" x14ac:dyDescent="0.3">
      <c r="B68" s="27">
        <v>46057</v>
      </c>
      <c r="C68">
        <v>38517</v>
      </c>
      <c r="D68" s="28">
        <v>17863395</v>
      </c>
      <c r="E68" t="s">
        <v>35</v>
      </c>
      <c r="F68" t="s">
        <v>57</v>
      </c>
      <c r="G68" t="s">
        <v>63</v>
      </c>
      <c r="H68" t="s">
        <v>59</v>
      </c>
      <c r="I68" s="27">
        <v>46813</v>
      </c>
      <c r="J68" t="s">
        <v>27</v>
      </c>
      <c r="K68" t="s">
        <v>41</v>
      </c>
      <c r="L68">
        <v>7</v>
      </c>
      <c r="M68" s="29">
        <v>-128101</v>
      </c>
      <c r="N68" s="29">
        <v>26</v>
      </c>
      <c r="O68">
        <v>18300.099999999999</v>
      </c>
      <c r="P68">
        <v>18303.8</v>
      </c>
      <c r="Q68">
        <v>7.0499999999999993E-2</v>
      </c>
      <c r="R68">
        <v>6.0499999999999998E-2</v>
      </c>
      <c r="S68" s="21"/>
      <c r="T68" s="21"/>
    </row>
    <row r="69" spans="2:20" x14ac:dyDescent="0.3">
      <c r="B69" s="27">
        <v>46057</v>
      </c>
      <c r="C69">
        <v>38517</v>
      </c>
      <c r="D69" s="28">
        <v>17863395</v>
      </c>
      <c r="E69" t="s">
        <v>35</v>
      </c>
      <c r="F69" t="s">
        <v>57</v>
      </c>
      <c r="G69" t="s">
        <v>58</v>
      </c>
      <c r="H69" t="s">
        <v>59</v>
      </c>
      <c r="I69" s="27">
        <v>46631</v>
      </c>
      <c r="J69" t="s">
        <v>27</v>
      </c>
      <c r="K69" t="s">
        <v>41</v>
      </c>
      <c r="L69">
        <v>5</v>
      </c>
      <c r="M69" s="29">
        <v>-91559</v>
      </c>
      <c r="N69" s="29">
        <v>14</v>
      </c>
      <c r="O69">
        <v>18311.900000000001</v>
      </c>
      <c r="P69">
        <v>18314.7</v>
      </c>
      <c r="Q69">
        <v>5.1499999999999997E-2</v>
      </c>
      <c r="R69">
        <v>4.1500000000000002E-2</v>
      </c>
      <c r="S69" s="21"/>
      <c r="T69" s="21"/>
    </row>
    <row r="70" spans="2:20" x14ac:dyDescent="0.3">
      <c r="B70" s="27">
        <v>46057</v>
      </c>
      <c r="C70">
        <v>38517</v>
      </c>
      <c r="D70" s="28">
        <v>17863395</v>
      </c>
      <c r="E70" t="s">
        <v>35</v>
      </c>
      <c r="F70" t="s">
        <v>57</v>
      </c>
      <c r="G70" t="s">
        <v>67</v>
      </c>
      <c r="H70" t="s">
        <v>59</v>
      </c>
      <c r="I70" s="27">
        <v>46997</v>
      </c>
      <c r="J70" t="s">
        <v>27</v>
      </c>
      <c r="K70" t="s">
        <v>41</v>
      </c>
      <c r="L70">
        <v>7</v>
      </c>
      <c r="M70" s="29">
        <v>-128033</v>
      </c>
      <c r="N70" s="29">
        <v>33</v>
      </c>
      <c r="O70">
        <v>18290.5</v>
      </c>
      <c r="P70">
        <v>18295.2</v>
      </c>
      <c r="Q70">
        <v>7.6999999999999999E-2</v>
      </c>
      <c r="R70">
        <v>6.7000000000000004E-2</v>
      </c>
      <c r="S70" s="21"/>
      <c r="T70" s="21"/>
    </row>
    <row r="71" spans="2:20" x14ac:dyDescent="0.3">
      <c r="B71" s="27">
        <v>46057</v>
      </c>
      <c r="C71">
        <v>40901</v>
      </c>
      <c r="D71" s="28">
        <v>58967</v>
      </c>
      <c r="E71" t="s">
        <v>45</v>
      </c>
      <c r="F71" t="s">
        <v>555</v>
      </c>
      <c r="G71" t="s">
        <v>89</v>
      </c>
      <c r="H71" t="s">
        <v>39</v>
      </c>
      <c r="I71" s="27">
        <v>46597</v>
      </c>
      <c r="J71" t="s">
        <v>27</v>
      </c>
      <c r="K71" t="s">
        <v>40</v>
      </c>
      <c r="L71">
        <v>20</v>
      </c>
      <c r="M71" s="29">
        <v>20000</v>
      </c>
      <c r="N71" s="29">
        <v>71</v>
      </c>
      <c r="O71">
        <v>1000</v>
      </c>
      <c r="P71">
        <v>996.5</v>
      </c>
      <c r="Q71">
        <v>106</v>
      </c>
      <c r="R71">
        <v>108</v>
      </c>
      <c r="S71" s="21"/>
      <c r="T71" s="21"/>
    </row>
    <row r="72" spans="2:20" x14ac:dyDescent="0.3">
      <c r="B72" s="27">
        <v>46057</v>
      </c>
      <c r="C72">
        <v>69519</v>
      </c>
      <c r="D72" s="28">
        <v>2814747</v>
      </c>
      <c r="E72" t="s">
        <v>35</v>
      </c>
      <c r="F72" t="s">
        <v>51</v>
      </c>
      <c r="G72" t="s">
        <v>97</v>
      </c>
      <c r="H72" t="s">
        <v>43</v>
      </c>
      <c r="I72" s="27">
        <v>48714</v>
      </c>
      <c r="J72" t="s">
        <v>44</v>
      </c>
      <c r="K72" t="s">
        <v>40</v>
      </c>
      <c r="L72">
        <v>9</v>
      </c>
      <c r="M72" s="29">
        <v>38762</v>
      </c>
      <c r="N72" s="29">
        <v>251</v>
      </c>
      <c r="O72">
        <v>4306.8999999999996</v>
      </c>
      <c r="P72">
        <v>4279</v>
      </c>
      <c r="Q72">
        <v>7.46</v>
      </c>
      <c r="R72">
        <v>7.58</v>
      </c>
      <c r="S72" s="21"/>
      <c r="T72" s="21"/>
    </row>
    <row r="73" spans="2:20" x14ac:dyDescent="0.3">
      <c r="B73" s="27">
        <v>46057</v>
      </c>
      <c r="C73">
        <v>69519</v>
      </c>
      <c r="D73" s="28">
        <v>4302914</v>
      </c>
      <c r="E73" t="s">
        <v>35</v>
      </c>
      <c r="F73" t="s">
        <v>51</v>
      </c>
      <c r="G73" t="s">
        <v>97</v>
      </c>
      <c r="H73" t="s">
        <v>43</v>
      </c>
      <c r="I73" s="27">
        <v>48714</v>
      </c>
      <c r="J73" t="s">
        <v>44</v>
      </c>
      <c r="K73" t="s">
        <v>40</v>
      </c>
      <c r="L73">
        <v>15</v>
      </c>
      <c r="M73" s="29">
        <v>65774</v>
      </c>
      <c r="N73" s="29">
        <v>1590</v>
      </c>
      <c r="O73">
        <v>4385</v>
      </c>
      <c r="P73">
        <v>4279</v>
      </c>
      <c r="Q73">
        <v>7.13</v>
      </c>
      <c r="R73">
        <v>7.58</v>
      </c>
      <c r="S73" s="21"/>
      <c r="T73" s="21"/>
    </row>
    <row r="74" spans="2:20" x14ac:dyDescent="0.3">
      <c r="B74" s="27">
        <v>46057</v>
      </c>
      <c r="C74">
        <v>69519</v>
      </c>
      <c r="D74" s="28">
        <v>4302914</v>
      </c>
      <c r="E74" t="s">
        <v>35</v>
      </c>
      <c r="F74" t="s">
        <v>51</v>
      </c>
      <c r="G74" t="s">
        <v>52</v>
      </c>
      <c r="H74" t="s">
        <v>43</v>
      </c>
      <c r="I74" s="27">
        <v>49444</v>
      </c>
      <c r="J74" t="s">
        <v>44</v>
      </c>
      <c r="K74" t="s">
        <v>40</v>
      </c>
      <c r="L74">
        <v>15</v>
      </c>
      <c r="M74" s="29">
        <v>65498</v>
      </c>
      <c r="N74" s="29">
        <v>1902</v>
      </c>
      <c r="O74">
        <v>4366.6000000000004</v>
      </c>
      <c r="P74">
        <v>4239.8</v>
      </c>
      <c r="Q74">
        <v>7.01</v>
      </c>
      <c r="R74">
        <v>7.46</v>
      </c>
      <c r="S74" s="21"/>
      <c r="T74" s="21"/>
    </row>
    <row r="75" spans="2:20" x14ac:dyDescent="0.3">
      <c r="B75" s="27">
        <v>46058</v>
      </c>
      <c r="C75">
        <v>21468</v>
      </c>
      <c r="D75" s="28">
        <v>542586</v>
      </c>
      <c r="E75" t="s">
        <v>45</v>
      </c>
      <c r="F75" t="s">
        <v>70</v>
      </c>
      <c r="G75" t="s">
        <v>71</v>
      </c>
      <c r="H75" t="s">
        <v>39</v>
      </c>
      <c r="I75" s="27">
        <v>49536</v>
      </c>
      <c r="J75" t="s">
        <v>27</v>
      </c>
      <c r="K75" t="s">
        <v>40</v>
      </c>
      <c r="L75">
        <v>13</v>
      </c>
      <c r="M75" s="29">
        <v>150669</v>
      </c>
      <c r="N75" s="29">
        <v>5294</v>
      </c>
      <c r="O75">
        <v>11589.9</v>
      </c>
      <c r="P75">
        <v>11182.7</v>
      </c>
      <c r="Q75">
        <v>91</v>
      </c>
      <c r="R75">
        <v>94</v>
      </c>
      <c r="S75" s="21"/>
      <c r="T75" s="21"/>
    </row>
    <row r="76" spans="2:20" x14ac:dyDescent="0.3">
      <c r="B76" s="27">
        <v>46058</v>
      </c>
      <c r="C76">
        <v>21468</v>
      </c>
      <c r="D76" s="28">
        <v>542586</v>
      </c>
      <c r="E76" t="s">
        <v>45</v>
      </c>
      <c r="F76" t="s">
        <v>556</v>
      </c>
      <c r="G76" t="s">
        <v>557</v>
      </c>
      <c r="H76" t="s">
        <v>39</v>
      </c>
      <c r="I76" s="27">
        <v>47518</v>
      </c>
      <c r="J76" t="s">
        <v>27</v>
      </c>
      <c r="K76" t="s">
        <v>40</v>
      </c>
      <c r="L76">
        <v>100</v>
      </c>
      <c r="M76" s="29">
        <v>100000</v>
      </c>
      <c r="N76" s="29">
        <v>1912</v>
      </c>
      <c r="O76">
        <v>1000</v>
      </c>
      <c r="P76">
        <v>980.9</v>
      </c>
      <c r="Q76">
        <v>92</v>
      </c>
      <c r="R76">
        <v>96</v>
      </c>
      <c r="S76" s="21"/>
      <c r="T76" s="21"/>
    </row>
    <row r="77" spans="2:20" x14ac:dyDescent="0.3">
      <c r="B77" s="27">
        <v>46058</v>
      </c>
      <c r="C77">
        <v>22674</v>
      </c>
      <c r="D77" s="28">
        <v>88012</v>
      </c>
      <c r="E77" t="s">
        <v>45</v>
      </c>
      <c r="F77" t="s">
        <v>558</v>
      </c>
      <c r="G77" t="s">
        <v>559</v>
      </c>
      <c r="H77" t="s">
        <v>39</v>
      </c>
      <c r="I77" s="27">
        <v>46212</v>
      </c>
      <c r="J77" t="s">
        <v>27</v>
      </c>
      <c r="K77" t="s">
        <v>41</v>
      </c>
      <c r="L77">
        <v>78</v>
      </c>
      <c r="M77" s="29">
        <v>-83158</v>
      </c>
      <c r="N77" s="29">
        <v>115</v>
      </c>
      <c r="O77">
        <v>1066.0999999999999</v>
      </c>
      <c r="P77">
        <v>1067.5999999999999</v>
      </c>
      <c r="Q77">
        <v>109.5</v>
      </c>
      <c r="R77">
        <v>107</v>
      </c>
      <c r="S77" s="21"/>
      <c r="T77" s="21"/>
    </row>
    <row r="78" spans="2:20" x14ac:dyDescent="0.3">
      <c r="B78" s="27">
        <v>46058</v>
      </c>
      <c r="C78">
        <v>22674</v>
      </c>
      <c r="D78" s="28">
        <v>15518055</v>
      </c>
      <c r="E78" t="s">
        <v>45</v>
      </c>
      <c r="F78" t="s">
        <v>560</v>
      </c>
      <c r="G78" t="s">
        <v>561</v>
      </c>
      <c r="H78" t="s">
        <v>37</v>
      </c>
      <c r="I78" s="27">
        <v>47176</v>
      </c>
      <c r="J78" t="s">
        <v>27</v>
      </c>
      <c r="K78" t="s">
        <v>41</v>
      </c>
      <c r="L78">
        <v>50</v>
      </c>
      <c r="M78" s="29">
        <v>-53677</v>
      </c>
      <c r="N78" s="29">
        <v>343</v>
      </c>
      <c r="O78">
        <v>1073.5</v>
      </c>
      <c r="P78">
        <v>1080.4000000000001</v>
      </c>
      <c r="Q78">
        <v>18.75</v>
      </c>
      <c r="R78">
        <v>18.5</v>
      </c>
      <c r="S78" s="21"/>
      <c r="T78" s="21"/>
    </row>
    <row r="79" spans="2:20" x14ac:dyDescent="0.3">
      <c r="B79" s="27">
        <v>46058</v>
      </c>
      <c r="C79">
        <v>25104</v>
      </c>
      <c r="D79" s="28">
        <v>162325</v>
      </c>
      <c r="E79" t="s">
        <v>45</v>
      </c>
      <c r="F79" t="s">
        <v>442</v>
      </c>
      <c r="G79" t="s">
        <v>48</v>
      </c>
      <c r="H79" t="s">
        <v>39</v>
      </c>
      <c r="I79" s="27">
        <v>47557</v>
      </c>
      <c r="J79" t="s">
        <v>27</v>
      </c>
      <c r="K79" t="s">
        <v>41</v>
      </c>
      <c r="L79">
        <v>4</v>
      </c>
      <c r="M79" s="29">
        <v>-45415</v>
      </c>
      <c r="N79" s="29">
        <v>339</v>
      </c>
      <c r="O79">
        <v>11353.7</v>
      </c>
      <c r="P79">
        <v>11438.6</v>
      </c>
      <c r="Q79">
        <v>95</v>
      </c>
      <c r="R79">
        <v>93.5</v>
      </c>
      <c r="S79" s="21"/>
      <c r="T79" s="21"/>
    </row>
    <row r="80" spans="2:20" x14ac:dyDescent="0.3">
      <c r="B80" s="27">
        <v>46058</v>
      </c>
      <c r="C80">
        <v>25619</v>
      </c>
      <c r="D80" s="28">
        <v>90566</v>
      </c>
      <c r="E80" t="s">
        <v>42</v>
      </c>
      <c r="F80" t="s">
        <v>562</v>
      </c>
      <c r="G80" t="s">
        <v>563</v>
      </c>
      <c r="H80" t="s">
        <v>39</v>
      </c>
      <c r="I80" s="27">
        <v>46769</v>
      </c>
      <c r="J80" t="s">
        <v>44</v>
      </c>
      <c r="K80" t="s">
        <v>40</v>
      </c>
      <c r="L80">
        <v>102</v>
      </c>
      <c r="M80" s="29">
        <v>99611</v>
      </c>
      <c r="N80" s="29">
        <v>168</v>
      </c>
      <c r="O80">
        <v>976.6</v>
      </c>
      <c r="P80">
        <v>974.9</v>
      </c>
      <c r="Q80">
        <v>2.8</v>
      </c>
      <c r="R80">
        <v>2.9</v>
      </c>
      <c r="S80" s="21"/>
      <c r="T80" s="21"/>
    </row>
    <row r="81" spans="2:20" x14ac:dyDescent="0.3">
      <c r="B81" s="27">
        <v>46058</v>
      </c>
      <c r="C81">
        <v>25619</v>
      </c>
      <c r="D81" s="28">
        <v>4375042</v>
      </c>
      <c r="E81" t="s">
        <v>42</v>
      </c>
      <c r="F81" t="s">
        <v>562</v>
      </c>
      <c r="G81" t="s">
        <v>563</v>
      </c>
      <c r="H81" t="s">
        <v>39</v>
      </c>
      <c r="I81" s="27">
        <v>46769</v>
      </c>
      <c r="J81" t="s">
        <v>44</v>
      </c>
      <c r="K81" t="s">
        <v>40</v>
      </c>
      <c r="L81">
        <v>46</v>
      </c>
      <c r="M81" s="29">
        <v>44923</v>
      </c>
      <c r="N81" s="29">
        <v>76</v>
      </c>
      <c r="O81">
        <v>976.6</v>
      </c>
      <c r="P81">
        <v>974.9</v>
      </c>
      <c r="Q81">
        <v>2.8</v>
      </c>
      <c r="R81">
        <v>2.9</v>
      </c>
      <c r="S81" s="21"/>
      <c r="T81" s="21"/>
    </row>
    <row r="82" spans="2:20" x14ac:dyDescent="0.3">
      <c r="B82" s="27">
        <v>46058</v>
      </c>
      <c r="C82">
        <v>25619</v>
      </c>
      <c r="D82" s="28">
        <v>4375042</v>
      </c>
      <c r="E82" t="s">
        <v>42</v>
      </c>
      <c r="F82" t="s">
        <v>95</v>
      </c>
      <c r="G82" t="s">
        <v>96</v>
      </c>
      <c r="H82" t="s">
        <v>39</v>
      </c>
      <c r="I82" s="27">
        <v>47498</v>
      </c>
      <c r="J82" t="s">
        <v>27</v>
      </c>
      <c r="K82" t="s">
        <v>41</v>
      </c>
      <c r="L82">
        <v>40</v>
      </c>
      <c r="M82" s="29">
        <v>-54267</v>
      </c>
      <c r="N82" s="29">
        <v>205</v>
      </c>
      <c r="O82">
        <v>1356.7</v>
      </c>
      <c r="P82">
        <v>1361.8</v>
      </c>
      <c r="Q82">
        <v>3.6</v>
      </c>
      <c r="R82">
        <v>3.5</v>
      </c>
      <c r="S82" s="21"/>
      <c r="T82" s="21"/>
    </row>
    <row r="83" spans="2:20" x14ac:dyDescent="0.3">
      <c r="B83" s="27">
        <v>46058</v>
      </c>
      <c r="C83">
        <v>25619</v>
      </c>
      <c r="D83" s="28">
        <v>4420155</v>
      </c>
      <c r="E83" t="s">
        <v>42</v>
      </c>
      <c r="F83" t="s">
        <v>562</v>
      </c>
      <c r="G83" t="s">
        <v>563</v>
      </c>
      <c r="H83" t="s">
        <v>39</v>
      </c>
      <c r="I83" s="27">
        <v>46769</v>
      </c>
      <c r="J83" t="s">
        <v>44</v>
      </c>
      <c r="K83" t="s">
        <v>40</v>
      </c>
      <c r="L83">
        <v>13</v>
      </c>
      <c r="M83" s="29">
        <v>12696</v>
      </c>
      <c r="N83" s="29">
        <v>21</v>
      </c>
      <c r="O83">
        <v>976.6</v>
      </c>
      <c r="P83">
        <v>974.9</v>
      </c>
      <c r="Q83">
        <v>2.8</v>
      </c>
      <c r="R83">
        <v>2.9</v>
      </c>
      <c r="S83" s="21"/>
      <c r="T83" s="21"/>
    </row>
    <row r="84" spans="2:20" x14ac:dyDescent="0.3">
      <c r="B84" s="27">
        <v>46058</v>
      </c>
      <c r="C84">
        <v>25619</v>
      </c>
      <c r="D84" s="28">
        <v>4420155</v>
      </c>
      <c r="E84" t="s">
        <v>42</v>
      </c>
      <c r="F84" t="s">
        <v>95</v>
      </c>
      <c r="G84" t="s">
        <v>96</v>
      </c>
      <c r="H84" t="s">
        <v>39</v>
      </c>
      <c r="I84" s="27">
        <v>47498</v>
      </c>
      <c r="J84" t="s">
        <v>27</v>
      </c>
      <c r="K84" t="s">
        <v>41</v>
      </c>
      <c r="L84">
        <v>10</v>
      </c>
      <c r="M84" s="29">
        <v>-13567</v>
      </c>
      <c r="N84" s="29">
        <v>51</v>
      </c>
      <c r="O84">
        <v>1356.7</v>
      </c>
      <c r="P84">
        <v>1361.8</v>
      </c>
      <c r="Q84">
        <v>3.6</v>
      </c>
      <c r="R84">
        <v>3.5</v>
      </c>
      <c r="S84" s="21"/>
      <c r="T84" s="21"/>
    </row>
    <row r="85" spans="2:20" x14ac:dyDescent="0.3">
      <c r="B85" s="27">
        <v>46058</v>
      </c>
      <c r="C85">
        <v>25619</v>
      </c>
      <c r="D85" s="28">
        <v>4442250</v>
      </c>
      <c r="E85" t="s">
        <v>42</v>
      </c>
      <c r="F85" t="s">
        <v>562</v>
      </c>
      <c r="G85" t="s">
        <v>563</v>
      </c>
      <c r="H85" t="s">
        <v>39</v>
      </c>
      <c r="I85" s="27">
        <v>46769</v>
      </c>
      <c r="J85" t="s">
        <v>44</v>
      </c>
      <c r="K85" t="s">
        <v>40</v>
      </c>
      <c r="L85">
        <v>73</v>
      </c>
      <c r="M85" s="29">
        <v>71290</v>
      </c>
      <c r="N85" s="29">
        <v>121</v>
      </c>
      <c r="O85">
        <v>976.6</v>
      </c>
      <c r="P85">
        <v>974.9</v>
      </c>
      <c r="Q85">
        <v>2.8</v>
      </c>
      <c r="R85">
        <v>2.9</v>
      </c>
      <c r="S85" s="21"/>
      <c r="T85" s="21"/>
    </row>
    <row r="86" spans="2:20" x14ac:dyDescent="0.3">
      <c r="B86" s="27">
        <v>46058</v>
      </c>
      <c r="C86">
        <v>25619</v>
      </c>
      <c r="D86" s="28">
        <v>4442250</v>
      </c>
      <c r="E86" t="s">
        <v>42</v>
      </c>
      <c r="F86" t="s">
        <v>95</v>
      </c>
      <c r="G86" t="s">
        <v>96</v>
      </c>
      <c r="H86" t="s">
        <v>39</v>
      </c>
      <c r="I86" s="27">
        <v>47498</v>
      </c>
      <c r="J86" t="s">
        <v>27</v>
      </c>
      <c r="K86" t="s">
        <v>41</v>
      </c>
      <c r="L86">
        <v>53</v>
      </c>
      <c r="M86" s="29">
        <v>-71903</v>
      </c>
      <c r="N86" s="29">
        <v>271</v>
      </c>
      <c r="O86">
        <v>1356.7</v>
      </c>
      <c r="P86">
        <v>1361.8</v>
      </c>
      <c r="Q86">
        <v>3.6</v>
      </c>
      <c r="R86">
        <v>3.5</v>
      </c>
      <c r="S86" s="21"/>
      <c r="T86" s="21"/>
    </row>
    <row r="87" spans="2:20" x14ac:dyDescent="0.3">
      <c r="B87" s="27">
        <v>46058</v>
      </c>
      <c r="C87">
        <v>25619</v>
      </c>
      <c r="D87" s="28">
        <v>4489616</v>
      </c>
      <c r="E87" t="s">
        <v>42</v>
      </c>
      <c r="F87" t="s">
        <v>562</v>
      </c>
      <c r="G87" t="s">
        <v>563</v>
      </c>
      <c r="H87" t="s">
        <v>39</v>
      </c>
      <c r="I87" s="27">
        <v>46769</v>
      </c>
      <c r="J87" t="s">
        <v>44</v>
      </c>
      <c r="K87" t="s">
        <v>40</v>
      </c>
      <c r="L87">
        <v>55</v>
      </c>
      <c r="M87" s="29">
        <v>53712</v>
      </c>
      <c r="N87" s="29">
        <v>91</v>
      </c>
      <c r="O87">
        <v>976.6</v>
      </c>
      <c r="P87">
        <v>974.9</v>
      </c>
      <c r="Q87">
        <v>2.8</v>
      </c>
      <c r="R87">
        <v>2.9</v>
      </c>
      <c r="S87" s="21"/>
      <c r="T87" s="21"/>
    </row>
    <row r="88" spans="2:20" x14ac:dyDescent="0.3">
      <c r="B88" s="27">
        <v>46058</v>
      </c>
      <c r="C88">
        <v>25619</v>
      </c>
      <c r="D88" s="28">
        <v>4489616</v>
      </c>
      <c r="E88" t="s">
        <v>42</v>
      </c>
      <c r="F88" t="s">
        <v>95</v>
      </c>
      <c r="G88" t="s">
        <v>96</v>
      </c>
      <c r="H88" t="s">
        <v>39</v>
      </c>
      <c r="I88" s="27">
        <v>47498</v>
      </c>
      <c r="J88" t="s">
        <v>27</v>
      </c>
      <c r="K88" t="s">
        <v>41</v>
      </c>
      <c r="L88">
        <v>40</v>
      </c>
      <c r="M88" s="29">
        <v>-54267</v>
      </c>
      <c r="N88" s="29">
        <v>205</v>
      </c>
      <c r="O88">
        <v>1356.7</v>
      </c>
      <c r="P88">
        <v>1361.8</v>
      </c>
      <c r="Q88">
        <v>3.6</v>
      </c>
      <c r="R88">
        <v>3.5</v>
      </c>
      <c r="S88" s="21"/>
      <c r="T88" s="21"/>
    </row>
    <row r="89" spans="2:20" x14ac:dyDescent="0.3">
      <c r="B89" s="27">
        <v>46058</v>
      </c>
      <c r="C89">
        <v>25619</v>
      </c>
      <c r="D89" s="28">
        <v>5375448</v>
      </c>
      <c r="E89" t="s">
        <v>42</v>
      </c>
      <c r="F89" t="s">
        <v>562</v>
      </c>
      <c r="G89" t="s">
        <v>563</v>
      </c>
      <c r="H89" t="s">
        <v>39</v>
      </c>
      <c r="I89" s="27">
        <v>46769</v>
      </c>
      <c r="J89" t="s">
        <v>44</v>
      </c>
      <c r="K89" t="s">
        <v>40</v>
      </c>
      <c r="L89">
        <v>52</v>
      </c>
      <c r="M89" s="29">
        <v>50782</v>
      </c>
      <c r="N89" s="29">
        <v>86</v>
      </c>
      <c r="O89">
        <v>976.6</v>
      </c>
      <c r="P89">
        <v>974.9</v>
      </c>
      <c r="Q89">
        <v>2.8</v>
      </c>
      <c r="R89">
        <v>2.9</v>
      </c>
      <c r="S89" s="21"/>
      <c r="T89" s="21"/>
    </row>
    <row r="90" spans="2:20" x14ac:dyDescent="0.3">
      <c r="B90" s="27">
        <v>46058</v>
      </c>
      <c r="C90">
        <v>25619</v>
      </c>
      <c r="D90" s="28">
        <v>5375448</v>
      </c>
      <c r="E90" t="s">
        <v>42</v>
      </c>
      <c r="F90" t="s">
        <v>95</v>
      </c>
      <c r="G90" t="s">
        <v>96</v>
      </c>
      <c r="H90" t="s">
        <v>39</v>
      </c>
      <c r="I90" s="27">
        <v>47498</v>
      </c>
      <c r="J90" t="s">
        <v>27</v>
      </c>
      <c r="K90" t="s">
        <v>41</v>
      </c>
      <c r="L90">
        <v>25</v>
      </c>
      <c r="M90" s="29">
        <v>-33917</v>
      </c>
      <c r="N90" s="29">
        <v>128</v>
      </c>
      <c r="O90">
        <v>1356.7</v>
      </c>
      <c r="P90">
        <v>1361.8</v>
      </c>
      <c r="Q90">
        <v>3.6</v>
      </c>
      <c r="R90">
        <v>3.5</v>
      </c>
      <c r="S90" s="21"/>
      <c r="T90" s="21"/>
    </row>
    <row r="91" spans="2:20" x14ac:dyDescent="0.3">
      <c r="B91" s="27">
        <v>46058</v>
      </c>
      <c r="C91">
        <v>25619</v>
      </c>
      <c r="D91" s="28">
        <v>6582712</v>
      </c>
      <c r="E91" t="s">
        <v>42</v>
      </c>
      <c r="F91" t="s">
        <v>562</v>
      </c>
      <c r="G91" t="s">
        <v>563</v>
      </c>
      <c r="H91" t="s">
        <v>39</v>
      </c>
      <c r="I91" s="27">
        <v>46769</v>
      </c>
      <c r="J91" t="s">
        <v>44</v>
      </c>
      <c r="K91" t="s">
        <v>40</v>
      </c>
      <c r="L91">
        <v>102</v>
      </c>
      <c r="M91" s="29">
        <v>99611</v>
      </c>
      <c r="N91" s="29">
        <v>168</v>
      </c>
      <c r="O91">
        <v>976.6</v>
      </c>
      <c r="P91">
        <v>974.9</v>
      </c>
      <c r="Q91">
        <v>2.8</v>
      </c>
      <c r="R91">
        <v>2.9</v>
      </c>
      <c r="S91" s="21"/>
      <c r="T91" s="21"/>
    </row>
    <row r="92" spans="2:20" x14ac:dyDescent="0.3">
      <c r="B92" s="27">
        <v>46058</v>
      </c>
      <c r="C92">
        <v>25619</v>
      </c>
      <c r="D92" s="28">
        <v>12918550</v>
      </c>
      <c r="E92" t="s">
        <v>42</v>
      </c>
      <c r="F92" t="s">
        <v>562</v>
      </c>
      <c r="G92" t="s">
        <v>563</v>
      </c>
      <c r="H92" t="s">
        <v>39</v>
      </c>
      <c r="I92" s="27">
        <v>46769</v>
      </c>
      <c r="J92" t="s">
        <v>44</v>
      </c>
      <c r="K92" t="s">
        <v>40</v>
      </c>
      <c r="L92">
        <v>51</v>
      </c>
      <c r="M92" s="29">
        <v>49806</v>
      </c>
      <c r="N92" s="29">
        <v>84</v>
      </c>
      <c r="O92">
        <v>976.6</v>
      </c>
      <c r="P92">
        <v>974.9</v>
      </c>
      <c r="Q92">
        <v>2.8</v>
      </c>
      <c r="R92">
        <v>2.9</v>
      </c>
      <c r="S92" s="21"/>
      <c r="T92" s="21"/>
    </row>
    <row r="93" spans="2:20" x14ac:dyDescent="0.3">
      <c r="B93" s="27">
        <v>46058</v>
      </c>
      <c r="C93">
        <v>25619</v>
      </c>
      <c r="D93" s="28">
        <v>16175528</v>
      </c>
      <c r="E93" t="s">
        <v>42</v>
      </c>
      <c r="F93" t="s">
        <v>562</v>
      </c>
      <c r="G93" t="s">
        <v>563</v>
      </c>
      <c r="H93" t="s">
        <v>39</v>
      </c>
      <c r="I93" s="27">
        <v>46769</v>
      </c>
      <c r="J93" t="s">
        <v>44</v>
      </c>
      <c r="K93" t="s">
        <v>40</v>
      </c>
      <c r="L93">
        <v>6</v>
      </c>
      <c r="M93" s="29">
        <v>5859</v>
      </c>
      <c r="N93" s="29">
        <v>10</v>
      </c>
      <c r="O93">
        <v>976.6</v>
      </c>
      <c r="P93">
        <v>974.9</v>
      </c>
      <c r="Q93">
        <v>2.8</v>
      </c>
      <c r="R93">
        <v>2.9</v>
      </c>
      <c r="S93" s="21"/>
      <c r="T93" s="21"/>
    </row>
    <row r="94" spans="2:20" x14ac:dyDescent="0.3">
      <c r="B94" s="27">
        <v>46058</v>
      </c>
      <c r="C94">
        <v>25619</v>
      </c>
      <c r="D94" s="28">
        <v>16175528</v>
      </c>
      <c r="E94" t="s">
        <v>42</v>
      </c>
      <c r="F94" t="s">
        <v>95</v>
      </c>
      <c r="G94" t="s">
        <v>96</v>
      </c>
      <c r="H94" t="s">
        <v>39</v>
      </c>
      <c r="I94" s="27">
        <v>47498</v>
      </c>
      <c r="J94" t="s">
        <v>27</v>
      </c>
      <c r="K94" t="s">
        <v>41</v>
      </c>
      <c r="L94">
        <v>5</v>
      </c>
      <c r="M94" s="29">
        <v>-6783</v>
      </c>
      <c r="N94" s="29">
        <v>26</v>
      </c>
      <c r="O94">
        <v>1356.7</v>
      </c>
      <c r="P94">
        <v>1361.8</v>
      </c>
      <c r="Q94">
        <v>3.6</v>
      </c>
      <c r="R94">
        <v>3.5</v>
      </c>
      <c r="S94" s="21"/>
      <c r="T94" s="21"/>
    </row>
    <row r="95" spans="2:20" x14ac:dyDescent="0.3">
      <c r="B95" s="27">
        <v>46058</v>
      </c>
      <c r="C95">
        <v>38517</v>
      </c>
      <c r="D95" s="28">
        <v>2370876</v>
      </c>
      <c r="E95" t="s">
        <v>45</v>
      </c>
      <c r="F95" t="s">
        <v>70</v>
      </c>
      <c r="G95" t="s">
        <v>71</v>
      </c>
      <c r="H95" t="s">
        <v>39</v>
      </c>
      <c r="I95" s="27">
        <v>49536</v>
      </c>
      <c r="J95" t="s">
        <v>27</v>
      </c>
      <c r="K95" t="s">
        <v>40</v>
      </c>
      <c r="L95">
        <v>1</v>
      </c>
      <c r="M95" s="29">
        <v>11385</v>
      </c>
      <c r="N95" s="29">
        <v>202</v>
      </c>
      <c r="O95">
        <v>11384.5</v>
      </c>
      <c r="P95">
        <v>11182.7</v>
      </c>
      <c r="Q95">
        <v>92.5</v>
      </c>
      <c r="R95">
        <v>94</v>
      </c>
      <c r="S95" s="21"/>
      <c r="T95" s="21"/>
    </row>
    <row r="96" spans="2:20" x14ac:dyDescent="0.3">
      <c r="B96" s="27">
        <v>46058</v>
      </c>
      <c r="C96">
        <v>38517</v>
      </c>
      <c r="D96" s="28">
        <v>2899604</v>
      </c>
      <c r="E96" t="s">
        <v>45</v>
      </c>
      <c r="F96" t="s">
        <v>76</v>
      </c>
      <c r="G96" t="s">
        <v>71</v>
      </c>
      <c r="H96" t="s">
        <v>39</v>
      </c>
      <c r="I96" s="27">
        <v>49536</v>
      </c>
      <c r="J96" t="s">
        <v>27</v>
      </c>
      <c r="K96" t="s">
        <v>40</v>
      </c>
      <c r="L96">
        <v>3</v>
      </c>
      <c r="M96" s="29">
        <v>33951</v>
      </c>
      <c r="N96" s="29">
        <v>402</v>
      </c>
      <c r="O96">
        <v>11316.9</v>
      </c>
      <c r="P96">
        <v>11182.7</v>
      </c>
      <c r="Q96">
        <v>93</v>
      </c>
      <c r="R96">
        <v>94</v>
      </c>
      <c r="S96" s="21"/>
      <c r="T96" s="21"/>
    </row>
    <row r="97" spans="2:20" x14ac:dyDescent="0.3">
      <c r="B97" s="27">
        <v>46058</v>
      </c>
      <c r="C97">
        <v>38517</v>
      </c>
      <c r="D97" s="28">
        <v>2899604</v>
      </c>
      <c r="E97" t="s">
        <v>45</v>
      </c>
      <c r="F97" t="s">
        <v>70</v>
      </c>
      <c r="G97" t="s">
        <v>71</v>
      </c>
      <c r="H97" t="s">
        <v>39</v>
      </c>
      <c r="I97" s="27">
        <v>49536</v>
      </c>
      <c r="J97" t="s">
        <v>27</v>
      </c>
      <c r="K97" t="s">
        <v>40</v>
      </c>
      <c r="L97">
        <v>2</v>
      </c>
      <c r="M97" s="29">
        <v>22634</v>
      </c>
      <c r="N97" s="29">
        <v>268</v>
      </c>
      <c r="O97">
        <v>11316.9</v>
      </c>
      <c r="P97">
        <v>11182.7</v>
      </c>
      <c r="Q97">
        <v>93</v>
      </c>
      <c r="R97">
        <v>94</v>
      </c>
      <c r="S97" s="21"/>
      <c r="T97" s="21"/>
    </row>
    <row r="98" spans="2:20" x14ac:dyDescent="0.3">
      <c r="B98" s="27">
        <v>46058</v>
      </c>
      <c r="C98">
        <v>38517</v>
      </c>
      <c r="D98" s="28">
        <v>4238598</v>
      </c>
      <c r="E98" t="s">
        <v>45</v>
      </c>
      <c r="F98" t="s">
        <v>80</v>
      </c>
      <c r="G98" t="s">
        <v>81</v>
      </c>
      <c r="H98" t="s">
        <v>39</v>
      </c>
      <c r="I98" s="27">
        <v>49506</v>
      </c>
      <c r="J98" t="s">
        <v>27</v>
      </c>
      <c r="K98" t="s">
        <v>40</v>
      </c>
      <c r="L98">
        <v>7</v>
      </c>
      <c r="M98" s="29">
        <v>79389</v>
      </c>
      <c r="N98" s="29">
        <v>932</v>
      </c>
      <c r="O98">
        <v>11341.3</v>
      </c>
      <c r="P98">
        <v>11208.2</v>
      </c>
      <c r="Q98">
        <v>93</v>
      </c>
      <c r="R98">
        <v>94</v>
      </c>
      <c r="S98" s="21"/>
      <c r="T98" s="21"/>
    </row>
    <row r="99" spans="2:20" x14ac:dyDescent="0.3">
      <c r="B99" s="27">
        <v>46058</v>
      </c>
      <c r="C99">
        <v>40901</v>
      </c>
      <c r="D99" s="28">
        <v>6534297</v>
      </c>
      <c r="E99" t="s">
        <v>35</v>
      </c>
      <c r="F99" t="s">
        <v>51</v>
      </c>
      <c r="G99" t="s">
        <v>52</v>
      </c>
      <c r="H99" t="s">
        <v>43</v>
      </c>
      <c r="I99" s="27">
        <v>49444</v>
      </c>
      <c r="J99" t="s">
        <v>44</v>
      </c>
      <c r="K99" t="s">
        <v>41</v>
      </c>
      <c r="L99">
        <v>4</v>
      </c>
      <c r="M99" s="29">
        <v>-16543</v>
      </c>
      <c r="N99" s="29">
        <v>270</v>
      </c>
      <c r="O99">
        <v>4135.7</v>
      </c>
      <c r="P99">
        <v>4203.2</v>
      </c>
      <c r="Q99">
        <v>7.85</v>
      </c>
      <c r="R99">
        <v>7.6</v>
      </c>
      <c r="S99" s="21"/>
      <c r="T99" s="21"/>
    </row>
    <row r="100" spans="2:20" x14ac:dyDescent="0.3">
      <c r="B100" s="27">
        <v>46058</v>
      </c>
      <c r="C100">
        <v>69493</v>
      </c>
      <c r="D100" s="28">
        <v>18277819</v>
      </c>
      <c r="E100" t="s">
        <v>45</v>
      </c>
      <c r="F100" t="s">
        <v>564</v>
      </c>
      <c r="G100" t="s">
        <v>565</v>
      </c>
      <c r="H100" t="s">
        <v>39</v>
      </c>
      <c r="I100" s="27">
        <v>47883</v>
      </c>
      <c r="J100" t="s">
        <v>27</v>
      </c>
      <c r="K100" t="s">
        <v>40</v>
      </c>
      <c r="L100">
        <v>110</v>
      </c>
      <c r="M100" s="29">
        <v>110000</v>
      </c>
      <c r="N100" s="29">
        <v>270</v>
      </c>
      <c r="O100">
        <v>1000</v>
      </c>
      <c r="P100">
        <v>997.5</v>
      </c>
      <c r="Q100">
        <v>0.9</v>
      </c>
      <c r="R100">
        <v>0.95</v>
      </c>
      <c r="S100" s="21"/>
      <c r="T100" s="21"/>
    </row>
    <row r="101" spans="2:20" x14ac:dyDescent="0.3">
      <c r="B101" s="27">
        <v>46058</v>
      </c>
      <c r="C101">
        <v>69519</v>
      </c>
      <c r="D101" s="28">
        <v>3440767</v>
      </c>
      <c r="E101" t="s">
        <v>45</v>
      </c>
      <c r="F101" t="s">
        <v>566</v>
      </c>
      <c r="G101" t="s">
        <v>567</v>
      </c>
      <c r="H101" t="s">
        <v>37</v>
      </c>
      <c r="I101" s="27">
        <v>47581</v>
      </c>
      <c r="J101" t="s">
        <v>46</v>
      </c>
      <c r="K101" t="s">
        <v>40</v>
      </c>
      <c r="L101">
        <v>11</v>
      </c>
      <c r="M101" s="29">
        <v>11121</v>
      </c>
      <c r="N101" s="29">
        <v>268</v>
      </c>
      <c r="O101">
        <v>1011</v>
      </c>
      <c r="P101">
        <v>986.7</v>
      </c>
      <c r="Q101">
        <v>14.8</v>
      </c>
      <c r="R101">
        <v>15.7</v>
      </c>
      <c r="S101" s="21"/>
      <c r="T101" s="21"/>
    </row>
    <row r="102" spans="2:20" x14ac:dyDescent="0.3">
      <c r="B102" s="27">
        <v>46058</v>
      </c>
      <c r="C102">
        <v>72444</v>
      </c>
      <c r="D102" s="28">
        <v>360617</v>
      </c>
      <c r="E102" t="s">
        <v>45</v>
      </c>
      <c r="F102" t="s">
        <v>568</v>
      </c>
      <c r="G102" t="s">
        <v>530</v>
      </c>
      <c r="H102" t="s">
        <v>39</v>
      </c>
      <c r="I102" s="27">
        <v>46790</v>
      </c>
      <c r="J102" t="s">
        <v>27</v>
      </c>
      <c r="K102" t="s">
        <v>40</v>
      </c>
      <c r="L102">
        <v>24</v>
      </c>
      <c r="M102" s="29">
        <v>24000</v>
      </c>
      <c r="N102" s="29">
        <v>57</v>
      </c>
      <c r="O102">
        <v>1000</v>
      </c>
      <c r="P102">
        <v>997.6</v>
      </c>
      <c r="Q102">
        <v>107.25</v>
      </c>
      <c r="R102">
        <v>108.25</v>
      </c>
      <c r="S102" s="21"/>
      <c r="T102" s="21"/>
    </row>
    <row r="103" spans="2:20" x14ac:dyDescent="0.3">
      <c r="B103" s="27">
        <v>46059</v>
      </c>
      <c r="C103">
        <v>20020</v>
      </c>
      <c r="D103" s="28">
        <v>7215849</v>
      </c>
      <c r="E103" t="s">
        <v>45</v>
      </c>
      <c r="F103" t="s">
        <v>569</v>
      </c>
      <c r="G103" t="s">
        <v>570</v>
      </c>
      <c r="H103" t="s">
        <v>39</v>
      </c>
      <c r="I103" s="27">
        <v>47751</v>
      </c>
      <c r="J103" t="s">
        <v>27</v>
      </c>
      <c r="K103" t="s">
        <v>41</v>
      </c>
      <c r="L103">
        <v>8</v>
      </c>
      <c r="M103" s="29">
        <v>-8184</v>
      </c>
      <c r="N103" s="29">
        <v>116</v>
      </c>
      <c r="O103">
        <v>1023</v>
      </c>
      <c r="P103">
        <v>1037.5999999999999</v>
      </c>
      <c r="Q103">
        <v>99.5</v>
      </c>
      <c r="R103">
        <v>97</v>
      </c>
      <c r="S103" s="21"/>
      <c r="T103" s="21"/>
    </row>
    <row r="104" spans="2:20" x14ac:dyDescent="0.3">
      <c r="B104" s="27">
        <v>46059</v>
      </c>
      <c r="C104">
        <v>20020</v>
      </c>
      <c r="D104" s="28">
        <v>7215849</v>
      </c>
      <c r="E104" t="s">
        <v>35</v>
      </c>
      <c r="F104" t="s">
        <v>36</v>
      </c>
      <c r="G104" t="s">
        <v>90</v>
      </c>
      <c r="H104" t="s">
        <v>37</v>
      </c>
      <c r="I104" s="27">
        <v>46204</v>
      </c>
      <c r="J104" t="s">
        <v>27</v>
      </c>
      <c r="K104" t="s">
        <v>41</v>
      </c>
      <c r="L104">
        <v>2</v>
      </c>
      <c r="M104" s="29">
        <v>-1898</v>
      </c>
      <c r="N104" s="29">
        <v>2</v>
      </c>
      <c r="O104">
        <v>949</v>
      </c>
      <c r="P104">
        <v>949.8</v>
      </c>
      <c r="Q104">
        <v>14.5725</v>
      </c>
      <c r="R104">
        <v>14.3225</v>
      </c>
      <c r="S104" s="21"/>
      <c r="T104" s="21"/>
    </row>
    <row r="105" spans="2:20" x14ac:dyDescent="0.3">
      <c r="B105" s="27">
        <v>46059</v>
      </c>
      <c r="C105">
        <v>21559</v>
      </c>
      <c r="D105" s="28">
        <v>8218280</v>
      </c>
      <c r="E105" t="s">
        <v>45</v>
      </c>
      <c r="F105" t="s">
        <v>571</v>
      </c>
      <c r="G105" t="s">
        <v>572</v>
      </c>
      <c r="H105" t="s">
        <v>39</v>
      </c>
      <c r="I105" s="27">
        <v>46790</v>
      </c>
      <c r="J105" t="s">
        <v>27</v>
      </c>
      <c r="K105" t="s">
        <v>40</v>
      </c>
      <c r="L105">
        <v>10</v>
      </c>
      <c r="M105" s="29">
        <v>10000</v>
      </c>
      <c r="N105" s="29">
        <v>94</v>
      </c>
      <c r="O105">
        <v>1000</v>
      </c>
      <c r="P105">
        <v>990.6</v>
      </c>
      <c r="Q105">
        <v>108</v>
      </c>
      <c r="R105">
        <v>112</v>
      </c>
      <c r="S105" s="21"/>
      <c r="T105" s="21"/>
    </row>
    <row r="106" spans="2:20" x14ac:dyDescent="0.3">
      <c r="B106" s="27">
        <v>46059</v>
      </c>
      <c r="C106">
        <v>22674</v>
      </c>
      <c r="D106" s="28">
        <v>88012</v>
      </c>
      <c r="E106" t="s">
        <v>45</v>
      </c>
      <c r="F106" t="s">
        <v>558</v>
      </c>
      <c r="G106" t="s">
        <v>559</v>
      </c>
      <c r="H106" t="s">
        <v>39</v>
      </c>
      <c r="I106" s="27">
        <v>46212</v>
      </c>
      <c r="J106" t="s">
        <v>27</v>
      </c>
      <c r="K106" t="s">
        <v>41</v>
      </c>
      <c r="L106">
        <v>9</v>
      </c>
      <c r="M106" s="29">
        <v>-9601</v>
      </c>
      <c r="N106" s="29">
        <v>13</v>
      </c>
      <c r="O106">
        <v>1066.8</v>
      </c>
      <c r="P106">
        <v>1068.2</v>
      </c>
      <c r="Q106">
        <v>109.5</v>
      </c>
      <c r="R106">
        <v>107</v>
      </c>
      <c r="S106" s="21"/>
      <c r="T106" s="21"/>
    </row>
    <row r="107" spans="2:20" x14ac:dyDescent="0.3">
      <c r="B107" s="27">
        <v>46059</v>
      </c>
      <c r="C107">
        <v>22674</v>
      </c>
      <c r="D107" s="28">
        <v>2742454</v>
      </c>
      <c r="E107" t="s">
        <v>45</v>
      </c>
      <c r="F107" t="s">
        <v>573</v>
      </c>
      <c r="G107" t="s">
        <v>559</v>
      </c>
      <c r="H107" t="s">
        <v>39</v>
      </c>
      <c r="I107" s="27">
        <v>46209</v>
      </c>
      <c r="J107" t="s">
        <v>27</v>
      </c>
      <c r="K107" t="s">
        <v>41</v>
      </c>
      <c r="L107">
        <v>6</v>
      </c>
      <c r="M107" s="29">
        <v>-7171</v>
      </c>
      <c r="N107" s="29">
        <v>10</v>
      </c>
      <c r="O107">
        <v>1195.0999999999999</v>
      </c>
      <c r="P107">
        <v>1196.7</v>
      </c>
      <c r="Q107">
        <v>109.5</v>
      </c>
      <c r="R107">
        <v>107</v>
      </c>
      <c r="S107" s="21"/>
      <c r="T107" s="21"/>
    </row>
    <row r="108" spans="2:20" x14ac:dyDescent="0.3">
      <c r="B108" s="27">
        <v>46059</v>
      </c>
      <c r="C108">
        <v>25104</v>
      </c>
      <c r="D108" s="28">
        <v>3786524</v>
      </c>
      <c r="E108" t="s">
        <v>45</v>
      </c>
      <c r="F108" t="s">
        <v>574</v>
      </c>
      <c r="G108" t="s">
        <v>116</v>
      </c>
      <c r="H108" t="s">
        <v>39</v>
      </c>
      <c r="I108" s="27">
        <v>46167</v>
      </c>
      <c r="J108" t="s">
        <v>27</v>
      </c>
      <c r="K108" t="s">
        <v>40</v>
      </c>
      <c r="L108">
        <v>3</v>
      </c>
      <c r="M108" s="29">
        <v>3276</v>
      </c>
      <c r="N108" s="29">
        <v>3</v>
      </c>
      <c r="O108">
        <v>1091.9000000000001</v>
      </c>
      <c r="P108">
        <v>1091</v>
      </c>
      <c r="Q108">
        <v>100</v>
      </c>
      <c r="R108">
        <v>102</v>
      </c>
      <c r="S108" s="21"/>
      <c r="T108" s="21"/>
    </row>
    <row r="109" spans="2:20" x14ac:dyDescent="0.3">
      <c r="B109" s="27">
        <v>46059</v>
      </c>
      <c r="C109">
        <v>25104</v>
      </c>
      <c r="D109" s="28">
        <v>3786524</v>
      </c>
      <c r="E109" t="s">
        <v>45</v>
      </c>
      <c r="F109" t="s">
        <v>575</v>
      </c>
      <c r="G109" t="s">
        <v>100</v>
      </c>
      <c r="H109" t="s">
        <v>39</v>
      </c>
      <c r="I109" s="27">
        <v>46252</v>
      </c>
      <c r="J109" t="s">
        <v>27</v>
      </c>
      <c r="K109" t="s">
        <v>40</v>
      </c>
      <c r="L109">
        <v>14</v>
      </c>
      <c r="M109" s="29">
        <v>14714</v>
      </c>
      <c r="N109" s="29">
        <v>50</v>
      </c>
      <c r="O109">
        <v>1051</v>
      </c>
      <c r="P109">
        <v>1047.4000000000001</v>
      </c>
      <c r="Q109">
        <v>105</v>
      </c>
      <c r="R109">
        <v>110</v>
      </c>
      <c r="S109" s="21"/>
      <c r="T109" s="21"/>
    </row>
    <row r="110" spans="2:20" x14ac:dyDescent="0.3">
      <c r="B110" s="27">
        <v>46059</v>
      </c>
      <c r="C110">
        <v>25104</v>
      </c>
      <c r="D110" s="28">
        <v>3786524</v>
      </c>
      <c r="E110" t="s">
        <v>45</v>
      </c>
      <c r="F110" t="s">
        <v>576</v>
      </c>
      <c r="G110" t="s">
        <v>127</v>
      </c>
      <c r="H110" t="s">
        <v>39</v>
      </c>
      <c r="I110" s="27">
        <v>46343</v>
      </c>
      <c r="J110" t="s">
        <v>27</v>
      </c>
      <c r="K110" t="s">
        <v>40</v>
      </c>
      <c r="L110">
        <v>5</v>
      </c>
      <c r="M110" s="29">
        <v>5124</v>
      </c>
      <c r="N110" s="29">
        <v>10</v>
      </c>
      <c r="O110">
        <v>1024.7</v>
      </c>
      <c r="P110">
        <v>1022.7</v>
      </c>
      <c r="Q110">
        <v>100</v>
      </c>
      <c r="R110">
        <v>102</v>
      </c>
      <c r="S110" s="21"/>
      <c r="T110" s="21"/>
    </row>
    <row r="111" spans="2:20" x14ac:dyDescent="0.3">
      <c r="B111" s="27">
        <v>46059</v>
      </c>
      <c r="C111">
        <v>25104</v>
      </c>
      <c r="D111" s="28">
        <v>18463010</v>
      </c>
      <c r="E111" t="s">
        <v>45</v>
      </c>
      <c r="F111" t="s">
        <v>98</v>
      </c>
      <c r="G111" t="s">
        <v>48</v>
      </c>
      <c r="H111" t="s">
        <v>39</v>
      </c>
      <c r="I111" s="27">
        <v>47557</v>
      </c>
      <c r="J111" t="s">
        <v>27</v>
      </c>
      <c r="K111" t="s">
        <v>40</v>
      </c>
      <c r="L111">
        <v>5</v>
      </c>
      <c r="M111" s="29">
        <v>57506</v>
      </c>
      <c r="N111" s="29">
        <v>142</v>
      </c>
      <c r="O111">
        <v>11501.1</v>
      </c>
      <c r="P111">
        <v>11472.7</v>
      </c>
      <c r="Q111">
        <v>92.5</v>
      </c>
      <c r="R111">
        <v>93</v>
      </c>
      <c r="S111" s="21"/>
      <c r="T111" s="21"/>
    </row>
    <row r="112" spans="2:20" x14ac:dyDescent="0.3">
      <c r="B112" s="27">
        <v>46059</v>
      </c>
      <c r="C112">
        <v>25619</v>
      </c>
      <c r="D112" s="28">
        <v>6304689</v>
      </c>
      <c r="E112" t="s">
        <v>35</v>
      </c>
      <c r="F112" t="s">
        <v>88</v>
      </c>
      <c r="G112" t="s">
        <v>577</v>
      </c>
      <c r="H112" t="s">
        <v>37</v>
      </c>
      <c r="I112" s="27">
        <v>49310</v>
      </c>
      <c r="J112" t="s">
        <v>44</v>
      </c>
      <c r="K112" t="s">
        <v>40</v>
      </c>
      <c r="L112">
        <v>46</v>
      </c>
      <c r="M112" s="29">
        <v>38982</v>
      </c>
      <c r="N112" s="29">
        <v>236</v>
      </c>
      <c r="O112">
        <v>847.4</v>
      </c>
      <c r="P112">
        <v>842.3</v>
      </c>
      <c r="Q112">
        <v>13.4</v>
      </c>
      <c r="R112">
        <v>13.52</v>
      </c>
      <c r="S112" s="21"/>
      <c r="T112" s="21"/>
    </row>
    <row r="113" spans="2:20" x14ac:dyDescent="0.3">
      <c r="B113" s="27">
        <v>46059</v>
      </c>
      <c r="C113">
        <v>38517</v>
      </c>
      <c r="D113" s="28">
        <v>3943064</v>
      </c>
      <c r="E113" t="s">
        <v>45</v>
      </c>
      <c r="F113" t="s">
        <v>121</v>
      </c>
      <c r="G113" t="s">
        <v>122</v>
      </c>
      <c r="H113" t="s">
        <v>39</v>
      </c>
      <c r="I113" s="27">
        <v>47102</v>
      </c>
      <c r="J113" t="s">
        <v>27</v>
      </c>
      <c r="K113" t="s">
        <v>40</v>
      </c>
      <c r="L113">
        <v>2</v>
      </c>
      <c r="M113" s="29">
        <v>23970</v>
      </c>
      <c r="N113" s="29">
        <v>242</v>
      </c>
      <c r="O113">
        <v>11985</v>
      </c>
      <c r="P113">
        <v>11863.8</v>
      </c>
      <c r="Q113">
        <v>88</v>
      </c>
      <c r="R113">
        <v>91</v>
      </c>
      <c r="S113" s="21"/>
      <c r="T113" s="21"/>
    </row>
    <row r="114" spans="2:20" x14ac:dyDescent="0.3">
      <c r="B114" s="27">
        <v>46059</v>
      </c>
      <c r="C114">
        <v>38517</v>
      </c>
      <c r="D114" s="28">
        <v>3943064</v>
      </c>
      <c r="E114" t="s">
        <v>45</v>
      </c>
      <c r="F114" t="s">
        <v>578</v>
      </c>
      <c r="G114" t="s">
        <v>579</v>
      </c>
      <c r="H114" t="s">
        <v>43</v>
      </c>
      <c r="I114" s="27">
        <v>46524</v>
      </c>
      <c r="J114" t="s">
        <v>27</v>
      </c>
      <c r="K114" t="s">
        <v>41</v>
      </c>
      <c r="L114">
        <v>27</v>
      </c>
      <c r="M114" s="29">
        <v>-28493</v>
      </c>
      <c r="N114" s="29">
        <v>80</v>
      </c>
      <c r="O114">
        <v>1055.3</v>
      </c>
      <c r="P114">
        <v>1058.3</v>
      </c>
      <c r="Q114">
        <v>10.96</v>
      </c>
      <c r="R114">
        <v>10.71</v>
      </c>
      <c r="S114" s="21"/>
      <c r="T114" s="21"/>
    </row>
    <row r="115" spans="2:20" x14ac:dyDescent="0.3">
      <c r="B115" s="27">
        <v>46059</v>
      </c>
      <c r="C115">
        <v>38517</v>
      </c>
      <c r="D115" s="28">
        <v>3943064</v>
      </c>
      <c r="E115" t="s">
        <v>45</v>
      </c>
      <c r="F115" t="s">
        <v>580</v>
      </c>
      <c r="G115" t="s">
        <v>581</v>
      </c>
      <c r="H115" t="s">
        <v>37</v>
      </c>
      <c r="I115" s="27">
        <v>46188</v>
      </c>
      <c r="J115" t="s">
        <v>27</v>
      </c>
      <c r="K115" t="s">
        <v>41</v>
      </c>
      <c r="L115">
        <v>8</v>
      </c>
      <c r="M115" s="29">
        <v>-9542</v>
      </c>
      <c r="N115" s="29">
        <v>7</v>
      </c>
      <c r="O115">
        <v>1192.8</v>
      </c>
      <c r="P115">
        <v>1193.5999999999999</v>
      </c>
      <c r="Q115">
        <v>21.25</v>
      </c>
      <c r="R115">
        <v>21</v>
      </c>
      <c r="S115" s="21"/>
      <c r="T115" s="21"/>
    </row>
    <row r="116" spans="2:20" x14ac:dyDescent="0.3">
      <c r="B116" s="27">
        <v>46059</v>
      </c>
      <c r="C116">
        <v>38517</v>
      </c>
      <c r="D116" s="28">
        <v>3943064</v>
      </c>
      <c r="E116" t="s">
        <v>45</v>
      </c>
      <c r="F116" t="s">
        <v>582</v>
      </c>
      <c r="G116" t="s">
        <v>583</v>
      </c>
      <c r="H116" t="s">
        <v>39</v>
      </c>
      <c r="I116" s="27">
        <v>46673</v>
      </c>
      <c r="J116" t="s">
        <v>27</v>
      </c>
      <c r="K116" t="s">
        <v>41</v>
      </c>
      <c r="L116">
        <v>25</v>
      </c>
      <c r="M116" s="29">
        <v>-24039</v>
      </c>
      <c r="N116" s="29">
        <v>120</v>
      </c>
      <c r="O116">
        <v>961.6</v>
      </c>
      <c r="P116">
        <v>966.4</v>
      </c>
      <c r="Q116">
        <v>152.5</v>
      </c>
      <c r="R116">
        <v>150</v>
      </c>
      <c r="S116" s="21"/>
      <c r="T116" s="21"/>
    </row>
    <row r="117" spans="2:20" x14ac:dyDescent="0.3">
      <c r="B117" s="27">
        <v>46059</v>
      </c>
      <c r="C117">
        <v>38517</v>
      </c>
      <c r="D117" s="28">
        <v>18642092</v>
      </c>
      <c r="E117" t="s">
        <v>45</v>
      </c>
      <c r="F117" t="s">
        <v>77</v>
      </c>
      <c r="G117" t="s">
        <v>48</v>
      </c>
      <c r="H117" t="s">
        <v>39</v>
      </c>
      <c r="I117" s="27">
        <v>47557</v>
      </c>
      <c r="J117" t="s">
        <v>27</v>
      </c>
      <c r="K117" t="s">
        <v>40</v>
      </c>
      <c r="L117">
        <v>2</v>
      </c>
      <c r="M117" s="29">
        <v>22945</v>
      </c>
      <c r="N117" s="29">
        <v>113</v>
      </c>
      <c r="O117">
        <v>11472.7</v>
      </c>
      <c r="P117">
        <v>11416</v>
      </c>
      <c r="Q117">
        <v>93</v>
      </c>
      <c r="R117">
        <v>94</v>
      </c>
      <c r="S117" s="21"/>
      <c r="T117" s="21"/>
    </row>
    <row r="118" spans="2:20" x14ac:dyDescent="0.3">
      <c r="B118" s="27">
        <v>46059</v>
      </c>
      <c r="C118">
        <v>38517</v>
      </c>
      <c r="D118" s="28">
        <v>18790202</v>
      </c>
      <c r="E118" t="s">
        <v>45</v>
      </c>
      <c r="F118" t="s">
        <v>76</v>
      </c>
      <c r="G118" t="s">
        <v>71</v>
      </c>
      <c r="H118" t="s">
        <v>39</v>
      </c>
      <c r="I118" s="27">
        <v>49536</v>
      </c>
      <c r="J118" t="s">
        <v>27</v>
      </c>
      <c r="K118" t="s">
        <v>40</v>
      </c>
      <c r="L118">
        <v>4</v>
      </c>
      <c r="M118" s="29">
        <v>45292</v>
      </c>
      <c r="N118" s="29">
        <v>537</v>
      </c>
      <c r="O118">
        <v>11323.1</v>
      </c>
      <c r="P118">
        <v>11188.9</v>
      </c>
      <c r="Q118">
        <v>93</v>
      </c>
      <c r="R118">
        <v>94</v>
      </c>
      <c r="S118" s="21"/>
      <c r="T118" s="21"/>
    </row>
    <row r="119" spans="2:20" x14ac:dyDescent="0.3">
      <c r="B119" s="27">
        <v>46059</v>
      </c>
      <c r="C119">
        <v>40901</v>
      </c>
      <c r="D119" s="28">
        <v>11610966</v>
      </c>
      <c r="E119" t="s">
        <v>42</v>
      </c>
      <c r="F119" t="s">
        <v>104</v>
      </c>
      <c r="G119" t="s">
        <v>105</v>
      </c>
      <c r="H119" t="s">
        <v>43</v>
      </c>
      <c r="I119" s="27">
        <v>47192</v>
      </c>
      <c r="J119" t="s">
        <v>46</v>
      </c>
      <c r="K119" t="s">
        <v>40</v>
      </c>
      <c r="L119">
        <v>21</v>
      </c>
      <c r="M119" s="29">
        <v>21804</v>
      </c>
      <c r="N119" s="29">
        <v>184</v>
      </c>
      <c r="O119">
        <v>1038.3</v>
      </c>
      <c r="P119">
        <v>1029.5</v>
      </c>
      <c r="Q119">
        <v>9.5500000000000007</v>
      </c>
      <c r="R119">
        <v>9.9499999999999993</v>
      </c>
      <c r="S119" s="21"/>
      <c r="T119" s="21"/>
    </row>
    <row r="120" spans="2:20" x14ac:dyDescent="0.3">
      <c r="B120" s="27">
        <v>46059</v>
      </c>
      <c r="C120">
        <v>69519</v>
      </c>
      <c r="D120" s="28">
        <v>2896225</v>
      </c>
      <c r="E120" t="s">
        <v>45</v>
      </c>
      <c r="F120" t="s">
        <v>584</v>
      </c>
      <c r="G120" t="s">
        <v>585</v>
      </c>
      <c r="H120" t="s">
        <v>39</v>
      </c>
      <c r="I120" s="27">
        <v>47154</v>
      </c>
      <c r="J120" t="s">
        <v>27</v>
      </c>
      <c r="K120" t="s">
        <v>40</v>
      </c>
      <c r="L120">
        <v>14</v>
      </c>
      <c r="M120" s="29">
        <v>14007</v>
      </c>
      <c r="N120" s="29">
        <v>99</v>
      </c>
      <c r="O120">
        <v>1000.5</v>
      </c>
      <c r="P120">
        <v>993.4</v>
      </c>
      <c r="Q120">
        <v>91</v>
      </c>
      <c r="R120">
        <v>93</v>
      </c>
      <c r="S120" s="21"/>
      <c r="T120" s="21"/>
    </row>
    <row r="121" spans="2:20" x14ac:dyDescent="0.3">
      <c r="B121" s="27">
        <v>46059</v>
      </c>
      <c r="C121">
        <v>71881</v>
      </c>
      <c r="D121" s="28">
        <v>229741</v>
      </c>
      <c r="E121" t="s">
        <v>45</v>
      </c>
      <c r="F121" t="s">
        <v>586</v>
      </c>
      <c r="G121" t="s">
        <v>72</v>
      </c>
      <c r="H121" t="s">
        <v>39</v>
      </c>
      <c r="I121" s="27">
        <v>46121</v>
      </c>
      <c r="J121" t="s">
        <v>27</v>
      </c>
      <c r="K121" t="s">
        <v>41</v>
      </c>
      <c r="L121">
        <v>223</v>
      </c>
      <c r="M121" s="29">
        <v>-247600</v>
      </c>
      <c r="N121" s="29">
        <v>139</v>
      </c>
      <c r="O121">
        <v>1110.3</v>
      </c>
      <c r="P121">
        <v>1110.9000000000001</v>
      </c>
      <c r="Q121">
        <v>109.5</v>
      </c>
      <c r="R121">
        <v>107</v>
      </c>
      <c r="S121" s="21"/>
      <c r="T121" s="21"/>
    </row>
    <row r="122" spans="2:20" x14ac:dyDescent="0.3">
      <c r="B122" s="27">
        <v>46059</v>
      </c>
      <c r="C122">
        <v>71881</v>
      </c>
      <c r="D122" s="28">
        <v>3146256</v>
      </c>
      <c r="E122" t="s">
        <v>45</v>
      </c>
      <c r="F122" t="s">
        <v>587</v>
      </c>
      <c r="G122" t="s">
        <v>528</v>
      </c>
      <c r="H122" t="s">
        <v>37</v>
      </c>
      <c r="I122" s="27">
        <v>47154</v>
      </c>
      <c r="J122" t="s">
        <v>27</v>
      </c>
      <c r="K122" t="s">
        <v>40</v>
      </c>
      <c r="L122">
        <v>2</v>
      </c>
      <c r="M122" s="29">
        <v>2000</v>
      </c>
      <c r="N122" s="29">
        <v>3</v>
      </c>
      <c r="O122">
        <v>1000</v>
      </c>
      <c r="P122">
        <v>998.7</v>
      </c>
      <c r="Q122">
        <v>13.8</v>
      </c>
      <c r="R122">
        <v>13.85</v>
      </c>
      <c r="S122" s="21"/>
      <c r="T122" s="21"/>
    </row>
    <row r="123" spans="2:20" x14ac:dyDescent="0.3">
      <c r="B123" s="27">
        <v>46059</v>
      </c>
      <c r="C123">
        <v>74304</v>
      </c>
      <c r="D123" s="28">
        <v>18871519</v>
      </c>
      <c r="E123" t="s">
        <v>45</v>
      </c>
      <c r="F123" t="s">
        <v>588</v>
      </c>
      <c r="G123" t="s">
        <v>589</v>
      </c>
      <c r="H123" t="s">
        <v>43</v>
      </c>
      <c r="I123" s="27">
        <v>46428</v>
      </c>
      <c r="J123" t="s">
        <v>27</v>
      </c>
      <c r="K123" t="s">
        <v>40</v>
      </c>
      <c r="L123">
        <v>13</v>
      </c>
      <c r="M123" s="29">
        <v>13000</v>
      </c>
      <c r="N123" s="29">
        <v>48</v>
      </c>
      <c r="O123">
        <v>1000</v>
      </c>
      <c r="P123">
        <v>996.3</v>
      </c>
      <c r="Q123">
        <v>6.74</v>
      </c>
      <c r="R123">
        <v>7.14</v>
      </c>
      <c r="S123" s="21"/>
      <c r="T123" s="21"/>
    </row>
    <row r="124" spans="2:20" x14ac:dyDescent="0.3">
      <c r="B124" s="27">
        <v>46059</v>
      </c>
      <c r="C124">
        <v>74304</v>
      </c>
      <c r="D124" s="28">
        <v>18871519</v>
      </c>
      <c r="E124" t="s">
        <v>45</v>
      </c>
      <c r="F124" t="s">
        <v>590</v>
      </c>
      <c r="G124" t="s">
        <v>591</v>
      </c>
      <c r="H124" t="s">
        <v>37</v>
      </c>
      <c r="I124" s="27">
        <v>47154</v>
      </c>
      <c r="J124" t="s">
        <v>27</v>
      </c>
      <c r="K124" t="s">
        <v>40</v>
      </c>
      <c r="L124">
        <v>10</v>
      </c>
      <c r="M124" s="29">
        <v>10000</v>
      </c>
      <c r="N124" s="29">
        <v>130</v>
      </c>
      <c r="O124">
        <v>1000</v>
      </c>
      <c r="P124">
        <v>987</v>
      </c>
      <c r="Q124">
        <v>13.4</v>
      </c>
      <c r="R124">
        <v>13.9</v>
      </c>
      <c r="S124" s="21"/>
      <c r="T124" s="21"/>
    </row>
    <row r="125" spans="2:20" x14ac:dyDescent="0.3">
      <c r="B125" s="27">
        <v>46059</v>
      </c>
      <c r="C125">
        <v>96553</v>
      </c>
      <c r="D125" s="28">
        <v>12406622</v>
      </c>
      <c r="E125" t="s">
        <v>45</v>
      </c>
      <c r="F125" t="s">
        <v>592</v>
      </c>
      <c r="G125" t="s">
        <v>593</v>
      </c>
      <c r="H125" t="s">
        <v>39</v>
      </c>
      <c r="I125" s="27">
        <v>46251</v>
      </c>
      <c r="J125" t="s">
        <v>27</v>
      </c>
      <c r="K125" t="s">
        <v>40</v>
      </c>
      <c r="L125">
        <v>2</v>
      </c>
      <c r="M125" s="29">
        <v>2799</v>
      </c>
      <c r="N125" s="29">
        <v>9</v>
      </c>
      <c r="O125">
        <v>1399.4</v>
      </c>
      <c r="P125">
        <v>1394.7</v>
      </c>
      <c r="Q125">
        <v>140</v>
      </c>
      <c r="R125">
        <v>145</v>
      </c>
      <c r="S125" s="21"/>
      <c r="T125" s="21"/>
    </row>
    <row r="126" spans="2:20" x14ac:dyDescent="0.3">
      <c r="B126" s="27">
        <v>46062</v>
      </c>
      <c r="C126">
        <v>21468</v>
      </c>
      <c r="D126" s="28">
        <v>4925492</v>
      </c>
      <c r="E126" t="s">
        <v>42</v>
      </c>
      <c r="F126" t="s">
        <v>594</v>
      </c>
      <c r="G126" t="s">
        <v>595</v>
      </c>
      <c r="H126" t="s">
        <v>39</v>
      </c>
      <c r="I126" s="27">
        <v>48260</v>
      </c>
      <c r="J126" t="s">
        <v>46</v>
      </c>
      <c r="K126" t="s">
        <v>40</v>
      </c>
      <c r="L126">
        <v>5</v>
      </c>
      <c r="M126" s="29">
        <v>5049</v>
      </c>
      <c r="N126" s="29">
        <v>26</v>
      </c>
      <c r="O126">
        <v>1009.8</v>
      </c>
      <c r="P126">
        <v>1004.6</v>
      </c>
      <c r="Q126">
        <v>104</v>
      </c>
      <c r="R126">
        <v>105</v>
      </c>
      <c r="S126" s="21"/>
      <c r="T126" s="21"/>
    </row>
    <row r="127" spans="2:20" x14ac:dyDescent="0.3">
      <c r="B127" s="27">
        <v>46062</v>
      </c>
      <c r="C127">
        <v>21559</v>
      </c>
      <c r="D127" s="28">
        <v>457690</v>
      </c>
      <c r="E127" t="s">
        <v>45</v>
      </c>
      <c r="F127" t="s">
        <v>596</v>
      </c>
      <c r="G127" t="s">
        <v>597</v>
      </c>
      <c r="H127" t="s">
        <v>39</v>
      </c>
      <c r="I127" s="27">
        <v>49716</v>
      </c>
      <c r="J127" t="s">
        <v>27</v>
      </c>
      <c r="K127" t="s">
        <v>40</v>
      </c>
      <c r="L127">
        <v>6</v>
      </c>
      <c r="M127" s="29">
        <v>5888</v>
      </c>
      <c r="N127" s="29">
        <v>110</v>
      </c>
      <c r="O127">
        <v>981.3</v>
      </c>
      <c r="P127">
        <v>962.9</v>
      </c>
      <c r="Q127">
        <v>94</v>
      </c>
      <c r="R127">
        <v>95.5</v>
      </c>
      <c r="S127" s="21"/>
      <c r="T127" s="21"/>
    </row>
    <row r="128" spans="2:20" x14ac:dyDescent="0.3">
      <c r="B128" s="27">
        <v>46062</v>
      </c>
      <c r="C128">
        <v>21559</v>
      </c>
      <c r="D128" s="28">
        <v>11341237</v>
      </c>
      <c r="E128" t="s">
        <v>45</v>
      </c>
      <c r="F128" t="s">
        <v>598</v>
      </c>
      <c r="G128" t="s">
        <v>599</v>
      </c>
      <c r="H128" t="s">
        <v>39</v>
      </c>
      <c r="I128" s="27">
        <v>46428</v>
      </c>
      <c r="J128" t="s">
        <v>27</v>
      </c>
      <c r="K128" t="s">
        <v>40</v>
      </c>
      <c r="L128">
        <v>5</v>
      </c>
      <c r="M128" s="29">
        <v>5000</v>
      </c>
      <c r="N128" s="29">
        <v>6</v>
      </c>
      <c r="O128">
        <v>1000</v>
      </c>
      <c r="P128">
        <v>998.8</v>
      </c>
      <c r="Q128">
        <v>92</v>
      </c>
      <c r="R128">
        <v>93</v>
      </c>
      <c r="S128" s="21"/>
      <c r="T128" s="21"/>
    </row>
    <row r="129" spans="2:20" x14ac:dyDescent="0.3">
      <c r="B129" s="27">
        <v>46062</v>
      </c>
      <c r="C129">
        <v>22674</v>
      </c>
      <c r="D129" s="28">
        <v>7695381</v>
      </c>
      <c r="E129" t="s">
        <v>45</v>
      </c>
      <c r="F129" t="s">
        <v>600</v>
      </c>
      <c r="G129" t="s">
        <v>601</v>
      </c>
      <c r="H129" t="s">
        <v>39</v>
      </c>
      <c r="I129" s="27">
        <v>46792</v>
      </c>
      <c r="J129" t="s">
        <v>27</v>
      </c>
      <c r="K129" t="s">
        <v>40</v>
      </c>
      <c r="L129">
        <v>25</v>
      </c>
      <c r="M129" s="29">
        <v>25000</v>
      </c>
      <c r="N129" s="29">
        <v>236</v>
      </c>
      <c r="O129">
        <v>1000</v>
      </c>
      <c r="P129">
        <v>990.6</v>
      </c>
      <c r="Q129">
        <v>90</v>
      </c>
      <c r="R129">
        <v>94</v>
      </c>
      <c r="S129" s="21"/>
      <c r="T129" s="21"/>
    </row>
    <row r="130" spans="2:20" x14ac:dyDescent="0.3">
      <c r="B130" s="27">
        <v>46062</v>
      </c>
      <c r="C130">
        <v>23410</v>
      </c>
      <c r="D130" s="28">
        <v>15224683</v>
      </c>
      <c r="E130" t="s">
        <v>45</v>
      </c>
      <c r="F130" t="s">
        <v>108</v>
      </c>
      <c r="G130" t="s">
        <v>109</v>
      </c>
      <c r="H130" t="s">
        <v>39</v>
      </c>
      <c r="I130" s="27">
        <v>46101</v>
      </c>
      <c r="J130" t="s">
        <v>27</v>
      </c>
      <c r="K130" t="s">
        <v>41</v>
      </c>
      <c r="L130">
        <v>17</v>
      </c>
      <c r="M130" s="29">
        <v>-20109</v>
      </c>
      <c r="N130" s="29">
        <v>7</v>
      </c>
      <c r="O130">
        <v>1182.9000000000001</v>
      </c>
      <c r="P130">
        <v>1183.3</v>
      </c>
      <c r="Q130">
        <v>101.5</v>
      </c>
      <c r="R130">
        <v>99</v>
      </c>
      <c r="S130" s="21"/>
      <c r="T130" s="21"/>
    </row>
    <row r="131" spans="2:20" x14ac:dyDescent="0.3">
      <c r="B131" s="27">
        <v>46062</v>
      </c>
      <c r="C131">
        <v>25619</v>
      </c>
      <c r="D131" s="28">
        <v>343167</v>
      </c>
      <c r="E131" t="s">
        <v>42</v>
      </c>
      <c r="F131" t="s">
        <v>602</v>
      </c>
      <c r="G131" t="s">
        <v>603</v>
      </c>
      <c r="H131" t="s">
        <v>43</v>
      </c>
      <c r="I131" s="27">
        <v>48136</v>
      </c>
      <c r="J131" t="s">
        <v>56</v>
      </c>
      <c r="K131" t="s">
        <v>40</v>
      </c>
      <c r="L131">
        <v>1</v>
      </c>
      <c r="M131" s="29">
        <v>331236</v>
      </c>
      <c r="N131" s="29">
        <v>5328</v>
      </c>
      <c r="O131">
        <v>331236.3</v>
      </c>
      <c r="P131">
        <v>325908.8</v>
      </c>
      <c r="Q131">
        <v>8.15</v>
      </c>
      <c r="R131">
        <v>8.75</v>
      </c>
      <c r="S131" s="21"/>
      <c r="T131" s="21"/>
    </row>
    <row r="132" spans="2:20" x14ac:dyDescent="0.3">
      <c r="B132" s="27">
        <v>46062</v>
      </c>
      <c r="C132">
        <v>27086</v>
      </c>
      <c r="D132" s="28">
        <v>3893996</v>
      </c>
      <c r="E132" t="s">
        <v>45</v>
      </c>
      <c r="F132" t="s">
        <v>604</v>
      </c>
      <c r="G132" t="s">
        <v>605</v>
      </c>
      <c r="H132" t="s">
        <v>43</v>
      </c>
      <c r="I132" s="27">
        <v>46792</v>
      </c>
      <c r="J132" t="s">
        <v>27</v>
      </c>
      <c r="K132" t="s">
        <v>40</v>
      </c>
      <c r="L132">
        <v>118</v>
      </c>
      <c r="M132" s="29">
        <v>118000</v>
      </c>
      <c r="N132" s="29">
        <v>218</v>
      </c>
      <c r="O132">
        <v>1000</v>
      </c>
      <c r="P132">
        <v>998.2</v>
      </c>
      <c r="Q132">
        <v>7.61</v>
      </c>
      <c r="R132">
        <v>7.71</v>
      </c>
      <c r="S132" s="21"/>
      <c r="T132" s="21"/>
    </row>
    <row r="133" spans="2:20" x14ac:dyDescent="0.3">
      <c r="B133" s="27">
        <v>46062</v>
      </c>
      <c r="C133">
        <v>40901</v>
      </c>
      <c r="D133" s="28">
        <v>3922082</v>
      </c>
      <c r="E133" t="s">
        <v>45</v>
      </c>
      <c r="F133" t="s">
        <v>606</v>
      </c>
      <c r="G133" t="s">
        <v>607</v>
      </c>
      <c r="H133" t="s">
        <v>43</v>
      </c>
      <c r="I133" s="27">
        <v>46792</v>
      </c>
      <c r="J133" t="s">
        <v>27</v>
      </c>
      <c r="K133" t="s">
        <v>40</v>
      </c>
      <c r="L133">
        <v>5000</v>
      </c>
      <c r="M133" s="29">
        <v>5000</v>
      </c>
      <c r="N133" s="29">
        <v>9</v>
      </c>
      <c r="O133">
        <v>1</v>
      </c>
      <c r="P133">
        <v>1</v>
      </c>
      <c r="Q133">
        <v>8.51</v>
      </c>
      <c r="R133">
        <v>8.61</v>
      </c>
      <c r="S133" s="21"/>
      <c r="T133" s="21"/>
    </row>
    <row r="134" spans="2:20" x14ac:dyDescent="0.3">
      <c r="B134" s="27">
        <v>46062</v>
      </c>
      <c r="C134">
        <v>40901</v>
      </c>
      <c r="D134" s="28">
        <v>3922082</v>
      </c>
      <c r="E134" t="s">
        <v>45</v>
      </c>
      <c r="F134" t="s">
        <v>608</v>
      </c>
      <c r="G134" t="s">
        <v>609</v>
      </c>
      <c r="H134" t="s">
        <v>37</v>
      </c>
      <c r="I134" s="27">
        <v>47889</v>
      </c>
      <c r="J134" t="s">
        <v>27</v>
      </c>
      <c r="K134" t="s">
        <v>40</v>
      </c>
      <c r="L134">
        <v>5</v>
      </c>
      <c r="M134" s="29">
        <v>5000</v>
      </c>
      <c r="N134" s="29">
        <v>11</v>
      </c>
      <c r="O134">
        <v>1000</v>
      </c>
      <c r="P134">
        <v>997.8</v>
      </c>
      <c r="Q134">
        <v>14.15</v>
      </c>
      <c r="R134">
        <v>14.2</v>
      </c>
      <c r="S134" s="21"/>
      <c r="T134" s="21"/>
    </row>
    <row r="135" spans="2:20" x14ac:dyDescent="0.3">
      <c r="B135" s="27">
        <v>46062</v>
      </c>
      <c r="C135">
        <v>49894</v>
      </c>
      <c r="D135" s="28">
        <v>16699650</v>
      </c>
      <c r="E135" t="s">
        <v>42</v>
      </c>
      <c r="F135" t="s">
        <v>610</v>
      </c>
      <c r="G135" t="s">
        <v>611</v>
      </c>
      <c r="H135" t="s">
        <v>43</v>
      </c>
      <c r="I135" s="27">
        <v>48442</v>
      </c>
      <c r="J135" t="s">
        <v>44</v>
      </c>
      <c r="K135" t="s">
        <v>41</v>
      </c>
      <c r="L135">
        <v>300</v>
      </c>
      <c r="M135" s="29">
        <v>-314186</v>
      </c>
      <c r="N135" s="29">
        <v>2726</v>
      </c>
      <c r="O135">
        <v>1047.3</v>
      </c>
      <c r="P135">
        <v>1056.4000000000001</v>
      </c>
      <c r="Q135">
        <v>8.35</v>
      </c>
      <c r="R135">
        <v>8.15</v>
      </c>
      <c r="S135" s="21"/>
      <c r="T135" s="21"/>
    </row>
    <row r="136" spans="2:20" x14ac:dyDescent="0.3">
      <c r="B136" s="27">
        <v>46062</v>
      </c>
      <c r="C136">
        <v>71881</v>
      </c>
      <c r="D136" s="28">
        <v>2073570</v>
      </c>
      <c r="E136" t="s">
        <v>45</v>
      </c>
      <c r="F136" t="s">
        <v>612</v>
      </c>
      <c r="G136" t="s">
        <v>613</v>
      </c>
      <c r="H136" t="s">
        <v>37</v>
      </c>
      <c r="I136" s="27">
        <v>47522</v>
      </c>
      <c r="J136" t="s">
        <v>27</v>
      </c>
      <c r="K136" t="s">
        <v>40</v>
      </c>
      <c r="L136">
        <v>30</v>
      </c>
      <c r="M136" s="29">
        <v>30000</v>
      </c>
      <c r="N136" s="29">
        <v>207</v>
      </c>
      <c r="O136">
        <v>1000</v>
      </c>
      <c r="P136">
        <v>993.1</v>
      </c>
      <c r="Q136">
        <v>14.05</v>
      </c>
      <c r="R136">
        <v>14.25</v>
      </c>
      <c r="S136" s="21"/>
      <c r="T136" s="21"/>
    </row>
    <row r="137" spans="2:20" x14ac:dyDescent="0.3">
      <c r="B137" s="27">
        <v>46062</v>
      </c>
      <c r="C137">
        <v>71881</v>
      </c>
      <c r="D137" s="28">
        <v>2412490</v>
      </c>
      <c r="E137" t="s">
        <v>45</v>
      </c>
      <c r="F137" t="s">
        <v>119</v>
      </c>
      <c r="G137" t="s">
        <v>61</v>
      </c>
      <c r="H137" t="s">
        <v>39</v>
      </c>
      <c r="I137" s="27">
        <v>47651</v>
      </c>
      <c r="J137" t="s">
        <v>27</v>
      </c>
      <c r="K137" t="s">
        <v>40</v>
      </c>
      <c r="L137">
        <v>8</v>
      </c>
      <c r="M137" s="29">
        <v>88760</v>
      </c>
      <c r="N137" s="29">
        <v>935</v>
      </c>
      <c r="O137">
        <v>11095</v>
      </c>
      <c r="P137">
        <v>10978.1</v>
      </c>
      <c r="Q137">
        <v>91</v>
      </c>
      <c r="R137">
        <v>93</v>
      </c>
      <c r="S137" s="21"/>
      <c r="T137" s="21"/>
    </row>
    <row r="138" spans="2:20" x14ac:dyDescent="0.3">
      <c r="B138" s="27">
        <v>46062</v>
      </c>
      <c r="C138">
        <v>74304</v>
      </c>
      <c r="D138" s="28">
        <v>2022153</v>
      </c>
      <c r="E138" t="s">
        <v>45</v>
      </c>
      <c r="F138" t="s">
        <v>614</v>
      </c>
      <c r="G138" t="s">
        <v>615</v>
      </c>
      <c r="H138" t="s">
        <v>39</v>
      </c>
      <c r="I138" s="27">
        <v>46881</v>
      </c>
      <c r="J138" t="s">
        <v>27</v>
      </c>
      <c r="K138" t="s">
        <v>40</v>
      </c>
      <c r="L138">
        <v>14</v>
      </c>
      <c r="M138" s="29">
        <v>19779</v>
      </c>
      <c r="N138" s="29">
        <v>156</v>
      </c>
      <c r="O138">
        <v>1412.8</v>
      </c>
      <c r="P138">
        <v>1401.6</v>
      </c>
      <c r="Q138">
        <v>92</v>
      </c>
      <c r="R138">
        <v>95</v>
      </c>
      <c r="S138" s="21"/>
      <c r="T138" s="21"/>
    </row>
    <row r="139" spans="2:20" x14ac:dyDescent="0.3">
      <c r="B139" s="27">
        <v>46062</v>
      </c>
      <c r="C139">
        <v>74304</v>
      </c>
      <c r="D139" s="28">
        <v>2022153</v>
      </c>
      <c r="E139" t="s">
        <v>45</v>
      </c>
      <c r="F139" t="s">
        <v>616</v>
      </c>
      <c r="G139" t="s">
        <v>617</v>
      </c>
      <c r="H139" t="s">
        <v>39</v>
      </c>
      <c r="I139" s="27">
        <v>46308</v>
      </c>
      <c r="J139" t="s">
        <v>27</v>
      </c>
      <c r="K139" t="s">
        <v>40</v>
      </c>
      <c r="L139">
        <v>40</v>
      </c>
      <c r="M139" s="29">
        <v>41791</v>
      </c>
      <c r="N139" s="29">
        <v>107</v>
      </c>
      <c r="O139">
        <v>1044.8</v>
      </c>
      <c r="P139">
        <v>1042.0999999999999</v>
      </c>
      <c r="Q139">
        <v>90</v>
      </c>
      <c r="R139">
        <v>93</v>
      </c>
      <c r="S139" s="21"/>
      <c r="T139" s="21"/>
    </row>
    <row r="140" spans="2:20" x14ac:dyDescent="0.3">
      <c r="B140" s="27">
        <v>46063</v>
      </c>
      <c r="C140">
        <v>24415</v>
      </c>
      <c r="D140" s="28">
        <v>7360708</v>
      </c>
      <c r="E140" t="s">
        <v>45</v>
      </c>
      <c r="F140" t="s">
        <v>68</v>
      </c>
      <c r="G140" t="s">
        <v>48</v>
      </c>
      <c r="H140" t="s">
        <v>39</v>
      </c>
      <c r="I140" s="27">
        <v>47557</v>
      </c>
      <c r="J140" t="s">
        <v>27</v>
      </c>
      <c r="K140" t="s">
        <v>41</v>
      </c>
      <c r="L140">
        <v>2</v>
      </c>
      <c r="M140" s="29">
        <v>-22631</v>
      </c>
      <c r="N140" s="29">
        <v>224</v>
      </c>
      <c r="O140">
        <v>11315.3</v>
      </c>
      <c r="P140">
        <v>11427.4</v>
      </c>
      <c r="Q140">
        <v>96</v>
      </c>
      <c r="R140">
        <v>94</v>
      </c>
      <c r="S140" s="21"/>
      <c r="T140" s="21"/>
    </row>
    <row r="141" spans="2:20" x14ac:dyDescent="0.3">
      <c r="B141" s="27">
        <v>46063</v>
      </c>
      <c r="C141">
        <v>25619</v>
      </c>
      <c r="D141" s="28">
        <v>245083</v>
      </c>
      <c r="E141" t="s">
        <v>42</v>
      </c>
      <c r="F141" t="s">
        <v>618</v>
      </c>
      <c r="G141" t="s">
        <v>619</v>
      </c>
      <c r="H141" t="s">
        <v>43</v>
      </c>
      <c r="I141" s="27">
        <v>49079</v>
      </c>
      <c r="J141" t="s">
        <v>44</v>
      </c>
      <c r="K141" t="s">
        <v>40</v>
      </c>
      <c r="L141">
        <v>111</v>
      </c>
      <c r="M141" s="29">
        <v>112036</v>
      </c>
      <c r="N141" s="29">
        <v>652</v>
      </c>
      <c r="O141">
        <v>1009.3</v>
      </c>
      <c r="P141">
        <v>1003.5</v>
      </c>
      <c r="Q141">
        <v>7.9</v>
      </c>
      <c r="R141">
        <v>8</v>
      </c>
      <c r="S141" s="21"/>
      <c r="T141" s="21"/>
    </row>
    <row r="142" spans="2:20" x14ac:dyDescent="0.3">
      <c r="B142" s="27">
        <v>46063</v>
      </c>
      <c r="C142">
        <v>25619</v>
      </c>
      <c r="D142" s="28">
        <v>4399890</v>
      </c>
      <c r="E142" t="s">
        <v>42</v>
      </c>
      <c r="F142" t="s">
        <v>620</v>
      </c>
      <c r="G142" t="s">
        <v>621</v>
      </c>
      <c r="H142" t="s">
        <v>43</v>
      </c>
      <c r="I142" s="27">
        <v>50236</v>
      </c>
      <c r="J142" t="s">
        <v>44</v>
      </c>
      <c r="K142" t="s">
        <v>40</v>
      </c>
      <c r="L142">
        <v>30</v>
      </c>
      <c r="M142" s="29">
        <v>30673</v>
      </c>
      <c r="N142" s="29">
        <v>204</v>
      </c>
      <c r="O142">
        <v>1022.4</v>
      </c>
      <c r="P142">
        <v>1015.6</v>
      </c>
      <c r="Q142">
        <v>8.9499999999999993</v>
      </c>
      <c r="R142">
        <v>9.0500000000000007</v>
      </c>
      <c r="S142" s="21"/>
      <c r="T142" s="21"/>
    </row>
    <row r="143" spans="2:20" x14ac:dyDescent="0.3">
      <c r="B143" s="27">
        <v>46063</v>
      </c>
      <c r="C143">
        <v>25619</v>
      </c>
      <c r="D143" s="28">
        <v>4399890</v>
      </c>
      <c r="E143" t="s">
        <v>42</v>
      </c>
      <c r="F143" t="s">
        <v>622</v>
      </c>
      <c r="G143" t="s">
        <v>623</v>
      </c>
      <c r="H143" t="s">
        <v>43</v>
      </c>
      <c r="I143" s="27">
        <v>49079</v>
      </c>
      <c r="J143" t="s">
        <v>44</v>
      </c>
      <c r="K143" t="s">
        <v>40</v>
      </c>
      <c r="L143">
        <v>26</v>
      </c>
      <c r="M143" s="29">
        <v>30026</v>
      </c>
      <c r="N143" s="29">
        <v>177</v>
      </c>
      <c r="O143">
        <v>1154.9000000000001</v>
      </c>
      <c r="P143">
        <v>1148</v>
      </c>
      <c r="Q143">
        <v>6.95</v>
      </c>
      <c r="R143">
        <v>7.05</v>
      </c>
      <c r="S143" s="21"/>
      <c r="T143" s="21"/>
    </row>
    <row r="144" spans="2:20" x14ac:dyDescent="0.3">
      <c r="B144" s="27">
        <v>46063</v>
      </c>
      <c r="C144">
        <v>25619</v>
      </c>
      <c r="D144" s="28">
        <v>4399890</v>
      </c>
      <c r="E144" t="s">
        <v>42</v>
      </c>
      <c r="F144" t="s">
        <v>624</v>
      </c>
      <c r="G144" t="s">
        <v>625</v>
      </c>
      <c r="H144" t="s">
        <v>43</v>
      </c>
      <c r="I144" s="27">
        <v>50997</v>
      </c>
      <c r="J144" t="s">
        <v>44</v>
      </c>
      <c r="K144" t="s">
        <v>40</v>
      </c>
      <c r="L144">
        <v>29</v>
      </c>
      <c r="M144" s="29">
        <v>30624</v>
      </c>
      <c r="N144" s="29">
        <v>238</v>
      </c>
      <c r="O144">
        <v>1056</v>
      </c>
      <c r="P144">
        <v>1047.8</v>
      </c>
      <c r="Q144">
        <v>7.05</v>
      </c>
      <c r="R144">
        <v>7.15</v>
      </c>
      <c r="S144" s="21"/>
      <c r="T144" s="21"/>
    </row>
    <row r="145" spans="2:20" x14ac:dyDescent="0.3">
      <c r="B145" s="27">
        <v>46063</v>
      </c>
      <c r="C145">
        <v>27086</v>
      </c>
      <c r="D145" s="28">
        <v>17675978</v>
      </c>
      <c r="E145" t="s">
        <v>42</v>
      </c>
      <c r="F145" t="s">
        <v>110</v>
      </c>
      <c r="G145" t="s">
        <v>111</v>
      </c>
      <c r="H145" t="s">
        <v>37</v>
      </c>
      <c r="I145" s="27">
        <v>47164</v>
      </c>
      <c r="J145" t="s">
        <v>44</v>
      </c>
      <c r="K145" t="s">
        <v>40</v>
      </c>
      <c r="L145">
        <v>40</v>
      </c>
      <c r="M145" s="29">
        <v>41539</v>
      </c>
      <c r="N145" s="29">
        <v>88</v>
      </c>
      <c r="O145">
        <v>1038.5</v>
      </c>
      <c r="P145">
        <v>1036.3</v>
      </c>
      <c r="Q145">
        <v>14.05</v>
      </c>
      <c r="R145">
        <v>14.15</v>
      </c>
      <c r="S145" s="21"/>
      <c r="T145" s="21"/>
    </row>
    <row r="146" spans="2:20" x14ac:dyDescent="0.3">
      <c r="B146" s="27">
        <v>46063</v>
      </c>
      <c r="C146">
        <v>37111</v>
      </c>
      <c r="D146" s="28">
        <v>3366029</v>
      </c>
      <c r="E146" t="s">
        <v>45</v>
      </c>
      <c r="F146" t="s">
        <v>626</v>
      </c>
      <c r="G146" t="s">
        <v>94</v>
      </c>
      <c r="H146" t="s">
        <v>39</v>
      </c>
      <c r="I146" s="27">
        <v>46178</v>
      </c>
      <c r="J146" t="s">
        <v>27</v>
      </c>
      <c r="K146" t="s">
        <v>40</v>
      </c>
      <c r="L146">
        <v>183</v>
      </c>
      <c r="M146" s="29">
        <v>20085</v>
      </c>
      <c r="N146" s="29">
        <v>17</v>
      </c>
      <c r="O146">
        <v>109.8</v>
      </c>
      <c r="P146">
        <v>109.7</v>
      </c>
      <c r="Q146">
        <v>100</v>
      </c>
      <c r="R146">
        <v>102</v>
      </c>
      <c r="S146" s="21"/>
      <c r="T146" s="21"/>
    </row>
    <row r="147" spans="2:20" x14ac:dyDescent="0.3">
      <c r="B147" s="27">
        <v>46063</v>
      </c>
      <c r="C147">
        <v>37111</v>
      </c>
      <c r="D147" s="28">
        <v>3373962</v>
      </c>
      <c r="E147" t="s">
        <v>45</v>
      </c>
      <c r="F147" t="s">
        <v>626</v>
      </c>
      <c r="G147" t="s">
        <v>94</v>
      </c>
      <c r="H147" t="s">
        <v>39</v>
      </c>
      <c r="I147" s="27">
        <v>46178</v>
      </c>
      <c r="J147" t="s">
        <v>27</v>
      </c>
      <c r="K147" t="s">
        <v>40</v>
      </c>
      <c r="L147">
        <v>273</v>
      </c>
      <c r="M147" s="29">
        <v>29963</v>
      </c>
      <c r="N147" s="29">
        <v>25</v>
      </c>
      <c r="O147">
        <v>109.8</v>
      </c>
      <c r="P147">
        <v>109.7</v>
      </c>
      <c r="Q147">
        <v>100</v>
      </c>
      <c r="R147">
        <v>102</v>
      </c>
      <c r="S147" s="21"/>
      <c r="T147" s="21"/>
    </row>
    <row r="148" spans="2:20" x14ac:dyDescent="0.3">
      <c r="B148" s="27">
        <v>46063</v>
      </c>
      <c r="C148">
        <v>38517</v>
      </c>
      <c r="D148" s="28">
        <v>2173064</v>
      </c>
      <c r="E148" t="s">
        <v>45</v>
      </c>
      <c r="F148" t="s">
        <v>70</v>
      </c>
      <c r="G148" t="s">
        <v>71</v>
      </c>
      <c r="H148" t="s">
        <v>39</v>
      </c>
      <c r="I148" s="27">
        <v>49536</v>
      </c>
      <c r="J148" t="s">
        <v>27</v>
      </c>
      <c r="K148" t="s">
        <v>40</v>
      </c>
      <c r="L148">
        <v>7</v>
      </c>
      <c r="M148" s="29">
        <v>79342</v>
      </c>
      <c r="N148" s="29">
        <v>1405</v>
      </c>
      <c r="O148">
        <v>11334.6</v>
      </c>
      <c r="P148">
        <v>11133.9</v>
      </c>
      <c r="Q148">
        <v>93</v>
      </c>
      <c r="R148">
        <v>94.5</v>
      </c>
      <c r="S148" s="21"/>
      <c r="T148" s="21"/>
    </row>
    <row r="149" spans="2:20" x14ac:dyDescent="0.3">
      <c r="B149" s="27">
        <v>46063</v>
      </c>
      <c r="C149">
        <v>40901</v>
      </c>
      <c r="D149" s="28">
        <v>2932273</v>
      </c>
      <c r="E149" t="s">
        <v>45</v>
      </c>
      <c r="F149" t="s">
        <v>627</v>
      </c>
      <c r="G149" t="s">
        <v>628</v>
      </c>
      <c r="H149" t="s">
        <v>43</v>
      </c>
      <c r="I149" s="27">
        <v>46441</v>
      </c>
      <c r="J149" t="s">
        <v>27</v>
      </c>
      <c r="K149" t="s">
        <v>40</v>
      </c>
      <c r="L149">
        <v>6</v>
      </c>
      <c r="M149" s="29">
        <v>9384</v>
      </c>
      <c r="N149" s="29">
        <v>43</v>
      </c>
      <c r="O149">
        <v>1564</v>
      </c>
      <c r="P149">
        <v>1556.8</v>
      </c>
      <c r="Q149">
        <v>9.5</v>
      </c>
      <c r="R149">
        <v>10</v>
      </c>
      <c r="S149" s="21"/>
      <c r="T149" s="21"/>
    </row>
    <row r="150" spans="2:20" x14ac:dyDescent="0.3">
      <c r="B150" s="27">
        <v>46063</v>
      </c>
      <c r="C150">
        <v>41072</v>
      </c>
      <c r="D150" s="28">
        <v>3715542</v>
      </c>
      <c r="E150" t="s">
        <v>45</v>
      </c>
      <c r="F150" t="s">
        <v>629</v>
      </c>
      <c r="G150" t="s">
        <v>589</v>
      </c>
      <c r="H150" t="s">
        <v>43</v>
      </c>
      <c r="I150" s="27">
        <v>46428</v>
      </c>
      <c r="J150" t="s">
        <v>27</v>
      </c>
      <c r="K150" t="s">
        <v>40</v>
      </c>
      <c r="L150">
        <v>32</v>
      </c>
      <c r="M150" s="29">
        <v>32000</v>
      </c>
      <c r="N150" s="29">
        <v>29</v>
      </c>
      <c r="O150">
        <v>1000</v>
      </c>
      <c r="P150">
        <v>999.1</v>
      </c>
      <c r="Q150">
        <v>7.1</v>
      </c>
      <c r="R150">
        <v>7.2</v>
      </c>
      <c r="S150" s="21"/>
      <c r="T150" s="21"/>
    </row>
    <row r="151" spans="2:20" x14ac:dyDescent="0.3">
      <c r="B151" s="27">
        <v>46063</v>
      </c>
      <c r="C151">
        <v>49894</v>
      </c>
      <c r="D151" s="28">
        <v>3933345</v>
      </c>
      <c r="E151" t="s">
        <v>45</v>
      </c>
      <c r="F151" t="s">
        <v>630</v>
      </c>
      <c r="G151" t="s">
        <v>589</v>
      </c>
      <c r="H151" t="s">
        <v>37</v>
      </c>
      <c r="I151" s="27">
        <v>46428</v>
      </c>
      <c r="J151" t="s">
        <v>27</v>
      </c>
      <c r="K151" t="s">
        <v>40</v>
      </c>
      <c r="L151">
        <v>1</v>
      </c>
      <c r="M151" s="29">
        <v>1000</v>
      </c>
      <c r="N151" s="29">
        <v>1</v>
      </c>
      <c r="O151">
        <v>1000</v>
      </c>
      <c r="P151">
        <v>999.1</v>
      </c>
      <c r="Q151">
        <v>11.09</v>
      </c>
      <c r="R151">
        <v>11.19</v>
      </c>
      <c r="S151" s="21"/>
      <c r="T151" s="21"/>
    </row>
    <row r="152" spans="2:20" x14ac:dyDescent="0.3">
      <c r="B152" s="27">
        <v>46063</v>
      </c>
      <c r="C152">
        <v>69519</v>
      </c>
      <c r="D152" s="28">
        <v>522388</v>
      </c>
      <c r="E152" t="s">
        <v>45</v>
      </c>
      <c r="F152" t="s">
        <v>631</v>
      </c>
      <c r="G152" t="s">
        <v>632</v>
      </c>
      <c r="H152" t="s">
        <v>37</v>
      </c>
      <c r="I152" s="27">
        <v>46428</v>
      </c>
      <c r="J152" t="s">
        <v>46</v>
      </c>
      <c r="K152" t="s">
        <v>40</v>
      </c>
      <c r="L152">
        <v>6</v>
      </c>
      <c r="M152" s="29">
        <v>6000</v>
      </c>
      <c r="N152" s="29">
        <v>20</v>
      </c>
      <c r="O152">
        <v>1000</v>
      </c>
      <c r="P152">
        <v>996.7</v>
      </c>
      <c r="Q152">
        <v>13.35</v>
      </c>
      <c r="R152">
        <v>13.75</v>
      </c>
      <c r="S152" s="21"/>
      <c r="T152" s="21"/>
    </row>
    <row r="153" spans="2:20" x14ac:dyDescent="0.3">
      <c r="B153" s="27">
        <v>46063</v>
      </c>
      <c r="C153">
        <v>69519</v>
      </c>
      <c r="D153" s="28">
        <v>3440767</v>
      </c>
      <c r="E153" t="s">
        <v>45</v>
      </c>
      <c r="F153" t="s">
        <v>633</v>
      </c>
      <c r="G153" t="s">
        <v>524</v>
      </c>
      <c r="H153" t="s">
        <v>37</v>
      </c>
      <c r="I153" s="27">
        <v>47078</v>
      </c>
      <c r="J153" t="s">
        <v>27</v>
      </c>
      <c r="K153" t="s">
        <v>40</v>
      </c>
      <c r="L153">
        <v>5</v>
      </c>
      <c r="M153" s="29">
        <v>5845</v>
      </c>
      <c r="N153" s="29">
        <v>70</v>
      </c>
      <c r="O153">
        <v>1168.9000000000001</v>
      </c>
      <c r="P153">
        <v>1155</v>
      </c>
      <c r="Q153">
        <v>14.5</v>
      </c>
      <c r="R153">
        <v>15</v>
      </c>
      <c r="S153" s="21"/>
      <c r="T153" s="21"/>
    </row>
    <row r="154" spans="2:20" x14ac:dyDescent="0.3">
      <c r="B154" s="27">
        <v>46063</v>
      </c>
      <c r="C154">
        <v>69579</v>
      </c>
      <c r="D154" s="28">
        <v>2607350</v>
      </c>
      <c r="E154" t="s">
        <v>45</v>
      </c>
      <c r="F154" t="s">
        <v>634</v>
      </c>
      <c r="G154" t="s">
        <v>87</v>
      </c>
      <c r="H154" t="s">
        <v>39</v>
      </c>
      <c r="I154" s="27">
        <v>46603</v>
      </c>
      <c r="J154" t="s">
        <v>27</v>
      </c>
      <c r="K154" t="s">
        <v>40</v>
      </c>
      <c r="L154">
        <v>200</v>
      </c>
      <c r="M154" s="29">
        <v>200000</v>
      </c>
      <c r="N154" s="29">
        <v>1054</v>
      </c>
      <c r="O154">
        <v>1000</v>
      </c>
      <c r="P154">
        <v>994.7</v>
      </c>
      <c r="Q154">
        <v>84</v>
      </c>
      <c r="R154">
        <v>87</v>
      </c>
      <c r="S154" s="21"/>
      <c r="T154" s="21"/>
    </row>
    <row r="155" spans="2:20" x14ac:dyDescent="0.3">
      <c r="B155" s="27">
        <v>46063</v>
      </c>
      <c r="C155">
        <v>71881</v>
      </c>
      <c r="D155" s="28">
        <v>446394</v>
      </c>
      <c r="E155" t="s">
        <v>45</v>
      </c>
      <c r="F155" t="s">
        <v>62</v>
      </c>
      <c r="G155" t="s">
        <v>48</v>
      </c>
      <c r="H155" t="s">
        <v>39</v>
      </c>
      <c r="I155" s="27">
        <v>47557</v>
      </c>
      <c r="J155" t="s">
        <v>27</v>
      </c>
      <c r="K155" t="s">
        <v>40</v>
      </c>
      <c r="L155">
        <v>4</v>
      </c>
      <c r="M155" s="29">
        <v>45766</v>
      </c>
      <c r="N155" s="29">
        <v>56</v>
      </c>
      <c r="O155">
        <v>11441.5</v>
      </c>
      <c r="P155">
        <v>11427.4</v>
      </c>
      <c r="Q155">
        <v>93.75</v>
      </c>
      <c r="R155">
        <v>94</v>
      </c>
      <c r="S155" s="21"/>
      <c r="T155" s="21"/>
    </row>
    <row r="156" spans="2:20" x14ac:dyDescent="0.3">
      <c r="B156" s="27">
        <v>46063</v>
      </c>
      <c r="C156">
        <v>71997</v>
      </c>
      <c r="D156" s="28">
        <v>9410624</v>
      </c>
      <c r="E156" t="s">
        <v>45</v>
      </c>
      <c r="F156" t="s">
        <v>635</v>
      </c>
      <c r="G156" t="s">
        <v>636</v>
      </c>
      <c r="H156" t="s">
        <v>43</v>
      </c>
      <c r="I156" s="27">
        <v>48255</v>
      </c>
      <c r="J156" t="s">
        <v>27</v>
      </c>
      <c r="K156" t="s">
        <v>40</v>
      </c>
      <c r="L156">
        <v>37</v>
      </c>
      <c r="M156" s="29">
        <v>37000</v>
      </c>
      <c r="N156" s="29">
        <v>1006</v>
      </c>
      <c r="O156">
        <v>1000</v>
      </c>
      <c r="P156">
        <v>972.8</v>
      </c>
      <c r="Q156">
        <v>7.75</v>
      </c>
      <c r="R156">
        <v>8.25</v>
      </c>
      <c r="S156" s="21"/>
      <c r="T156" s="21"/>
    </row>
    <row r="157" spans="2:20" x14ac:dyDescent="0.3">
      <c r="B157" s="27">
        <v>46063</v>
      </c>
      <c r="C157">
        <v>74304</v>
      </c>
      <c r="D157" s="28">
        <v>18702217</v>
      </c>
      <c r="E157" t="s">
        <v>42</v>
      </c>
      <c r="F157" t="s">
        <v>637</v>
      </c>
      <c r="G157" t="s">
        <v>638</v>
      </c>
      <c r="H157" t="s">
        <v>39</v>
      </c>
      <c r="I157" s="27">
        <v>48442</v>
      </c>
      <c r="J157" t="s">
        <v>46</v>
      </c>
      <c r="K157" t="s">
        <v>40</v>
      </c>
      <c r="L157">
        <v>131</v>
      </c>
      <c r="M157" s="29">
        <v>132398</v>
      </c>
      <c r="N157" s="29">
        <v>560</v>
      </c>
      <c r="O157">
        <v>1010.7</v>
      </c>
      <c r="P157">
        <v>1006.4</v>
      </c>
      <c r="Q157">
        <v>107</v>
      </c>
      <c r="R157">
        <v>108</v>
      </c>
      <c r="S157" s="21"/>
      <c r="T157" s="21"/>
    </row>
    <row r="158" spans="2:20" x14ac:dyDescent="0.3">
      <c r="B158" s="27">
        <v>46064</v>
      </c>
      <c r="C158">
        <v>23648</v>
      </c>
      <c r="D158" s="28">
        <v>3918792</v>
      </c>
      <c r="E158" t="s">
        <v>45</v>
      </c>
      <c r="F158" t="s">
        <v>639</v>
      </c>
      <c r="G158" t="s">
        <v>607</v>
      </c>
      <c r="H158" t="s">
        <v>43</v>
      </c>
      <c r="I158" s="27">
        <v>46794</v>
      </c>
      <c r="J158" t="s">
        <v>27</v>
      </c>
      <c r="K158" t="s">
        <v>40</v>
      </c>
      <c r="L158">
        <v>11000</v>
      </c>
      <c r="M158" s="29">
        <v>11000</v>
      </c>
      <c r="N158" s="29">
        <v>80</v>
      </c>
      <c r="O158">
        <v>1</v>
      </c>
      <c r="P158">
        <v>1</v>
      </c>
      <c r="Q158">
        <v>8.27</v>
      </c>
      <c r="R158">
        <v>8.67</v>
      </c>
      <c r="S158" s="21"/>
      <c r="T158" s="21"/>
    </row>
    <row r="159" spans="2:20" x14ac:dyDescent="0.3">
      <c r="B159" s="27">
        <v>46064</v>
      </c>
      <c r="C159">
        <v>23648</v>
      </c>
      <c r="D159" s="28">
        <v>5933489</v>
      </c>
      <c r="E159" t="s">
        <v>42</v>
      </c>
      <c r="F159" t="s">
        <v>91</v>
      </c>
      <c r="G159" t="s">
        <v>92</v>
      </c>
      <c r="H159" t="s">
        <v>39</v>
      </c>
      <c r="I159" s="27">
        <v>47588</v>
      </c>
      <c r="J159" t="s">
        <v>44</v>
      </c>
      <c r="K159" t="s">
        <v>41</v>
      </c>
      <c r="L159">
        <v>30</v>
      </c>
      <c r="M159" s="29">
        <v>-31149</v>
      </c>
      <c r="N159" s="29">
        <v>363</v>
      </c>
      <c r="O159">
        <v>1038.3</v>
      </c>
      <c r="P159">
        <v>1050.4000000000001</v>
      </c>
      <c r="Q159">
        <v>107</v>
      </c>
      <c r="R159">
        <v>104</v>
      </c>
      <c r="S159" s="21"/>
      <c r="T159" s="21"/>
    </row>
    <row r="160" spans="2:20" x14ac:dyDescent="0.3">
      <c r="B160" s="27">
        <v>46064</v>
      </c>
      <c r="C160">
        <v>37111</v>
      </c>
      <c r="D160" s="28">
        <v>15431420</v>
      </c>
      <c r="E160" t="s">
        <v>45</v>
      </c>
      <c r="F160" t="s">
        <v>640</v>
      </c>
      <c r="G160" t="s">
        <v>641</v>
      </c>
      <c r="H160" t="s">
        <v>39</v>
      </c>
      <c r="I160" s="27">
        <v>47499</v>
      </c>
      <c r="J160" t="s">
        <v>27</v>
      </c>
      <c r="K160" t="s">
        <v>41</v>
      </c>
      <c r="L160">
        <v>5</v>
      </c>
      <c r="M160" s="29">
        <v>-5867</v>
      </c>
      <c r="N160" s="29">
        <v>14</v>
      </c>
      <c r="O160">
        <v>1173.5</v>
      </c>
      <c r="P160">
        <v>1176.3</v>
      </c>
      <c r="Q160">
        <v>95</v>
      </c>
      <c r="R160">
        <v>94.5</v>
      </c>
      <c r="S160" s="21"/>
      <c r="T160" s="21"/>
    </row>
    <row r="161" spans="2:20" x14ac:dyDescent="0.3">
      <c r="B161" s="27">
        <v>46064</v>
      </c>
      <c r="C161">
        <v>38517</v>
      </c>
      <c r="D161" s="28">
        <v>4825217</v>
      </c>
      <c r="E161" t="s">
        <v>42</v>
      </c>
      <c r="F161" t="s">
        <v>642</v>
      </c>
      <c r="G161" t="s">
        <v>643</v>
      </c>
      <c r="H161" t="s">
        <v>37</v>
      </c>
      <c r="I161" s="27">
        <v>47863</v>
      </c>
      <c r="J161" t="s">
        <v>44</v>
      </c>
      <c r="K161" t="s">
        <v>40</v>
      </c>
      <c r="L161">
        <v>167</v>
      </c>
      <c r="M161" s="29">
        <v>153536</v>
      </c>
      <c r="N161" s="29">
        <v>1791</v>
      </c>
      <c r="O161">
        <v>919.4</v>
      </c>
      <c r="P161">
        <v>908.7</v>
      </c>
      <c r="Q161">
        <v>15.95</v>
      </c>
      <c r="R161">
        <v>16.350000000000001</v>
      </c>
      <c r="S161" s="21"/>
      <c r="T161" s="21"/>
    </row>
    <row r="162" spans="2:20" x14ac:dyDescent="0.3">
      <c r="B162" s="27">
        <v>46064</v>
      </c>
      <c r="C162">
        <v>49894</v>
      </c>
      <c r="D162" s="28">
        <v>9786155</v>
      </c>
      <c r="E162" t="s">
        <v>45</v>
      </c>
      <c r="F162" t="s">
        <v>644</v>
      </c>
      <c r="G162" t="s">
        <v>645</v>
      </c>
      <c r="H162" t="s">
        <v>39</v>
      </c>
      <c r="I162" s="27">
        <v>46429</v>
      </c>
      <c r="J162" t="s">
        <v>27</v>
      </c>
      <c r="K162" t="s">
        <v>40</v>
      </c>
      <c r="L162">
        <v>112</v>
      </c>
      <c r="M162" s="29">
        <v>112000</v>
      </c>
      <c r="N162" s="29">
        <v>68</v>
      </c>
      <c r="O162">
        <v>1000</v>
      </c>
      <c r="P162">
        <v>999.4</v>
      </c>
      <c r="Q162">
        <v>101</v>
      </c>
      <c r="R162">
        <v>101.5</v>
      </c>
      <c r="S162" s="21"/>
      <c r="T162" s="21"/>
    </row>
    <row r="163" spans="2:20" x14ac:dyDescent="0.3">
      <c r="B163" s="27">
        <v>46064</v>
      </c>
      <c r="C163">
        <v>69519</v>
      </c>
      <c r="D163" s="28">
        <v>3440767</v>
      </c>
      <c r="E163" t="s">
        <v>45</v>
      </c>
      <c r="F163" t="s">
        <v>646</v>
      </c>
      <c r="G163" t="s">
        <v>647</v>
      </c>
      <c r="H163" t="s">
        <v>37</v>
      </c>
      <c r="I163" s="27">
        <v>47553</v>
      </c>
      <c r="J163" t="s">
        <v>27</v>
      </c>
      <c r="K163" t="s">
        <v>40</v>
      </c>
      <c r="L163">
        <v>3</v>
      </c>
      <c r="M163" s="29">
        <v>3425</v>
      </c>
      <c r="N163" s="29">
        <v>14</v>
      </c>
      <c r="O163">
        <v>1141.5</v>
      </c>
      <c r="P163">
        <v>1136.7</v>
      </c>
      <c r="Q163">
        <v>15.25</v>
      </c>
      <c r="R163">
        <v>15.37</v>
      </c>
      <c r="S163" s="21"/>
      <c r="T163" s="21"/>
    </row>
    <row r="164" spans="2:20" x14ac:dyDescent="0.3">
      <c r="B164" s="27">
        <v>46064</v>
      </c>
      <c r="C164">
        <v>69519</v>
      </c>
      <c r="D164" s="28">
        <v>3440767</v>
      </c>
      <c r="E164" t="s">
        <v>45</v>
      </c>
      <c r="F164" t="s">
        <v>648</v>
      </c>
      <c r="G164" t="s">
        <v>649</v>
      </c>
      <c r="H164" t="s">
        <v>37</v>
      </c>
      <c r="I164" s="27">
        <v>47091</v>
      </c>
      <c r="J164" t="s">
        <v>27</v>
      </c>
      <c r="K164" t="s">
        <v>40</v>
      </c>
      <c r="L164">
        <v>1</v>
      </c>
      <c r="M164" s="29">
        <v>1219</v>
      </c>
      <c r="N164" s="29">
        <v>15</v>
      </c>
      <c r="O164">
        <v>1218.9000000000001</v>
      </c>
      <c r="P164">
        <v>1204.2</v>
      </c>
      <c r="Q164">
        <v>14.5</v>
      </c>
      <c r="R164">
        <v>15</v>
      </c>
      <c r="S164" s="21"/>
      <c r="T164" s="21"/>
    </row>
    <row r="165" spans="2:20" x14ac:dyDescent="0.3">
      <c r="B165" s="27">
        <v>46064</v>
      </c>
      <c r="C165">
        <v>71881</v>
      </c>
      <c r="D165" s="28">
        <v>17722999</v>
      </c>
      <c r="E165" t="s">
        <v>45</v>
      </c>
      <c r="F165" t="s">
        <v>98</v>
      </c>
      <c r="G165" t="s">
        <v>48</v>
      </c>
      <c r="H165" t="s">
        <v>39</v>
      </c>
      <c r="I165" s="27">
        <v>47557</v>
      </c>
      <c r="J165" t="s">
        <v>27</v>
      </c>
      <c r="K165" t="s">
        <v>40</v>
      </c>
      <c r="L165">
        <v>6</v>
      </c>
      <c r="M165" s="29">
        <v>68603</v>
      </c>
      <c r="N165" s="29">
        <v>169</v>
      </c>
      <c r="O165">
        <v>11433.9</v>
      </c>
      <c r="P165">
        <v>11405.7</v>
      </c>
      <c r="Q165">
        <v>94</v>
      </c>
      <c r="R165">
        <v>94.5</v>
      </c>
      <c r="S165" s="21"/>
      <c r="T165" s="21"/>
    </row>
    <row r="166" spans="2:20" x14ac:dyDescent="0.3">
      <c r="B166" s="27">
        <v>46064</v>
      </c>
      <c r="C166">
        <v>74304</v>
      </c>
      <c r="D166" s="28">
        <v>475750</v>
      </c>
      <c r="E166" t="s">
        <v>38</v>
      </c>
      <c r="F166" t="s">
        <v>60</v>
      </c>
      <c r="G166" t="s">
        <v>61</v>
      </c>
      <c r="H166" t="s">
        <v>39</v>
      </c>
      <c r="I166" s="27">
        <v>47651</v>
      </c>
      <c r="J166" t="s">
        <v>27</v>
      </c>
      <c r="K166" t="s">
        <v>40</v>
      </c>
      <c r="L166">
        <v>11</v>
      </c>
      <c r="M166" s="29">
        <v>124611</v>
      </c>
      <c r="N166" s="29">
        <v>1955</v>
      </c>
      <c r="O166">
        <v>11328.3</v>
      </c>
      <c r="P166">
        <v>11150.6</v>
      </c>
      <c r="Q166">
        <v>89</v>
      </c>
      <c r="R166">
        <v>92</v>
      </c>
      <c r="S166" s="21"/>
      <c r="T166" s="21"/>
    </row>
    <row r="167" spans="2:20" x14ac:dyDescent="0.3">
      <c r="B167" s="27">
        <v>46065</v>
      </c>
      <c r="C167">
        <v>21559</v>
      </c>
      <c r="D167" s="28">
        <v>7245282</v>
      </c>
      <c r="E167" t="s">
        <v>35</v>
      </c>
      <c r="F167" t="s">
        <v>57</v>
      </c>
      <c r="G167" t="s">
        <v>650</v>
      </c>
      <c r="H167" t="s">
        <v>59</v>
      </c>
      <c r="I167" s="27">
        <v>47908</v>
      </c>
      <c r="J167" t="s">
        <v>27</v>
      </c>
      <c r="K167" t="s">
        <v>40</v>
      </c>
      <c r="L167">
        <v>1</v>
      </c>
      <c r="M167" s="29">
        <v>18345</v>
      </c>
      <c r="N167" s="29">
        <v>46</v>
      </c>
      <c r="O167">
        <v>18344.599999999999</v>
      </c>
      <c r="P167">
        <v>18298.8</v>
      </c>
      <c r="Q167">
        <v>4.65E-2</v>
      </c>
      <c r="R167">
        <v>9.6500000000000002E-2</v>
      </c>
      <c r="S167" s="21"/>
      <c r="T167" s="21"/>
    </row>
    <row r="168" spans="2:20" x14ac:dyDescent="0.3">
      <c r="B168" s="27">
        <v>46065</v>
      </c>
      <c r="C168">
        <v>23410</v>
      </c>
      <c r="D168" s="28">
        <v>2256879</v>
      </c>
      <c r="E168" t="s">
        <v>35</v>
      </c>
      <c r="F168" t="s">
        <v>51</v>
      </c>
      <c r="G168" t="s">
        <v>54</v>
      </c>
      <c r="H168" t="s">
        <v>43</v>
      </c>
      <c r="I168" s="27">
        <v>48441</v>
      </c>
      <c r="J168" t="s">
        <v>44</v>
      </c>
      <c r="K168" t="s">
        <v>40</v>
      </c>
      <c r="L168">
        <v>33</v>
      </c>
      <c r="M168" s="29">
        <v>147745</v>
      </c>
      <c r="N168" s="29">
        <v>3001</v>
      </c>
      <c r="O168">
        <v>4477.1000000000004</v>
      </c>
      <c r="P168">
        <v>4386.2</v>
      </c>
      <c r="Q168">
        <v>7.17</v>
      </c>
      <c r="R168">
        <v>7.59</v>
      </c>
      <c r="S168" s="21"/>
      <c r="T168" s="21"/>
    </row>
    <row r="169" spans="2:20" x14ac:dyDescent="0.3">
      <c r="B169" s="27">
        <v>46065</v>
      </c>
      <c r="C169">
        <v>23410</v>
      </c>
      <c r="D169" s="28">
        <v>2256879</v>
      </c>
      <c r="E169" t="s">
        <v>35</v>
      </c>
      <c r="F169" t="s">
        <v>51</v>
      </c>
      <c r="G169" t="s">
        <v>52</v>
      </c>
      <c r="H169" t="s">
        <v>43</v>
      </c>
      <c r="I169" s="27">
        <v>49444</v>
      </c>
      <c r="J169" t="s">
        <v>44</v>
      </c>
      <c r="K169" t="s">
        <v>40</v>
      </c>
      <c r="L169">
        <v>34</v>
      </c>
      <c r="M169" s="29">
        <v>148592</v>
      </c>
      <c r="N169" s="29">
        <v>4016</v>
      </c>
      <c r="O169">
        <v>4370.3999999999996</v>
      </c>
      <c r="P169">
        <v>4252.2</v>
      </c>
      <c r="Q169">
        <v>7.0350000000000001</v>
      </c>
      <c r="R169">
        <v>7.4550000000000001</v>
      </c>
      <c r="S169" s="21"/>
      <c r="T169" s="21"/>
    </row>
    <row r="170" spans="2:20" x14ac:dyDescent="0.3">
      <c r="B170" s="27">
        <v>46065</v>
      </c>
      <c r="C170">
        <v>23410</v>
      </c>
      <c r="D170" s="28">
        <v>8451519</v>
      </c>
      <c r="E170" t="s">
        <v>45</v>
      </c>
      <c r="F170" t="s">
        <v>53</v>
      </c>
      <c r="G170" t="s">
        <v>50</v>
      </c>
      <c r="H170" t="s">
        <v>39</v>
      </c>
      <c r="I170" s="27">
        <v>47457</v>
      </c>
      <c r="J170" t="s">
        <v>27</v>
      </c>
      <c r="K170" t="s">
        <v>40</v>
      </c>
      <c r="L170">
        <v>2</v>
      </c>
      <c r="M170" s="29">
        <v>23519</v>
      </c>
      <c r="N170" s="29">
        <v>27</v>
      </c>
      <c r="O170">
        <v>11759.6</v>
      </c>
      <c r="P170">
        <v>11746.1</v>
      </c>
      <c r="Q170">
        <v>93.75</v>
      </c>
      <c r="R170">
        <v>94</v>
      </c>
      <c r="S170" s="21"/>
      <c r="T170" s="21"/>
    </row>
    <row r="171" spans="2:20" x14ac:dyDescent="0.3">
      <c r="B171" s="27">
        <v>46065</v>
      </c>
      <c r="C171">
        <v>24415</v>
      </c>
      <c r="D171" s="28">
        <v>9797588</v>
      </c>
      <c r="E171" t="s">
        <v>42</v>
      </c>
      <c r="F171" t="s">
        <v>651</v>
      </c>
      <c r="G171" t="s">
        <v>85</v>
      </c>
      <c r="H171" t="s">
        <v>39</v>
      </c>
      <c r="I171" s="27">
        <v>47073</v>
      </c>
      <c r="J171" t="s">
        <v>44</v>
      </c>
      <c r="K171" t="s">
        <v>41</v>
      </c>
      <c r="L171">
        <v>73</v>
      </c>
      <c r="M171" s="29">
        <v>-75321</v>
      </c>
      <c r="N171" s="29">
        <v>693</v>
      </c>
      <c r="O171">
        <v>1031.8</v>
      </c>
      <c r="P171">
        <v>1041.3</v>
      </c>
      <c r="Q171">
        <v>0.85</v>
      </c>
      <c r="R171">
        <v>0.45</v>
      </c>
      <c r="S171" s="21"/>
      <c r="T171" s="21"/>
    </row>
    <row r="172" spans="2:20" x14ac:dyDescent="0.3">
      <c r="B172" s="27">
        <v>46065</v>
      </c>
      <c r="C172">
        <v>24415</v>
      </c>
      <c r="D172" s="28">
        <v>9797588</v>
      </c>
      <c r="E172" t="s">
        <v>35</v>
      </c>
      <c r="F172" t="s">
        <v>55</v>
      </c>
      <c r="G172" t="s">
        <v>118</v>
      </c>
      <c r="H172" t="s">
        <v>43</v>
      </c>
      <c r="I172" s="27">
        <v>49444</v>
      </c>
      <c r="J172" t="s">
        <v>27</v>
      </c>
      <c r="K172" t="s">
        <v>40</v>
      </c>
      <c r="L172">
        <v>29</v>
      </c>
      <c r="M172" s="29">
        <v>71345</v>
      </c>
      <c r="N172" s="29">
        <v>911</v>
      </c>
      <c r="O172">
        <v>2460.1999999999998</v>
      </c>
      <c r="P172">
        <v>2428.6999999999998</v>
      </c>
      <c r="Q172">
        <v>7.05</v>
      </c>
      <c r="R172">
        <v>7.2</v>
      </c>
      <c r="S172" s="21"/>
      <c r="T172" s="21"/>
    </row>
    <row r="173" spans="2:20" x14ac:dyDescent="0.3">
      <c r="B173" s="27">
        <v>46065</v>
      </c>
      <c r="C173">
        <v>25619</v>
      </c>
      <c r="D173" s="28">
        <v>17909968</v>
      </c>
      <c r="E173" t="s">
        <v>45</v>
      </c>
      <c r="F173" t="s">
        <v>68</v>
      </c>
      <c r="G173" t="s">
        <v>48</v>
      </c>
      <c r="H173" t="s">
        <v>39</v>
      </c>
      <c r="I173" s="27">
        <v>47557</v>
      </c>
      <c r="J173" t="s">
        <v>27</v>
      </c>
      <c r="K173" t="s">
        <v>41</v>
      </c>
      <c r="L173">
        <v>1</v>
      </c>
      <c r="M173" s="29">
        <v>-11300</v>
      </c>
      <c r="N173" s="29">
        <v>140</v>
      </c>
      <c r="O173">
        <v>11299.5</v>
      </c>
      <c r="P173">
        <v>11439.8</v>
      </c>
      <c r="Q173">
        <v>96.5</v>
      </c>
      <c r="R173">
        <v>94</v>
      </c>
      <c r="S173" s="21"/>
      <c r="T173" s="21"/>
    </row>
    <row r="174" spans="2:20" x14ac:dyDescent="0.3">
      <c r="B174" s="27">
        <v>46065</v>
      </c>
      <c r="C174">
        <v>38517</v>
      </c>
      <c r="D174" s="28">
        <v>2659167</v>
      </c>
      <c r="E174" t="s">
        <v>45</v>
      </c>
      <c r="F174" t="s">
        <v>78</v>
      </c>
      <c r="G174" t="s">
        <v>79</v>
      </c>
      <c r="H174" t="s">
        <v>39</v>
      </c>
      <c r="I174" s="27">
        <v>48410</v>
      </c>
      <c r="J174" t="s">
        <v>27</v>
      </c>
      <c r="K174" t="s">
        <v>40</v>
      </c>
      <c r="L174">
        <v>3</v>
      </c>
      <c r="M174" s="29">
        <v>33569</v>
      </c>
      <c r="N174" s="29">
        <v>730</v>
      </c>
      <c r="O174">
        <v>11189.6</v>
      </c>
      <c r="P174">
        <v>10946.1</v>
      </c>
      <c r="Q174">
        <v>92.25</v>
      </c>
      <c r="R174">
        <v>95</v>
      </c>
      <c r="S174" s="21"/>
      <c r="T174" s="21"/>
    </row>
    <row r="175" spans="2:20" x14ac:dyDescent="0.3">
      <c r="B175" s="27">
        <v>46065</v>
      </c>
      <c r="C175">
        <v>38517</v>
      </c>
      <c r="D175" s="28">
        <v>2659167</v>
      </c>
      <c r="E175" t="s">
        <v>45</v>
      </c>
      <c r="F175" t="s">
        <v>80</v>
      </c>
      <c r="G175" t="s">
        <v>81</v>
      </c>
      <c r="H175" t="s">
        <v>39</v>
      </c>
      <c r="I175" s="27">
        <v>49506</v>
      </c>
      <c r="J175" t="s">
        <v>27</v>
      </c>
      <c r="K175" t="s">
        <v>40</v>
      </c>
      <c r="L175">
        <v>2</v>
      </c>
      <c r="M175" s="29">
        <v>22680</v>
      </c>
      <c r="N175" s="29">
        <v>727</v>
      </c>
      <c r="O175">
        <v>11339.9</v>
      </c>
      <c r="P175">
        <v>10976.6</v>
      </c>
      <c r="Q175">
        <v>93.25</v>
      </c>
      <c r="R175">
        <v>96</v>
      </c>
      <c r="S175" s="21"/>
      <c r="T175" s="21"/>
    </row>
    <row r="176" spans="2:20" x14ac:dyDescent="0.3">
      <c r="B176" s="27">
        <v>46065</v>
      </c>
      <c r="C176">
        <v>38517</v>
      </c>
      <c r="D176" s="28">
        <v>2801160</v>
      </c>
      <c r="E176" t="s">
        <v>45</v>
      </c>
      <c r="F176" t="s">
        <v>78</v>
      </c>
      <c r="G176" t="s">
        <v>79</v>
      </c>
      <c r="H176" t="s">
        <v>39</v>
      </c>
      <c r="I176" s="27">
        <v>48410</v>
      </c>
      <c r="J176" t="s">
        <v>27</v>
      </c>
      <c r="K176" t="s">
        <v>40</v>
      </c>
      <c r="L176">
        <v>7</v>
      </c>
      <c r="M176" s="29">
        <v>77703</v>
      </c>
      <c r="N176" s="29">
        <v>1080</v>
      </c>
      <c r="O176">
        <v>11100.4</v>
      </c>
      <c r="P176">
        <v>10946.1</v>
      </c>
      <c r="Q176">
        <v>93.25</v>
      </c>
      <c r="R176">
        <v>95</v>
      </c>
      <c r="S176" s="21"/>
      <c r="T176" s="21"/>
    </row>
    <row r="177" spans="2:20" x14ac:dyDescent="0.3">
      <c r="B177" s="27">
        <v>46065</v>
      </c>
      <c r="C177">
        <v>38517</v>
      </c>
      <c r="D177" s="28">
        <v>9136814</v>
      </c>
      <c r="E177" t="s">
        <v>42</v>
      </c>
      <c r="F177" t="s">
        <v>652</v>
      </c>
      <c r="G177" t="s">
        <v>653</v>
      </c>
      <c r="H177" t="s">
        <v>37</v>
      </c>
      <c r="I177" s="27">
        <v>48869</v>
      </c>
      <c r="J177" t="s">
        <v>44</v>
      </c>
      <c r="K177" t="s">
        <v>41</v>
      </c>
      <c r="L177">
        <v>5</v>
      </c>
      <c r="M177" s="29">
        <v>-1561</v>
      </c>
      <c r="N177" s="29">
        <v>7</v>
      </c>
      <c r="O177">
        <v>312.2</v>
      </c>
      <c r="P177">
        <v>313.5</v>
      </c>
      <c r="Q177">
        <v>54.25</v>
      </c>
      <c r="R177">
        <v>54</v>
      </c>
      <c r="S177" s="21"/>
      <c r="T177" s="21"/>
    </row>
    <row r="178" spans="2:20" x14ac:dyDescent="0.3">
      <c r="B178" s="27">
        <v>46065</v>
      </c>
      <c r="C178">
        <v>49894</v>
      </c>
      <c r="D178" s="28">
        <v>9786155</v>
      </c>
      <c r="E178" t="s">
        <v>45</v>
      </c>
      <c r="F178" t="s">
        <v>654</v>
      </c>
      <c r="G178" t="s">
        <v>655</v>
      </c>
      <c r="H178" t="s">
        <v>43</v>
      </c>
      <c r="I178" s="27">
        <v>46430</v>
      </c>
      <c r="J178" t="s">
        <v>27</v>
      </c>
      <c r="K178" t="s">
        <v>40</v>
      </c>
      <c r="L178">
        <v>277</v>
      </c>
      <c r="M178" s="29">
        <v>277000</v>
      </c>
      <c r="N178" s="29">
        <v>251</v>
      </c>
      <c r="O178">
        <v>1000</v>
      </c>
      <c r="P178">
        <v>999.1</v>
      </c>
      <c r="Q178">
        <v>8.02</v>
      </c>
      <c r="R178">
        <v>8.1199999999999992</v>
      </c>
      <c r="S178" s="21"/>
      <c r="T178" s="21"/>
    </row>
    <row r="179" spans="2:20" x14ac:dyDescent="0.3">
      <c r="B179" s="27">
        <v>46065</v>
      </c>
      <c r="C179">
        <v>69579</v>
      </c>
      <c r="D179" s="28">
        <v>2624011</v>
      </c>
      <c r="E179" t="s">
        <v>45</v>
      </c>
      <c r="F179" t="s">
        <v>656</v>
      </c>
      <c r="G179" t="s">
        <v>601</v>
      </c>
      <c r="H179" t="s">
        <v>39</v>
      </c>
      <c r="I179" s="27">
        <v>46797</v>
      </c>
      <c r="J179" t="s">
        <v>27</v>
      </c>
      <c r="K179" t="s">
        <v>40</v>
      </c>
      <c r="L179">
        <v>39</v>
      </c>
      <c r="M179" s="29">
        <v>39000</v>
      </c>
      <c r="N179" s="29">
        <v>367</v>
      </c>
      <c r="O179">
        <v>1000</v>
      </c>
      <c r="P179">
        <v>990.6</v>
      </c>
      <c r="Q179">
        <v>90</v>
      </c>
      <c r="R179">
        <v>94</v>
      </c>
      <c r="S179" s="21"/>
      <c r="T179" s="21"/>
    </row>
    <row r="180" spans="2:20" x14ac:dyDescent="0.3">
      <c r="B180" s="27">
        <v>46065</v>
      </c>
      <c r="C180">
        <v>69579</v>
      </c>
      <c r="D180" s="28">
        <v>2689615</v>
      </c>
      <c r="E180" t="s">
        <v>45</v>
      </c>
      <c r="F180" t="s">
        <v>657</v>
      </c>
      <c r="G180" t="s">
        <v>658</v>
      </c>
      <c r="H180" t="s">
        <v>39</v>
      </c>
      <c r="I180" s="27">
        <v>47163</v>
      </c>
      <c r="J180" t="s">
        <v>27</v>
      </c>
      <c r="K180" t="s">
        <v>40</v>
      </c>
      <c r="L180">
        <v>48</v>
      </c>
      <c r="M180" s="29">
        <v>48000</v>
      </c>
      <c r="N180" s="29">
        <v>678</v>
      </c>
      <c r="O180">
        <v>1000</v>
      </c>
      <c r="P180">
        <v>985.9</v>
      </c>
      <c r="Q180">
        <v>91</v>
      </c>
      <c r="R180">
        <v>95</v>
      </c>
      <c r="S180" s="21"/>
      <c r="T180" s="21"/>
    </row>
    <row r="181" spans="2:20" x14ac:dyDescent="0.3">
      <c r="B181" s="27">
        <v>46065</v>
      </c>
      <c r="C181">
        <v>69579</v>
      </c>
      <c r="D181" s="28">
        <v>3343041</v>
      </c>
      <c r="E181" t="s">
        <v>45</v>
      </c>
      <c r="F181" t="s">
        <v>659</v>
      </c>
      <c r="G181" t="s">
        <v>589</v>
      </c>
      <c r="H181" t="s">
        <v>43</v>
      </c>
      <c r="I181" s="27">
        <v>46430</v>
      </c>
      <c r="J181" t="s">
        <v>27</v>
      </c>
      <c r="K181" t="s">
        <v>40</v>
      </c>
      <c r="L181">
        <v>114</v>
      </c>
      <c r="M181" s="29">
        <v>114000</v>
      </c>
      <c r="N181" s="29">
        <v>417</v>
      </c>
      <c r="O181">
        <v>1000</v>
      </c>
      <c r="P181">
        <v>996.3</v>
      </c>
      <c r="Q181">
        <v>6.81</v>
      </c>
      <c r="R181">
        <v>7.21</v>
      </c>
      <c r="S181" s="21"/>
      <c r="T181" s="21"/>
    </row>
    <row r="182" spans="2:20" x14ac:dyDescent="0.3">
      <c r="B182" s="27">
        <v>46065</v>
      </c>
      <c r="C182">
        <v>71881</v>
      </c>
      <c r="D182" s="28">
        <v>17722999</v>
      </c>
      <c r="E182" t="s">
        <v>45</v>
      </c>
      <c r="F182" t="s">
        <v>660</v>
      </c>
      <c r="G182" t="s">
        <v>113</v>
      </c>
      <c r="H182" t="s">
        <v>39</v>
      </c>
      <c r="I182" s="27">
        <v>47561</v>
      </c>
      <c r="J182" t="s">
        <v>27</v>
      </c>
      <c r="K182" t="s">
        <v>40</v>
      </c>
      <c r="L182">
        <v>27</v>
      </c>
      <c r="M182" s="29">
        <v>30101</v>
      </c>
      <c r="N182" s="29">
        <v>148</v>
      </c>
      <c r="O182">
        <v>1114.8</v>
      </c>
      <c r="P182">
        <v>1109.3</v>
      </c>
      <c r="Q182">
        <v>94</v>
      </c>
      <c r="R182">
        <v>95</v>
      </c>
      <c r="S182" s="21"/>
      <c r="T182" s="21"/>
    </row>
    <row r="183" spans="2:20" x14ac:dyDescent="0.3">
      <c r="B183" s="27">
        <v>46065</v>
      </c>
      <c r="C183">
        <v>71881</v>
      </c>
      <c r="D183" s="28">
        <v>17722999</v>
      </c>
      <c r="E183" t="s">
        <v>45</v>
      </c>
      <c r="F183" t="s">
        <v>661</v>
      </c>
      <c r="G183" t="s">
        <v>82</v>
      </c>
      <c r="H183" t="s">
        <v>39</v>
      </c>
      <c r="I183" s="27">
        <v>47581</v>
      </c>
      <c r="J183" t="s">
        <v>27</v>
      </c>
      <c r="K183" t="s">
        <v>40</v>
      </c>
      <c r="L183">
        <v>29</v>
      </c>
      <c r="M183" s="29">
        <v>32352</v>
      </c>
      <c r="N183" s="29">
        <v>162</v>
      </c>
      <c r="O183">
        <v>1115.5999999999999</v>
      </c>
      <c r="P183">
        <v>1110</v>
      </c>
      <c r="Q183">
        <v>94</v>
      </c>
      <c r="R183">
        <v>95</v>
      </c>
      <c r="S183" s="21"/>
      <c r="T183" s="21"/>
    </row>
    <row r="184" spans="2:20" x14ac:dyDescent="0.3">
      <c r="B184" s="27">
        <v>46065</v>
      </c>
      <c r="C184">
        <v>71881</v>
      </c>
      <c r="D184" s="28">
        <v>17722999</v>
      </c>
      <c r="E184" t="s">
        <v>45</v>
      </c>
      <c r="F184" t="s">
        <v>662</v>
      </c>
      <c r="G184" t="s">
        <v>82</v>
      </c>
      <c r="H184" t="s">
        <v>39</v>
      </c>
      <c r="I184" s="27">
        <v>47588</v>
      </c>
      <c r="J184" t="s">
        <v>27</v>
      </c>
      <c r="K184" t="s">
        <v>40</v>
      </c>
      <c r="L184">
        <v>8</v>
      </c>
      <c r="M184" s="29">
        <v>9012</v>
      </c>
      <c r="N184" s="29">
        <v>45</v>
      </c>
      <c r="O184">
        <v>1126.5</v>
      </c>
      <c r="P184">
        <v>1120.9000000000001</v>
      </c>
      <c r="Q184">
        <v>94</v>
      </c>
      <c r="R184">
        <v>95</v>
      </c>
      <c r="S184" s="21"/>
      <c r="T184" s="21"/>
    </row>
    <row r="185" spans="2:20" x14ac:dyDescent="0.3">
      <c r="B185" s="27">
        <v>46065</v>
      </c>
      <c r="C185">
        <v>74304</v>
      </c>
      <c r="D185" s="28">
        <v>2022153</v>
      </c>
      <c r="E185" t="s">
        <v>38</v>
      </c>
      <c r="F185" t="s">
        <v>60</v>
      </c>
      <c r="G185" t="s">
        <v>61</v>
      </c>
      <c r="H185" t="s">
        <v>39</v>
      </c>
      <c r="I185" s="27">
        <v>47651</v>
      </c>
      <c r="J185" t="s">
        <v>27</v>
      </c>
      <c r="K185" t="s">
        <v>40</v>
      </c>
      <c r="L185">
        <v>28</v>
      </c>
      <c r="M185" s="29">
        <v>309510</v>
      </c>
      <c r="N185" s="29">
        <v>407</v>
      </c>
      <c r="O185">
        <v>11053.9</v>
      </c>
      <c r="P185">
        <v>11039.4</v>
      </c>
      <c r="Q185">
        <v>93.75</v>
      </c>
      <c r="R185">
        <v>94</v>
      </c>
      <c r="S185" s="21"/>
      <c r="T185" s="21"/>
    </row>
    <row r="186" spans="2:20" x14ac:dyDescent="0.3">
      <c r="B186" s="27">
        <v>46065</v>
      </c>
      <c r="C186">
        <v>96553</v>
      </c>
      <c r="D186" s="28">
        <v>7375981</v>
      </c>
      <c r="E186" t="s">
        <v>45</v>
      </c>
      <c r="F186" t="s">
        <v>663</v>
      </c>
      <c r="G186" t="s">
        <v>99</v>
      </c>
      <c r="H186" t="s">
        <v>39</v>
      </c>
      <c r="I186" s="27">
        <v>47872</v>
      </c>
      <c r="J186" t="s">
        <v>27</v>
      </c>
      <c r="K186" t="s">
        <v>40</v>
      </c>
      <c r="L186">
        <v>1</v>
      </c>
      <c r="M186" s="29">
        <v>1000</v>
      </c>
      <c r="N186" s="29">
        <v>24</v>
      </c>
      <c r="O186">
        <v>1000</v>
      </c>
      <c r="P186">
        <v>976</v>
      </c>
      <c r="Q186">
        <v>106</v>
      </c>
      <c r="R186">
        <v>110</v>
      </c>
      <c r="S186" s="21"/>
      <c r="T186" s="21"/>
    </row>
    <row r="187" spans="2:20" x14ac:dyDescent="0.3">
      <c r="B187" s="27">
        <v>46066</v>
      </c>
      <c r="C187">
        <v>20020</v>
      </c>
      <c r="D187" s="28">
        <v>3620773</v>
      </c>
      <c r="E187" t="s">
        <v>45</v>
      </c>
      <c r="F187" t="s">
        <v>664</v>
      </c>
      <c r="G187" t="s">
        <v>665</v>
      </c>
      <c r="H187" t="s">
        <v>43</v>
      </c>
      <c r="I187" s="27">
        <v>46196</v>
      </c>
      <c r="J187" t="s">
        <v>27</v>
      </c>
      <c r="K187" t="s">
        <v>40</v>
      </c>
      <c r="L187">
        <v>7</v>
      </c>
      <c r="M187" s="29">
        <v>11851</v>
      </c>
      <c r="N187" s="29">
        <v>18</v>
      </c>
      <c r="O187">
        <v>1693.1</v>
      </c>
      <c r="P187">
        <v>1690.4</v>
      </c>
      <c r="Q187">
        <v>10</v>
      </c>
      <c r="R187">
        <v>10.5</v>
      </c>
      <c r="S187" s="21"/>
      <c r="T187" s="21"/>
    </row>
    <row r="188" spans="2:20" x14ac:dyDescent="0.3">
      <c r="B188" s="27">
        <v>46066</v>
      </c>
      <c r="C188">
        <v>20020</v>
      </c>
      <c r="D188" s="28">
        <v>16420102</v>
      </c>
      <c r="E188" t="s">
        <v>45</v>
      </c>
      <c r="F188" t="s">
        <v>666</v>
      </c>
      <c r="G188" t="s">
        <v>667</v>
      </c>
      <c r="H188" t="s">
        <v>39</v>
      </c>
      <c r="I188" s="27">
        <v>46797</v>
      </c>
      <c r="J188" t="s">
        <v>27</v>
      </c>
      <c r="K188" t="s">
        <v>40</v>
      </c>
      <c r="L188">
        <v>39</v>
      </c>
      <c r="M188" s="29">
        <v>39000</v>
      </c>
      <c r="N188" s="29">
        <v>184</v>
      </c>
      <c r="O188">
        <v>1000</v>
      </c>
      <c r="P188">
        <v>995.3</v>
      </c>
      <c r="Q188">
        <v>100.35</v>
      </c>
      <c r="R188">
        <v>102.35</v>
      </c>
      <c r="S188" s="21"/>
      <c r="T188" s="21"/>
    </row>
    <row r="189" spans="2:20" x14ac:dyDescent="0.3">
      <c r="B189" s="27">
        <v>46066</v>
      </c>
      <c r="C189">
        <v>22674</v>
      </c>
      <c r="D189" s="28">
        <v>4089266</v>
      </c>
      <c r="E189" t="s">
        <v>45</v>
      </c>
      <c r="F189" t="s">
        <v>668</v>
      </c>
      <c r="G189" t="s">
        <v>669</v>
      </c>
      <c r="H189" t="s">
        <v>37</v>
      </c>
      <c r="I189" s="27">
        <v>46797</v>
      </c>
      <c r="J189" t="s">
        <v>27</v>
      </c>
      <c r="K189" t="s">
        <v>40</v>
      </c>
      <c r="L189">
        <v>11</v>
      </c>
      <c r="M189" s="29">
        <v>11000</v>
      </c>
      <c r="N189" s="29">
        <v>77</v>
      </c>
      <c r="O189">
        <v>1000</v>
      </c>
      <c r="P189">
        <v>993</v>
      </c>
      <c r="Q189">
        <v>13.5</v>
      </c>
      <c r="R189">
        <v>13.9</v>
      </c>
      <c r="S189" s="21"/>
      <c r="T189" s="21"/>
    </row>
    <row r="190" spans="2:20" x14ac:dyDescent="0.3">
      <c r="B190" s="27">
        <v>46066</v>
      </c>
      <c r="C190">
        <v>23648</v>
      </c>
      <c r="D190" s="28">
        <v>195750</v>
      </c>
      <c r="E190" t="s">
        <v>45</v>
      </c>
      <c r="F190" t="s">
        <v>670</v>
      </c>
      <c r="G190" t="s">
        <v>658</v>
      </c>
      <c r="H190" t="s">
        <v>39</v>
      </c>
      <c r="I190" s="27">
        <v>47163</v>
      </c>
      <c r="J190" t="s">
        <v>27</v>
      </c>
      <c r="K190" t="s">
        <v>40</v>
      </c>
      <c r="L190">
        <v>50</v>
      </c>
      <c r="M190" s="29">
        <v>50000</v>
      </c>
      <c r="N190" s="29">
        <v>704</v>
      </c>
      <c r="O190">
        <v>1000</v>
      </c>
      <c r="P190">
        <v>985.9</v>
      </c>
      <c r="Q190">
        <v>91</v>
      </c>
      <c r="R190">
        <v>95</v>
      </c>
      <c r="S190" s="21"/>
      <c r="T190" s="21"/>
    </row>
    <row r="191" spans="2:20" x14ac:dyDescent="0.3">
      <c r="B191" s="27">
        <v>46066</v>
      </c>
      <c r="C191">
        <v>23648</v>
      </c>
      <c r="D191" s="28">
        <v>3918792</v>
      </c>
      <c r="E191" t="s">
        <v>45</v>
      </c>
      <c r="F191" t="s">
        <v>671</v>
      </c>
      <c r="G191" t="s">
        <v>636</v>
      </c>
      <c r="H191" t="s">
        <v>39</v>
      </c>
      <c r="I191" s="27">
        <v>48256</v>
      </c>
      <c r="J191" t="s">
        <v>27</v>
      </c>
      <c r="K191" t="s">
        <v>40</v>
      </c>
      <c r="L191">
        <v>6</v>
      </c>
      <c r="M191" s="29">
        <v>6000</v>
      </c>
      <c r="N191" s="29">
        <v>44</v>
      </c>
      <c r="O191">
        <v>1000</v>
      </c>
      <c r="P191">
        <v>992.6</v>
      </c>
      <c r="Q191">
        <v>106</v>
      </c>
      <c r="R191">
        <v>107</v>
      </c>
      <c r="S191" s="21"/>
      <c r="T191" s="21"/>
    </row>
    <row r="192" spans="2:20" x14ac:dyDescent="0.3">
      <c r="B192" s="27">
        <v>46066</v>
      </c>
      <c r="C192">
        <v>23648</v>
      </c>
      <c r="D192" s="28">
        <v>4842372</v>
      </c>
      <c r="E192" t="s">
        <v>42</v>
      </c>
      <c r="F192" t="s">
        <v>438</v>
      </c>
      <c r="G192" t="s">
        <v>439</v>
      </c>
      <c r="H192" t="s">
        <v>43</v>
      </c>
      <c r="I192" s="27">
        <v>56751</v>
      </c>
      <c r="J192" t="s">
        <v>44</v>
      </c>
      <c r="K192" t="s">
        <v>40</v>
      </c>
      <c r="L192">
        <v>20</v>
      </c>
      <c r="M192" s="29">
        <v>20416</v>
      </c>
      <c r="N192" s="29">
        <v>219</v>
      </c>
      <c r="O192">
        <v>1020.8</v>
      </c>
      <c r="P192">
        <v>1009.8</v>
      </c>
      <c r="Q192">
        <v>7.95</v>
      </c>
      <c r="R192">
        <v>8.0500000000000007</v>
      </c>
      <c r="S192" s="21"/>
      <c r="T192" s="21"/>
    </row>
    <row r="193" spans="2:20" x14ac:dyDescent="0.3">
      <c r="B193" s="27">
        <v>46066</v>
      </c>
      <c r="C193">
        <v>25104</v>
      </c>
      <c r="D193" s="28">
        <v>162325</v>
      </c>
      <c r="E193" t="s">
        <v>45</v>
      </c>
      <c r="F193" t="s">
        <v>98</v>
      </c>
      <c r="G193" t="s">
        <v>48</v>
      </c>
      <c r="H193" t="s">
        <v>39</v>
      </c>
      <c r="I193" s="27">
        <v>47557</v>
      </c>
      <c r="J193" t="s">
        <v>27</v>
      </c>
      <c r="K193" t="s">
        <v>41</v>
      </c>
      <c r="L193">
        <v>4</v>
      </c>
      <c r="M193" s="29">
        <v>-45333</v>
      </c>
      <c r="N193" s="29">
        <v>448</v>
      </c>
      <c r="O193">
        <v>11333.3</v>
      </c>
      <c r="P193">
        <v>11445.4</v>
      </c>
      <c r="Q193">
        <v>96</v>
      </c>
      <c r="R193">
        <v>94</v>
      </c>
      <c r="S193" s="21"/>
      <c r="T193" s="21"/>
    </row>
    <row r="194" spans="2:20" x14ac:dyDescent="0.3">
      <c r="B194" s="27">
        <v>46066</v>
      </c>
      <c r="C194">
        <v>25104</v>
      </c>
      <c r="D194" s="28">
        <v>3786524</v>
      </c>
      <c r="E194" t="s">
        <v>45</v>
      </c>
      <c r="F194" t="s">
        <v>672</v>
      </c>
      <c r="G194" t="s">
        <v>94</v>
      </c>
      <c r="H194" t="s">
        <v>39</v>
      </c>
      <c r="I194" s="27">
        <v>46198</v>
      </c>
      <c r="J194" t="s">
        <v>27</v>
      </c>
      <c r="K194" t="s">
        <v>40</v>
      </c>
      <c r="L194">
        <v>2</v>
      </c>
      <c r="M194" s="29">
        <v>2167</v>
      </c>
      <c r="N194" s="29">
        <v>2</v>
      </c>
      <c r="O194">
        <v>1083.7</v>
      </c>
      <c r="P194">
        <v>1082.7</v>
      </c>
      <c r="Q194">
        <v>98</v>
      </c>
      <c r="R194">
        <v>100</v>
      </c>
      <c r="S194" s="21"/>
      <c r="T194" s="21"/>
    </row>
    <row r="195" spans="2:20" x14ac:dyDescent="0.3">
      <c r="B195" s="27">
        <v>46066</v>
      </c>
      <c r="C195">
        <v>25104</v>
      </c>
      <c r="D195" s="28">
        <v>3786524</v>
      </c>
      <c r="E195" t="s">
        <v>45</v>
      </c>
      <c r="F195" t="s">
        <v>123</v>
      </c>
      <c r="G195" t="s">
        <v>124</v>
      </c>
      <c r="H195" t="s">
        <v>39</v>
      </c>
      <c r="I195" s="27">
        <v>46288</v>
      </c>
      <c r="J195" t="s">
        <v>27</v>
      </c>
      <c r="K195" t="s">
        <v>40</v>
      </c>
      <c r="L195">
        <v>4</v>
      </c>
      <c r="M195" s="29">
        <v>4166</v>
      </c>
      <c r="N195" s="29">
        <v>6</v>
      </c>
      <c r="O195">
        <v>1041.4000000000001</v>
      </c>
      <c r="P195">
        <v>1039.8</v>
      </c>
      <c r="Q195">
        <v>100</v>
      </c>
      <c r="R195">
        <v>102</v>
      </c>
      <c r="S195" s="21"/>
      <c r="T195" s="21"/>
    </row>
    <row r="196" spans="2:20" x14ac:dyDescent="0.3">
      <c r="B196" s="27">
        <v>46066</v>
      </c>
      <c r="C196">
        <v>37111</v>
      </c>
      <c r="D196" s="28">
        <v>3373962</v>
      </c>
      <c r="E196" t="s">
        <v>45</v>
      </c>
      <c r="F196" t="s">
        <v>673</v>
      </c>
      <c r="G196" t="s">
        <v>674</v>
      </c>
      <c r="H196" t="s">
        <v>39</v>
      </c>
      <c r="I196" s="27">
        <v>46449</v>
      </c>
      <c r="J196" t="s">
        <v>27</v>
      </c>
      <c r="K196" t="s">
        <v>40</v>
      </c>
      <c r="L196">
        <v>137</v>
      </c>
      <c r="M196" s="29">
        <v>144517</v>
      </c>
      <c r="N196" s="29">
        <v>183</v>
      </c>
      <c r="O196">
        <v>1054.9000000000001</v>
      </c>
      <c r="P196">
        <v>1053.5</v>
      </c>
      <c r="Q196">
        <v>119</v>
      </c>
      <c r="R196">
        <v>120</v>
      </c>
      <c r="S196" s="21"/>
      <c r="T196" s="21"/>
    </row>
    <row r="197" spans="2:20" x14ac:dyDescent="0.3">
      <c r="B197" s="27">
        <v>46066</v>
      </c>
      <c r="C197">
        <v>37111</v>
      </c>
      <c r="D197" s="28">
        <v>11628983</v>
      </c>
      <c r="E197" t="s">
        <v>45</v>
      </c>
      <c r="F197" t="s">
        <v>675</v>
      </c>
      <c r="G197" t="s">
        <v>601</v>
      </c>
      <c r="H197" t="s">
        <v>39</v>
      </c>
      <c r="I197" s="27">
        <v>46797</v>
      </c>
      <c r="J197" t="s">
        <v>27</v>
      </c>
      <c r="K197" t="s">
        <v>40</v>
      </c>
      <c r="L197">
        <v>24</v>
      </c>
      <c r="M197" s="29">
        <v>24000</v>
      </c>
      <c r="N197" s="29">
        <v>169</v>
      </c>
      <c r="O197">
        <v>1000</v>
      </c>
      <c r="P197">
        <v>993</v>
      </c>
      <c r="Q197">
        <v>91</v>
      </c>
      <c r="R197">
        <v>94</v>
      </c>
      <c r="S197" s="21"/>
      <c r="T197" s="21"/>
    </row>
    <row r="198" spans="2:20" x14ac:dyDescent="0.3">
      <c r="B198" s="27">
        <v>46066</v>
      </c>
      <c r="C198">
        <v>40901</v>
      </c>
      <c r="D198" s="28">
        <v>2281594</v>
      </c>
      <c r="E198" t="s">
        <v>45</v>
      </c>
      <c r="F198" t="s">
        <v>676</v>
      </c>
      <c r="G198" t="s">
        <v>113</v>
      </c>
      <c r="H198" t="s">
        <v>39</v>
      </c>
      <c r="I198" s="27">
        <v>47548</v>
      </c>
      <c r="J198" t="s">
        <v>27</v>
      </c>
      <c r="K198" t="s">
        <v>41</v>
      </c>
      <c r="L198">
        <v>5</v>
      </c>
      <c r="M198" s="29">
        <v>-5547</v>
      </c>
      <c r="N198" s="29">
        <v>27</v>
      </c>
      <c r="O198">
        <v>1109.5</v>
      </c>
      <c r="P198">
        <v>1114.9000000000001</v>
      </c>
      <c r="Q198">
        <v>96</v>
      </c>
      <c r="R198">
        <v>95</v>
      </c>
      <c r="S198" s="21"/>
      <c r="T198" s="21"/>
    </row>
    <row r="199" spans="2:20" x14ac:dyDescent="0.3">
      <c r="B199" s="27">
        <v>46066</v>
      </c>
      <c r="C199">
        <v>40901</v>
      </c>
      <c r="D199" s="28">
        <v>2597553</v>
      </c>
      <c r="E199" t="s">
        <v>42</v>
      </c>
      <c r="F199" t="s">
        <v>677</v>
      </c>
      <c r="G199" t="s">
        <v>678</v>
      </c>
      <c r="H199" t="s">
        <v>39</v>
      </c>
      <c r="I199" s="27">
        <v>46920</v>
      </c>
      <c r="J199" t="s">
        <v>44</v>
      </c>
      <c r="K199" t="s">
        <v>40</v>
      </c>
      <c r="L199">
        <v>3</v>
      </c>
      <c r="M199" s="29">
        <v>3057</v>
      </c>
      <c r="N199" s="29">
        <v>24</v>
      </c>
      <c r="O199">
        <v>1018.9</v>
      </c>
      <c r="P199">
        <v>1011</v>
      </c>
      <c r="Q199">
        <v>1.85</v>
      </c>
      <c r="R199">
        <v>2.25</v>
      </c>
      <c r="S199" s="21"/>
      <c r="T199" s="21"/>
    </row>
    <row r="200" spans="2:20" x14ac:dyDescent="0.3">
      <c r="B200" s="27">
        <v>46066</v>
      </c>
      <c r="C200">
        <v>40901</v>
      </c>
      <c r="D200" s="28">
        <v>7647529</v>
      </c>
      <c r="E200" t="s">
        <v>45</v>
      </c>
      <c r="F200" t="s">
        <v>679</v>
      </c>
      <c r="G200" t="s">
        <v>82</v>
      </c>
      <c r="H200" t="s">
        <v>39</v>
      </c>
      <c r="I200" s="27">
        <v>47575</v>
      </c>
      <c r="J200" t="s">
        <v>27</v>
      </c>
      <c r="K200" t="s">
        <v>41</v>
      </c>
      <c r="L200">
        <v>5</v>
      </c>
      <c r="M200" s="29">
        <v>-4988</v>
      </c>
      <c r="N200" s="29">
        <v>62</v>
      </c>
      <c r="O200">
        <v>997.6</v>
      </c>
      <c r="P200">
        <v>1010.1</v>
      </c>
      <c r="Q200">
        <v>116.85</v>
      </c>
      <c r="R200">
        <v>114.35</v>
      </c>
      <c r="S200" s="21"/>
      <c r="T200" s="21"/>
    </row>
    <row r="201" spans="2:20" x14ac:dyDescent="0.3">
      <c r="B201" s="27">
        <v>46066</v>
      </c>
      <c r="C201">
        <v>69519</v>
      </c>
      <c r="D201" s="28">
        <v>522388</v>
      </c>
      <c r="E201" t="s">
        <v>42</v>
      </c>
      <c r="F201" t="s">
        <v>680</v>
      </c>
      <c r="G201" t="s">
        <v>681</v>
      </c>
      <c r="H201" t="s">
        <v>43</v>
      </c>
      <c r="I201" s="27">
        <v>46860</v>
      </c>
      <c r="J201" t="s">
        <v>56</v>
      </c>
      <c r="K201" t="s">
        <v>40</v>
      </c>
      <c r="L201">
        <v>4</v>
      </c>
      <c r="M201" s="29">
        <v>5159</v>
      </c>
      <c r="N201" s="29">
        <v>29</v>
      </c>
      <c r="O201">
        <v>1289.7</v>
      </c>
      <c r="P201">
        <v>1282.5</v>
      </c>
      <c r="Q201">
        <v>9.4499999999999993</v>
      </c>
      <c r="R201">
        <v>9.85</v>
      </c>
      <c r="S201" s="21"/>
      <c r="T201" s="21"/>
    </row>
    <row r="202" spans="2:20" x14ac:dyDescent="0.3">
      <c r="B202" s="27">
        <v>46066</v>
      </c>
      <c r="C202">
        <v>69519</v>
      </c>
      <c r="D202" s="28">
        <v>522388</v>
      </c>
      <c r="E202" t="s">
        <v>45</v>
      </c>
      <c r="F202" t="s">
        <v>682</v>
      </c>
      <c r="G202" t="s">
        <v>601</v>
      </c>
      <c r="H202" t="s">
        <v>37</v>
      </c>
      <c r="I202" s="27">
        <v>46797</v>
      </c>
      <c r="J202" t="s">
        <v>27</v>
      </c>
      <c r="K202" t="s">
        <v>40</v>
      </c>
      <c r="L202">
        <v>5</v>
      </c>
      <c r="M202" s="29">
        <v>5000</v>
      </c>
      <c r="N202" s="29">
        <v>36</v>
      </c>
      <c r="O202">
        <v>1000</v>
      </c>
      <c r="P202">
        <v>992.9</v>
      </c>
      <c r="Q202">
        <v>11.15</v>
      </c>
      <c r="R202">
        <v>11.55</v>
      </c>
      <c r="S202" s="21"/>
      <c r="T202" s="21"/>
    </row>
    <row r="203" spans="2:20" x14ac:dyDescent="0.3">
      <c r="B203" s="27">
        <v>46066</v>
      </c>
      <c r="C203">
        <v>69519</v>
      </c>
      <c r="D203" s="28">
        <v>522388</v>
      </c>
      <c r="E203" t="s">
        <v>45</v>
      </c>
      <c r="F203" t="s">
        <v>683</v>
      </c>
      <c r="G203" t="s">
        <v>684</v>
      </c>
      <c r="H203" t="s">
        <v>37</v>
      </c>
      <c r="I203" s="27">
        <v>47326</v>
      </c>
      <c r="J203" t="s">
        <v>27</v>
      </c>
      <c r="K203" t="s">
        <v>40</v>
      </c>
      <c r="L203">
        <v>5</v>
      </c>
      <c r="M203" s="29">
        <v>5000</v>
      </c>
      <c r="N203" s="29">
        <v>67</v>
      </c>
      <c r="O203">
        <v>1000</v>
      </c>
      <c r="P203">
        <v>986.6</v>
      </c>
      <c r="Q203">
        <v>13.45</v>
      </c>
      <c r="R203">
        <v>13.9</v>
      </c>
      <c r="S203" s="21"/>
      <c r="T203" s="21"/>
    </row>
    <row r="204" spans="2:20" x14ac:dyDescent="0.3">
      <c r="B204" s="27">
        <v>46066</v>
      </c>
      <c r="C204">
        <v>69519</v>
      </c>
      <c r="D204" s="28">
        <v>3440767</v>
      </c>
      <c r="E204" t="s">
        <v>45</v>
      </c>
      <c r="F204" t="s">
        <v>685</v>
      </c>
      <c r="G204" t="s">
        <v>526</v>
      </c>
      <c r="H204" t="s">
        <v>37</v>
      </c>
      <c r="I204" s="27">
        <v>47455</v>
      </c>
      <c r="J204" t="s">
        <v>27</v>
      </c>
      <c r="K204" t="s">
        <v>40</v>
      </c>
      <c r="L204">
        <v>5</v>
      </c>
      <c r="M204" s="29">
        <v>5881</v>
      </c>
      <c r="N204" s="29">
        <v>171</v>
      </c>
      <c r="O204">
        <v>1176.2</v>
      </c>
      <c r="P204">
        <v>1142.0999999999999</v>
      </c>
      <c r="Q204">
        <v>14.5</v>
      </c>
      <c r="R204">
        <v>15.4</v>
      </c>
      <c r="S204" s="21"/>
      <c r="T204" s="21"/>
    </row>
    <row r="205" spans="2:20" x14ac:dyDescent="0.3">
      <c r="B205" s="27">
        <v>46066</v>
      </c>
      <c r="C205">
        <v>69519</v>
      </c>
      <c r="D205" s="28">
        <v>3440767</v>
      </c>
      <c r="E205" t="s">
        <v>45</v>
      </c>
      <c r="F205" t="s">
        <v>686</v>
      </c>
      <c r="G205" t="s">
        <v>687</v>
      </c>
      <c r="H205" t="s">
        <v>37</v>
      </c>
      <c r="I205" s="27">
        <v>48198</v>
      </c>
      <c r="J205" t="s">
        <v>27</v>
      </c>
      <c r="K205" t="s">
        <v>40</v>
      </c>
      <c r="L205">
        <v>4</v>
      </c>
      <c r="M205" s="29">
        <v>4087</v>
      </c>
      <c r="N205" s="29">
        <v>181</v>
      </c>
      <c r="O205">
        <v>1021.7</v>
      </c>
      <c r="P205">
        <v>976.3</v>
      </c>
      <c r="Q205">
        <v>14.45</v>
      </c>
      <c r="R205">
        <v>15.35</v>
      </c>
      <c r="S205" s="21"/>
      <c r="T205" s="21"/>
    </row>
    <row r="206" spans="2:20" x14ac:dyDescent="0.3">
      <c r="B206" s="27">
        <v>46066</v>
      </c>
      <c r="C206">
        <v>69579</v>
      </c>
      <c r="D206" s="28">
        <v>3824485</v>
      </c>
      <c r="E206" t="s">
        <v>45</v>
      </c>
      <c r="F206" t="s">
        <v>688</v>
      </c>
      <c r="G206" t="s">
        <v>599</v>
      </c>
      <c r="H206" t="s">
        <v>39</v>
      </c>
      <c r="I206" s="27">
        <v>46433</v>
      </c>
      <c r="J206" t="s">
        <v>27</v>
      </c>
      <c r="K206" t="s">
        <v>40</v>
      </c>
      <c r="L206">
        <v>7</v>
      </c>
      <c r="M206" s="29">
        <v>7000</v>
      </c>
      <c r="N206" s="29">
        <v>8</v>
      </c>
      <c r="O206">
        <v>1000</v>
      </c>
      <c r="P206">
        <v>998.8</v>
      </c>
      <c r="Q206">
        <v>92</v>
      </c>
      <c r="R206">
        <v>93</v>
      </c>
      <c r="S206" s="21"/>
      <c r="T206" s="21"/>
    </row>
    <row r="207" spans="2:20" x14ac:dyDescent="0.3">
      <c r="B207" s="27">
        <v>46066</v>
      </c>
      <c r="C207">
        <v>69579</v>
      </c>
      <c r="D207" s="28">
        <v>7702475</v>
      </c>
      <c r="E207" t="s">
        <v>45</v>
      </c>
      <c r="F207" t="s">
        <v>670</v>
      </c>
      <c r="G207" t="s">
        <v>658</v>
      </c>
      <c r="H207" t="s">
        <v>39</v>
      </c>
      <c r="I207" s="27">
        <v>47163</v>
      </c>
      <c r="J207" t="s">
        <v>27</v>
      </c>
      <c r="K207" t="s">
        <v>40</v>
      </c>
      <c r="L207">
        <v>147</v>
      </c>
      <c r="M207" s="29">
        <v>147000</v>
      </c>
      <c r="N207" s="29">
        <v>2069</v>
      </c>
      <c r="O207">
        <v>1000</v>
      </c>
      <c r="P207">
        <v>985.9</v>
      </c>
      <c r="Q207">
        <v>91</v>
      </c>
      <c r="R207">
        <v>95</v>
      </c>
      <c r="S207" s="21"/>
      <c r="T207" s="21"/>
    </row>
    <row r="208" spans="2:20" x14ac:dyDescent="0.3">
      <c r="B208" s="27">
        <v>46066</v>
      </c>
      <c r="C208">
        <v>96553</v>
      </c>
      <c r="D208" s="28">
        <v>2199172</v>
      </c>
      <c r="E208" t="s">
        <v>45</v>
      </c>
      <c r="F208" t="s">
        <v>689</v>
      </c>
      <c r="G208" t="s">
        <v>690</v>
      </c>
      <c r="H208" t="s">
        <v>37</v>
      </c>
      <c r="I208" s="27">
        <v>47163</v>
      </c>
      <c r="J208" t="s">
        <v>46</v>
      </c>
      <c r="K208" t="s">
        <v>40</v>
      </c>
      <c r="L208">
        <v>20</v>
      </c>
      <c r="M208" s="29">
        <v>20000</v>
      </c>
      <c r="N208" s="29">
        <v>259</v>
      </c>
      <c r="O208">
        <v>1000</v>
      </c>
      <c r="P208">
        <v>987</v>
      </c>
      <c r="Q208">
        <v>13.25</v>
      </c>
      <c r="R208">
        <v>13.75</v>
      </c>
      <c r="S208" s="21"/>
      <c r="T208" s="21"/>
    </row>
    <row r="209" spans="2:20" x14ac:dyDescent="0.3">
      <c r="B209" s="27">
        <v>46066</v>
      </c>
      <c r="C209">
        <v>96553</v>
      </c>
      <c r="D209" s="28">
        <v>12406622</v>
      </c>
      <c r="E209" t="s">
        <v>45</v>
      </c>
      <c r="F209" t="s">
        <v>691</v>
      </c>
      <c r="G209" t="s">
        <v>692</v>
      </c>
      <c r="H209" t="s">
        <v>39</v>
      </c>
      <c r="I209" s="27">
        <v>46734</v>
      </c>
      <c r="J209" t="s">
        <v>27</v>
      </c>
      <c r="K209" t="s">
        <v>40</v>
      </c>
      <c r="L209">
        <v>2</v>
      </c>
      <c r="M209" s="29">
        <v>2393</v>
      </c>
      <c r="N209" s="29">
        <v>46</v>
      </c>
      <c r="O209">
        <v>1196.3</v>
      </c>
      <c r="P209">
        <v>1173.4000000000001</v>
      </c>
      <c r="Q209">
        <v>115</v>
      </c>
      <c r="R209">
        <v>124</v>
      </c>
      <c r="S209" s="21"/>
      <c r="T209" s="21"/>
    </row>
    <row r="210" spans="2:20" x14ac:dyDescent="0.3">
      <c r="B210" s="27">
        <v>46071</v>
      </c>
      <c r="C210">
        <v>21468</v>
      </c>
      <c r="D210" s="28">
        <v>3484099</v>
      </c>
      <c r="E210" t="s">
        <v>45</v>
      </c>
      <c r="F210" t="s">
        <v>693</v>
      </c>
      <c r="G210" t="s">
        <v>694</v>
      </c>
      <c r="H210" t="s">
        <v>39</v>
      </c>
      <c r="I210" s="27">
        <v>46104</v>
      </c>
      <c r="J210" t="s">
        <v>27</v>
      </c>
      <c r="K210" t="s">
        <v>41</v>
      </c>
      <c r="L210">
        <v>14</v>
      </c>
      <c r="M210" s="29">
        <v>-15672</v>
      </c>
      <c r="N210" s="29">
        <v>5</v>
      </c>
      <c r="O210">
        <v>1119.4000000000001</v>
      </c>
      <c r="P210">
        <v>1119.8</v>
      </c>
      <c r="Q210">
        <v>88.5</v>
      </c>
      <c r="R210">
        <v>86</v>
      </c>
      <c r="S210" s="21"/>
      <c r="T210" s="21"/>
    </row>
    <row r="211" spans="2:20" x14ac:dyDescent="0.3">
      <c r="B211" s="27">
        <v>46071</v>
      </c>
      <c r="C211">
        <v>23410</v>
      </c>
      <c r="D211" s="28">
        <v>3099032</v>
      </c>
      <c r="E211" t="s">
        <v>35</v>
      </c>
      <c r="F211" t="s">
        <v>51</v>
      </c>
      <c r="G211" t="s">
        <v>54</v>
      </c>
      <c r="H211" t="s">
        <v>43</v>
      </c>
      <c r="I211" s="27">
        <v>48441</v>
      </c>
      <c r="J211" t="s">
        <v>44</v>
      </c>
      <c r="K211" t="s">
        <v>40</v>
      </c>
      <c r="L211">
        <v>12</v>
      </c>
      <c r="M211" s="29">
        <v>51504</v>
      </c>
      <c r="N211" s="29">
        <v>258</v>
      </c>
      <c r="O211">
        <v>4292</v>
      </c>
      <c r="P211">
        <v>4270.5</v>
      </c>
      <c r="Q211">
        <v>7.4130000000000003</v>
      </c>
      <c r="R211">
        <v>7.5129999999999999</v>
      </c>
      <c r="S211" s="21"/>
      <c r="T211" s="21"/>
    </row>
    <row r="212" spans="2:20" x14ac:dyDescent="0.3">
      <c r="B212" s="27">
        <v>46071</v>
      </c>
      <c r="C212">
        <v>23410</v>
      </c>
      <c r="D212" s="28">
        <v>8449786</v>
      </c>
      <c r="E212" t="s">
        <v>35</v>
      </c>
      <c r="F212" t="s">
        <v>51</v>
      </c>
      <c r="G212" t="s">
        <v>69</v>
      </c>
      <c r="H212" t="s">
        <v>43</v>
      </c>
      <c r="I212" s="27">
        <v>46980</v>
      </c>
      <c r="J212" t="s">
        <v>44</v>
      </c>
      <c r="K212" t="s">
        <v>41</v>
      </c>
      <c r="L212">
        <v>13</v>
      </c>
      <c r="M212" s="29">
        <v>-57192</v>
      </c>
      <c r="N212" s="29">
        <v>310</v>
      </c>
      <c r="O212">
        <v>4399.3999999999996</v>
      </c>
      <c r="P212">
        <v>4423.2</v>
      </c>
      <c r="Q212">
        <v>8.1080000000000005</v>
      </c>
      <c r="R212">
        <v>7.8579999999999997</v>
      </c>
      <c r="S212" s="21"/>
      <c r="T212" s="21"/>
    </row>
    <row r="213" spans="2:20" x14ac:dyDescent="0.3">
      <c r="B213" s="27">
        <v>46071</v>
      </c>
      <c r="C213">
        <v>24415</v>
      </c>
      <c r="D213" s="28">
        <v>16877877</v>
      </c>
      <c r="E213" t="s">
        <v>45</v>
      </c>
      <c r="F213" t="s">
        <v>93</v>
      </c>
      <c r="G213" t="s">
        <v>94</v>
      </c>
      <c r="H213" t="s">
        <v>39</v>
      </c>
      <c r="I213" s="27">
        <v>46197</v>
      </c>
      <c r="J213" t="s">
        <v>27</v>
      </c>
      <c r="K213" t="s">
        <v>41</v>
      </c>
      <c r="L213">
        <v>11</v>
      </c>
      <c r="M213" s="29">
        <v>-11720</v>
      </c>
      <c r="N213" s="29">
        <v>13</v>
      </c>
      <c r="O213">
        <v>1065.5</v>
      </c>
      <c r="P213">
        <v>1066.7</v>
      </c>
      <c r="Q213">
        <v>140.55000000000001</v>
      </c>
      <c r="R213">
        <v>138.05000000000001</v>
      </c>
      <c r="S213" s="21"/>
      <c r="T213" s="21"/>
    </row>
    <row r="214" spans="2:20" x14ac:dyDescent="0.3">
      <c r="B214" s="27">
        <v>46071</v>
      </c>
      <c r="C214">
        <v>25104</v>
      </c>
      <c r="D214" s="28">
        <v>4361446</v>
      </c>
      <c r="E214" t="s">
        <v>45</v>
      </c>
      <c r="F214" t="s">
        <v>47</v>
      </c>
      <c r="G214" t="s">
        <v>48</v>
      </c>
      <c r="H214" t="s">
        <v>39</v>
      </c>
      <c r="I214" s="27">
        <v>47557</v>
      </c>
      <c r="J214" t="s">
        <v>27</v>
      </c>
      <c r="K214" t="s">
        <v>41</v>
      </c>
      <c r="L214">
        <v>1</v>
      </c>
      <c r="M214" s="29">
        <v>-11311</v>
      </c>
      <c r="N214" s="29">
        <v>140</v>
      </c>
      <c r="O214">
        <v>11311.5</v>
      </c>
      <c r="P214">
        <v>11451.1</v>
      </c>
      <c r="Q214">
        <v>96.5</v>
      </c>
      <c r="R214">
        <v>94</v>
      </c>
      <c r="S214" s="21"/>
      <c r="T214" s="21"/>
    </row>
    <row r="215" spans="2:20" x14ac:dyDescent="0.3">
      <c r="B215" s="27">
        <v>46071</v>
      </c>
      <c r="C215">
        <v>25104</v>
      </c>
      <c r="D215" s="28">
        <v>11385857</v>
      </c>
      <c r="E215" t="s">
        <v>45</v>
      </c>
      <c r="F215" t="s">
        <v>695</v>
      </c>
      <c r="G215" t="s">
        <v>112</v>
      </c>
      <c r="H215" t="s">
        <v>39</v>
      </c>
      <c r="I215" s="27">
        <v>46161</v>
      </c>
      <c r="J215" t="s">
        <v>27</v>
      </c>
      <c r="K215" t="s">
        <v>40</v>
      </c>
      <c r="L215">
        <v>2</v>
      </c>
      <c r="M215" s="29">
        <v>2196</v>
      </c>
      <c r="N215" s="29">
        <v>1</v>
      </c>
      <c r="O215">
        <v>1097.8</v>
      </c>
      <c r="P215">
        <v>1097.0999999999999</v>
      </c>
      <c r="Q215">
        <v>98</v>
      </c>
      <c r="R215">
        <v>100</v>
      </c>
      <c r="S215" s="21"/>
      <c r="T215" s="21"/>
    </row>
    <row r="216" spans="2:20" x14ac:dyDescent="0.3">
      <c r="B216" s="27">
        <v>46071</v>
      </c>
      <c r="C216">
        <v>25104</v>
      </c>
      <c r="D216" s="28">
        <v>11385857</v>
      </c>
      <c r="E216" t="s">
        <v>45</v>
      </c>
      <c r="F216" t="s">
        <v>93</v>
      </c>
      <c r="G216" t="s">
        <v>94</v>
      </c>
      <c r="H216" t="s">
        <v>39</v>
      </c>
      <c r="I216" s="27">
        <v>46197</v>
      </c>
      <c r="J216" t="s">
        <v>27</v>
      </c>
      <c r="K216" t="s">
        <v>40</v>
      </c>
      <c r="L216">
        <v>31</v>
      </c>
      <c r="M216" s="29">
        <v>33676</v>
      </c>
      <c r="N216" s="29">
        <v>31</v>
      </c>
      <c r="O216">
        <v>1086.3</v>
      </c>
      <c r="P216">
        <v>1085.3</v>
      </c>
      <c r="Q216">
        <v>98</v>
      </c>
      <c r="R216">
        <v>100</v>
      </c>
      <c r="S216" s="21"/>
      <c r="T216" s="21"/>
    </row>
    <row r="217" spans="2:20" x14ac:dyDescent="0.3">
      <c r="B217" s="27">
        <v>46071</v>
      </c>
      <c r="C217">
        <v>25104</v>
      </c>
      <c r="D217" s="28">
        <v>11385857</v>
      </c>
      <c r="E217" t="s">
        <v>45</v>
      </c>
      <c r="F217" t="s">
        <v>696</v>
      </c>
      <c r="G217" t="s">
        <v>559</v>
      </c>
      <c r="H217" t="s">
        <v>39</v>
      </c>
      <c r="I217" s="27">
        <v>46204</v>
      </c>
      <c r="J217" t="s">
        <v>27</v>
      </c>
      <c r="K217" t="s">
        <v>40</v>
      </c>
      <c r="L217">
        <v>3</v>
      </c>
      <c r="M217" s="29">
        <v>3241</v>
      </c>
      <c r="N217" s="29">
        <v>3</v>
      </c>
      <c r="O217">
        <v>1080.5</v>
      </c>
      <c r="P217">
        <v>1079.4000000000001</v>
      </c>
      <c r="Q217">
        <v>98</v>
      </c>
      <c r="R217">
        <v>100</v>
      </c>
      <c r="S217" s="21"/>
      <c r="T217" s="21"/>
    </row>
    <row r="218" spans="2:20" x14ac:dyDescent="0.3">
      <c r="B218" s="27">
        <v>46071</v>
      </c>
      <c r="C218">
        <v>25104</v>
      </c>
      <c r="D218" s="28">
        <v>11385857</v>
      </c>
      <c r="E218" t="s">
        <v>45</v>
      </c>
      <c r="F218" t="s">
        <v>697</v>
      </c>
      <c r="G218" t="s">
        <v>559</v>
      </c>
      <c r="H218" t="s">
        <v>39</v>
      </c>
      <c r="I218" s="27">
        <v>46224</v>
      </c>
      <c r="J218" t="s">
        <v>27</v>
      </c>
      <c r="K218" t="s">
        <v>40</v>
      </c>
      <c r="L218">
        <v>26</v>
      </c>
      <c r="M218" s="29">
        <v>27882</v>
      </c>
      <c r="N218" s="29">
        <v>31</v>
      </c>
      <c r="O218">
        <v>1072.4000000000001</v>
      </c>
      <c r="P218">
        <v>1071.2</v>
      </c>
      <c r="Q218">
        <v>98</v>
      </c>
      <c r="R218">
        <v>100</v>
      </c>
      <c r="S218" s="21"/>
      <c r="T218" s="21"/>
    </row>
    <row r="219" spans="2:20" x14ac:dyDescent="0.3">
      <c r="B219" s="27">
        <v>46071</v>
      </c>
      <c r="C219">
        <v>25104</v>
      </c>
      <c r="D219" s="28">
        <v>11385857</v>
      </c>
      <c r="E219" t="s">
        <v>45</v>
      </c>
      <c r="F219" t="s">
        <v>70</v>
      </c>
      <c r="G219" t="s">
        <v>71</v>
      </c>
      <c r="H219" t="s">
        <v>39</v>
      </c>
      <c r="I219" s="27">
        <v>49536</v>
      </c>
      <c r="J219" t="s">
        <v>27</v>
      </c>
      <c r="K219" t="s">
        <v>40</v>
      </c>
      <c r="L219">
        <v>2</v>
      </c>
      <c r="M219" s="29">
        <v>22645</v>
      </c>
      <c r="N219" s="29">
        <v>727</v>
      </c>
      <c r="O219">
        <v>11322.7</v>
      </c>
      <c r="P219">
        <v>10959.3</v>
      </c>
      <c r="Q219">
        <v>93.25</v>
      </c>
      <c r="R219">
        <v>96</v>
      </c>
      <c r="S219" s="21"/>
      <c r="T219" s="21"/>
    </row>
    <row r="220" spans="2:20" x14ac:dyDescent="0.3">
      <c r="B220" s="27">
        <v>46071</v>
      </c>
      <c r="C220">
        <v>40901</v>
      </c>
      <c r="D220" s="28">
        <v>16115583</v>
      </c>
      <c r="E220" t="s">
        <v>42</v>
      </c>
      <c r="F220" t="s">
        <v>680</v>
      </c>
      <c r="G220" t="s">
        <v>681</v>
      </c>
      <c r="H220" t="s">
        <v>43</v>
      </c>
      <c r="I220" s="27">
        <v>46860</v>
      </c>
      <c r="J220" t="s">
        <v>56</v>
      </c>
      <c r="K220" t="s">
        <v>40</v>
      </c>
      <c r="L220">
        <v>1</v>
      </c>
      <c r="M220" s="29">
        <v>1292</v>
      </c>
      <c r="N220" s="29">
        <v>7</v>
      </c>
      <c r="O220">
        <v>1292.0999999999999</v>
      </c>
      <c r="P220">
        <v>1284.9000000000001</v>
      </c>
      <c r="Q220">
        <v>9.35</v>
      </c>
      <c r="R220">
        <v>9.75</v>
      </c>
      <c r="S220" s="21"/>
      <c r="T220" s="21"/>
    </row>
    <row r="221" spans="2:20" x14ac:dyDescent="0.3">
      <c r="B221" s="27">
        <v>46071</v>
      </c>
      <c r="C221">
        <v>40901</v>
      </c>
      <c r="D221" s="28">
        <v>16115583</v>
      </c>
      <c r="E221" t="s">
        <v>35</v>
      </c>
      <c r="F221" t="s">
        <v>36</v>
      </c>
      <c r="G221" t="s">
        <v>90</v>
      </c>
      <c r="H221" t="s">
        <v>37</v>
      </c>
      <c r="I221" s="27">
        <v>46204</v>
      </c>
      <c r="J221" t="s">
        <v>27</v>
      </c>
      <c r="K221" t="s">
        <v>40</v>
      </c>
      <c r="L221">
        <v>2</v>
      </c>
      <c r="M221" s="29">
        <v>1910</v>
      </c>
      <c r="N221" s="29">
        <v>3</v>
      </c>
      <c r="O221">
        <v>955.2</v>
      </c>
      <c r="P221">
        <v>953.7</v>
      </c>
      <c r="Q221">
        <v>13.54</v>
      </c>
      <c r="R221">
        <v>14.04</v>
      </c>
      <c r="S221" s="21"/>
      <c r="T221" s="21"/>
    </row>
    <row r="222" spans="2:20" x14ac:dyDescent="0.3">
      <c r="B222" s="27">
        <v>46071</v>
      </c>
      <c r="C222">
        <v>69519</v>
      </c>
      <c r="D222" s="28">
        <v>522388</v>
      </c>
      <c r="E222" t="s">
        <v>45</v>
      </c>
      <c r="F222" t="s">
        <v>698</v>
      </c>
      <c r="G222" t="s">
        <v>699</v>
      </c>
      <c r="H222" t="s">
        <v>43</v>
      </c>
      <c r="I222" s="27">
        <v>46510</v>
      </c>
      <c r="J222" t="s">
        <v>27</v>
      </c>
      <c r="K222" t="s">
        <v>40</v>
      </c>
      <c r="L222">
        <v>4</v>
      </c>
      <c r="M222" s="29">
        <v>5301</v>
      </c>
      <c r="N222" s="29">
        <v>29</v>
      </c>
      <c r="O222">
        <v>1325.4</v>
      </c>
      <c r="P222">
        <v>1318.2</v>
      </c>
      <c r="Q222">
        <v>8.5</v>
      </c>
      <c r="R222">
        <v>9</v>
      </c>
      <c r="S222" s="21"/>
      <c r="T222" s="21"/>
    </row>
    <row r="223" spans="2:20" x14ac:dyDescent="0.3">
      <c r="B223" s="27">
        <v>46071</v>
      </c>
      <c r="C223">
        <v>69519</v>
      </c>
      <c r="D223" s="28">
        <v>522388</v>
      </c>
      <c r="E223" t="s">
        <v>45</v>
      </c>
      <c r="F223" t="s">
        <v>700</v>
      </c>
      <c r="G223" t="s">
        <v>701</v>
      </c>
      <c r="H223" t="s">
        <v>37</v>
      </c>
      <c r="I223" s="27">
        <v>46294</v>
      </c>
      <c r="J223" t="s">
        <v>27</v>
      </c>
      <c r="K223" t="s">
        <v>40</v>
      </c>
      <c r="L223">
        <v>2</v>
      </c>
      <c r="M223" s="29">
        <v>3210</v>
      </c>
      <c r="N223" s="29">
        <v>17</v>
      </c>
      <c r="O223">
        <v>1604.8</v>
      </c>
      <c r="P223">
        <v>1596.4</v>
      </c>
      <c r="Q223">
        <v>15.5</v>
      </c>
      <c r="R223">
        <v>16.5</v>
      </c>
      <c r="S223" s="21"/>
      <c r="T223" s="21"/>
    </row>
    <row r="224" spans="2:20" x14ac:dyDescent="0.3">
      <c r="B224" s="27">
        <v>46071</v>
      </c>
      <c r="C224">
        <v>69519</v>
      </c>
      <c r="D224" s="28">
        <v>2880729</v>
      </c>
      <c r="E224" t="s">
        <v>45</v>
      </c>
      <c r="F224" t="s">
        <v>53</v>
      </c>
      <c r="G224" t="s">
        <v>50</v>
      </c>
      <c r="H224" t="s">
        <v>39</v>
      </c>
      <c r="I224" s="27">
        <v>47457</v>
      </c>
      <c r="J224" t="s">
        <v>27</v>
      </c>
      <c r="K224" t="s">
        <v>40</v>
      </c>
      <c r="L224">
        <v>4</v>
      </c>
      <c r="M224" s="29">
        <v>47625</v>
      </c>
      <c r="N224" s="29">
        <v>594</v>
      </c>
      <c r="O224">
        <v>11906.4</v>
      </c>
      <c r="P224">
        <v>11758</v>
      </c>
      <c r="Q224">
        <v>91.25</v>
      </c>
      <c r="R224">
        <v>94</v>
      </c>
      <c r="S224" s="21"/>
      <c r="T224" s="21"/>
    </row>
    <row r="225" spans="2:20" x14ac:dyDescent="0.3">
      <c r="B225" s="27">
        <v>46071</v>
      </c>
      <c r="C225">
        <v>69519</v>
      </c>
      <c r="D225" s="28">
        <v>7547638</v>
      </c>
      <c r="E225" t="s">
        <v>35</v>
      </c>
      <c r="F225" t="s">
        <v>51</v>
      </c>
      <c r="G225" t="s">
        <v>54</v>
      </c>
      <c r="H225" t="s">
        <v>43</v>
      </c>
      <c r="I225" s="27">
        <v>48441</v>
      </c>
      <c r="J225" t="s">
        <v>44</v>
      </c>
      <c r="K225" t="s">
        <v>40</v>
      </c>
      <c r="L225">
        <v>5</v>
      </c>
      <c r="M225" s="29">
        <v>21460</v>
      </c>
      <c r="N225" s="29">
        <v>108</v>
      </c>
      <c r="O225">
        <v>4292</v>
      </c>
      <c r="P225">
        <v>4270.5</v>
      </c>
      <c r="Q225">
        <v>7.4130000000000003</v>
      </c>
      <c r="R225">
        <v>7.5129999999999999</v>
      </c>
      <c r="S225" s="21"/>
      <c r="T225" s="21"/>
    </row>
    <row r="226" spans="2:20" x14ac:dyDescent="0.3">
      <c r="B226" s="27">
        <v>46071</v>
      </c>
      <c r="C226">
        <v>69579</v>
      </c>
      <c r="D226" s="28">
        <v>4583910</v>
      </c>
      <c r="E226" t="s">
        <v>45</v>
      </c>
      <c r="F226" t="s">
        <v>702</v>
      </c>
      <c r="G226" t="s">
        <v>658</v>
      </c>
      <c r="H226" t="s">
        <v>39</v>
      </c>
      <c r="I226" s="27">
        <v>47168</v>
      </c>
      <c r="J226" t="s">
        <v>27</v>
      </c>
      <c r="K226" t="s">
        <v>40</v>
      </c>
      <c r="L226">
        <v>100</v>
      </c>
      <c r="M226" s="29">
        <v>100000</v>
      </c>
      <c r="N226" s="29">
        <v>1408</v>
      </c>
      <c r="O226">
        <v>1000</v>
      </c>
      <c r="P226">
        <v>985.9</v>
      </c>
      <c r="Q226">
        <v>91</v>
      </c>
      <c r="R226">
        <v>95</v>
      </c>
      <c r="S226" s="21"/>
      <c r="T226" s="21"/>
    </row>
    <row r="227" spans="2:20" x14ac:dyDescent="0.3">
      <c r="B227" s="27">
        <v>46071</v>
      </c>
      <c r="C227">
        <v>71881</v>
      </c>
      <c r="D227" s="28">
        <v>5370675</v>
      </c>
      <c r="E227" t="s">
        <v>64</v>
      </c>
      <c r="F227" t="s">
        <v>128</v>
      </c>
      <c r="G227" t="s">
        <v>129</v>
      </c>
      <c r="H227" t="s">
        <v>39</v>
      </c>
      <c r="I227" s="27">
        <v>46737</v>
      </c>
      <c r="J227" t="s">
        <v>27</v>
      </c>
      <c r="K227" t="s">
        <v>41</v>
      </c>
      <c r="L227">
        <v>6</v>
      </c>
      <c r="M227" s="29">
        <v>-6058</v>
      </c>
      <c r="N227" s="29">
        <v>33</v>
      </c>
      <c r="O227">
        <v>1009.7</v>
      </c>
      <c r="P227">
        <v>1015.2</v>
      </c>
      <c r="Q227">
        <v>98.5</v>
      </c>
      <c r="R227">
        <v>96</v>
      </c>
      <c r="S227" s="21"/>
      <c r="T227" s="21"/>
    </row>
    <row r="228" spans="2:20" x14ac:dyDescent="0.3">
      <c r="B228" s="27">
        <v>46071</v>
      </c>
      <c r="C228">
        <v>96553</v>
      </c>
      <c r="D228" s="28">
        <v>2485784</v>
      </c>
      <c r="E228" t="s">
        <v>45</v>
      </c>
      <c r="F228" t="s">
        <v>65</v>
      </c>
      <c r="G228" t="s">
        <v>66</v>
      </c>
      <c r="H228" t="s">
        <v>39</v>
      </c>
      <c r="I228" s="27">
        <v>47620</v>
      </c>
      <c r="J228" t="s">
        <v>27</v>
      </c>
      <c r="K228" t="s">
        <v>40</v>
      </c>
      <c r="L228">
        <v>19</v>
      </c>
      <c r="M228" s="29">
        <v>20995</v>
      </c>
      <c r="N228" s="29">
        <v>321</v>
      </c>
      <c r="O228">
        <v>1105</v>
      </c>
      <c r="P228">
        <v>1088.0999999999999</v>
      </c>
      <c r="Q228">
        <v>92</v>
      </c>
      <c r="R228">
        <v>95</v>
      </c>
      <c r="S228" s="21"/>
      <c r="T228" s="21"/>
    </row>
    <row r="229" spans="2:20" x14ac:dyDescent="0.3">
      <c r="B229" s="27">
        <v>46071</v>
      </c>
      <c r="C229">
        <v>96553</v>
      </c>
      <c r="D229" s="28">
        <v>3326069</v>
      </c>
      <c r="E229" t="s">
        <v>45</v>
      </c>
      <c r="F229" t="s">
        <v>702</v>
      </c>
      <c r="G229" t="s">
        <v>658</v>
      </c>
      <c r="H229" t="s">
        <v>39</v>
      </c>
      <c r="I229" s="27">
        <v>47168</v>
      </c>
      <c r="J229" t="s">
        <v>27</v>
      </c>
      <c r="K229" t="s">
        <v>40</v>
      </c>
      <c r="L229">
        <v>16</v>
      </c>
      <c r="M229" s="29">
        <v>16000</v>
      </c>
      <c r="N229" s="29">
        <v>226</v>
      </c>
      <c r="O229">
        <v>1000</v>
      </c>
      <c r="P229">
        <v>985.9</v>
      </c>
      <c r="Q229">
        <v>91</v>
      </c>
      <c r="R229">
        <v>95</v>
      </c>
      <c r="S229" s="21"/>
      <c r="T229" s="21"/>
    </row>
    <row r="230" spans="2:20" x14ac:dyDescent="0.3">
      <c r="B230" s="27">
        <v>46072</v>
      </c>
      <c r="C230">
        <v>22674</v>
      </c>
      <c r="D230" s="28">
        <v>4928180</v>
      </c>
      <c r="E230" t="s">
        <v>45</v>
      </c>
      <c r="F230" t="s">
        <v>596</v>
      </c>
      <c r="G230" t="s">
        <v>597</v>
      </c>
      <c r="H230" t="s">
        <v>39</v>
      </c>
      <c r="I230" s="27">
        <v>49716</v>
      </c>
      <c r="J230" t="s">
        <v>27</v>
      </c>
      <c r="K230" t="s">
        <v>40</v>
      </c>
      <c r="L230">
        <v>56</v>
      </c>
      <c r="M230" s="29">
        <v>54455</v>
      </c>
      <c r="N230" s="29">
        <v>1004</v>
      </c>
      <c r="O230">
        <v>972.4</v>
      </c>
      <c r="P230">
        <v>954.5</v>
      </c>
      <c r="Q230">
        <v>95</v>
      </c>
      <c r="R230">
        <v>96.5</v>
      </c>
      <c r="S230" s="21"/>
      <c r="T230" s="21"/>
    </row>
    <row r="231" spans="2:20" x14ac:dyDescent="0.3">
      <c r="B231" s="27">
        <v>46072</v>
      </c>
      <c r="C231">
        <v>22674</v>
      </c>
      <c r="D231" s="28">
        <v>5362471</v>
      </c>
      <c r="E231" t="s">
        <v>42</v>
      </c>
      <c r="F231" t="s">
        <v>101</v>
      </c>
      <c r="G231" t="s">
        <v>102</v>
      </c>
      <c r="H231" t="s">
        <v>43</v>
      </c>
      <c r="I231" s="27">
        <v>49536</v>
      </c>
      <c r="J231" t="s">
        <v>44</v>
      </c>
      <c r="K231" t="s">
        <v>40</v>
      </c>
      <c r="L231">
        <v>40</v>
      </c>
      <c r="M231" s="29">
        <v>42506</v>
      </c>
      <c r="N231" s="29">
        <v>2007</v>
      </c>
      <c r="O231">
        <v>1062.7</v>
      </c>
      <c r="P231">
        <v>1012.5</v>
      </c>
      <c r="Q231">
        <v>6.45</v>
      </c>
      <c r="R231">
        <v>7.18</v>
      </c>
      <c r="S231" s="21"/>
      <c r="T231" s="21"/>
    </row>
    <row r="232" spans="2:20" x14ac:dyDescent="0.3">
      <c r="B232" s="27">
        <v>46072</v>
      </c>
      <c r="C232">
        <v>23410</v>
      </c>
      <c r="D232" s="28">
        <v>4101345</v>
      </c>
      <c r="E232" t="s">
        <v>35</v>
      </c>
      <c r="F232" t="s">
        <v>36</v>
      </c>
      <c r="G232" t="s">
        <v>703</v>
      </c>
      <c r="H232" t="s">
        <v>37</v>
      </c>
      <c r="I232" s="27">
        <v>48214</v>
      </c>
      <c r="J232" t="s">
        <v>27</v>
      </c>
      <c r="K232" t="s">
        <v>40</v>
      </c>
      <c r="L232">
        <v>164</v>
      </c>
      <c r="M232" s="29">
        <v>79428</v>
      </c>
      <c r="N232" s="29">
        <v>408</v>
      </c>
      <c r="O232">
        <v>484.3</v>
      </c>
      <c r="P232">
        <v>481.8</v>
      </c>
      <c r="Q232">
        <v>13.24375</v>
      </c>
      <c r="R232">
        <v>13.34375</v>
      </c>
      <c r="S232" s="21"/>
      <c r="T232" s="21"/>
    </row>
    <row r="233" spans="2:20" x14ac:dyDescent="0.3">
      <c r="B233" s="27">
        <v>46072</v>
      </c>
      <c r="C233">
        <v>23410</v>
      </c>
      <c r="D233" s="28">
        <v>7072263</v>
      </c>
      <c r="E233" t="s">
        <v>45</v>
      </c>
      <c r="F233" t="s">
        <v>119</v>
      </c>
      <c r="G233" t="s">
        <v>61</v>
      </c>
      <c r="H233" t="s">
        <v>39</v>
      </c>
      <c r="I233" s="27">
        <v>47651</v>
      </c>
      <c r="J233" t="s">
        <v>27</v>
      </c>
      <c r="K233" t="s">
        <v>40</v>
      </c>
      <c r="L233">
        <v>2</v>
      </c>
      <c r="M233" s="29">
        <v>21936</v>
      </c>
      <c r="N233" s="29">
        <v>29</v>
      </c>
      <c r="O233">
        <v>10967.9</v>
      </c>
      <c r="P233">
        <v>10953.6</v>
      </c>
      <c r="Q233">
        <v>93.75</v>
      </c>
      <c r="R233">
        <v>94</v>
      </c>
      <c r="S233" s="21"/>
      <c r="T233" s="21"/>
    </row>
    <row r="234" spans="2:20" x14ac:dyDescent="0.3">
      <c r="B234" s="27">
        <v>46072</v>
      </c>
      <c r="C234">
        <v>23410</v>
      </c>
      <c r="D234" s="28">
        <v>7072263</v>
      </c>
      <c r="E234" t="s">
        <v>35</v>
      </c>
      <c r="F234" t="s">
        <v>51</v>
      </c>
      <c r="G234" t="s">
        <v>97</v>
      </c>
      <c r="H234" t="s">
        <v>43</v>
      </c>
      <c r="I234" s="27">
        <v>48714</v>
      </c>
      <c r="J234" t="s">
        <v>44</v>
      </c>
      <c r="K234" t="s">
        <v>40</v>
      </c>
      <c r="L234">
        <v>4</v>
      </c>
      <c r="M234" s="29">
        <v>17669</v>
      </c>
      <c r="N234" s="29">
        <v>471</v>
      </c>
      <c r="O234">
        <v>4417.2</v>
      </c>
      <c r="P234">
        <v>4299.3999999999996</v>
      </c>
      <c r="Q234">
        <v>7.0670000000000002</v>
      </c>
      <c r="R234">
        <v>7.5670000000000002</v>
      </c>
      <c r="S234" s="21"/>
      <c r="T234" s="21"/>
    </row>
    <row r="235" spans="2:20" x14ac:dyDescent="0.3">
      <c r="B235" s="27">
        <v>46072</v>
      </c>
      <c r="C235">
        <v>37111</v>
      </c>
      <c r="D235" s="28">
        <v>2966768</v>
      </c>
      <c r="E235" t="s">
        <v>42</v>
      </c>
      <c r="F235" t="s">
        <v>704</v>
      </c>
      <c r="G235" t="s">
        <v>705</v>
      </c>
      <c r="H235" t="s">
        <v>43</v>
      </c>
      <c r="I235" s="27">
        <v>49202</v>
      </c>
      <c r="J235" t="s">
        <v>44</v>
      </c>
      <c r="K235" t="s">
        <v>41</v>
      </c>
      <c r="L235">
        <v>13</v>
      </c>
      <c r="M235" s="29">
        <v>-15377</v>
      </c>
      <c r="N235" s="29">
        <v>256</v>
      </c>
      <c r="O235">
        <v>1182.9000000000001</v>
      </c>
      <c r="P235">
        <v>1202.5999999999999</v>
      </c>
      <c r="Q235">
        <v>6.85</v>
      </c>
      <c r="R235">
        <v>6.6</v>
      </c>
      <c r="S235" s="21"/>
      <c r="T235" s="21"/>
    </row>
    <row r="236" spans="2:20" x14ac:dyDescent="0.3">
      <c r="B236" s="27">
        <v>46072</v>
      </c>
      <c r="C236">
        <v>37111</v>
      </c>
      <c r="D236" s="28">
        <v>2966768</v>
      </c>
      <c r="E236" t="s">
        <v>35</v>
      </c>
      <c r="F236" t="s">
        <v>51</v>
      </c>
      <c r="G236" t="s">
        <v>125</v>
      </c>
      <c r="H236" t="s">
        <v>43</v>
      </c>
      <c r="I236" s="27">
        <v>55015</v>
      </c>
      <c r="J236" t="s">
        <v>44</v>
      </c>
      <c r="K236" t="s">
        <v>41</v>
      </c>
      <c r="L236">
        <v>3</v>
      </c>
      <c r="M236" s="29">
        <v>-11735</v>
      </c>
      <c r="N236" s="29">
        <v>341</v>
      </c>
      <c r="O236">
        <v>3911.7</v>
      </c>
      <c r="P236">
        <v>4025.3</v>
      </c>
      <c r="Q236">
        <v>7.4130000000000003</v>
      </c>
      <c r="R236">
        <v>7.1630000000000003</v>
      </c>
      <c r="S236" s="21"/>
      <c r="T236" s="21"/>
    </row>
    <row r="237" spans="2:20" x14ac:dyDescent="0.3">
      <c r="B237" s="27">
        <v>46072</v>
      </c>
      <c r="C237">
        <v>37111</v>
      </c>
      <c r="D237" s="28">
        <v>5371339</v>
      </c>
      <c r="E237" t="s">
        <v>45</v>
      </c>
      <c r="F237" t="s">
        <v>706</v>
      </c>
      <c r="G237" t="s">
        <v>707</v>
      </c>
      <c r="H237" t="s">
        <v>39</v>
      </c>
      <c r="I237" s="27">
        <v>46552</v>
      </c>
      <c r="J237" t="s">
        <v>27</v>
      </c>
      <c r="K237" t="s">
        <v>40</v>
      </c>
      <c r="L237">
        <v>9</v>
      </c>
      <c r="M237" s="29">
        <v>9720</v>
      </c>
      <c r="N237" s="29">
        <v>30</v>
      </c>
      <c r="O237">
        <v>1080</v>
      </c>
      <c r="P237">
        <v>1076.5999999999999</v>
      </c>
      <c r="Q237">
        <v>100</v>
      </c>
      <c r="R237">
        <v>102</v>
      </c>
      <c r="S237" s="21"/>
      <c r="T237" s="21"/>
    </row>
    <row r="238" spans="2:20" x14ac:dyDescent="0.3">
      <c r="B238" s="27">
        <v>46072</v>
      </c>
      <c r="C238">
        <v>37111</v>
      </c>
      <c r="D238" s="28">
        <v>15431420</v>
      </c>
      <c r="E238" t="s">
        <v>45</v>
      </c>
      <c r="F238" t="s">
        <v>708</v>
      </c>
      <c r="G238" t="s">
        <v>694</v>
      </c>
      <c r="H238" t="s">
        <v>39</v>
      </c>
      <c r="I238" s="27">
        <v>46099</v>
      </c>
      <c r="J238" t="s">
        <v>27</v>
      </c>
      <c r="K238" t="s">
        <v>40</v>
      </c>
      <c r="L238">
        <v>9</v>
      </c>
      <c r="M238" s="29">
        <v>10071</v>
      </c>
      <c r="N238" s="29">
        <v>3</v>
      </c>
      <c r="O238">
        <v>1119</v>
      </c>
      <c r="P238">
        <v>1118.7</v>
      </c>
      <c r="Q238">
        <v>110</v>
      </c>
      <c r="R238">
        <v>112.5</v>
      </c>
      <c r="S238" s="21"/>
      <c r="T238" s="21"/>
    </row>
    <row r="239" spans="2:20" x14ac:dyDescent="0.3">
      <c r="B239" s="27">
        <v>46072</v>
      </c>
      <c r="C239">
        <v>37111</v>
      </c>
      <c r="D239" s="28">
        <v>15431420</v>
      </c>
      <c r="E239" t="s">
        <v>45</v>
      </c>
      <c r="F239" t="s">
        <v>709</v>
      </c>
      <c r="G239" t="s">
        <v>710</v>
      </c>
      <c r="H239" t="s">
        <v>39</v>
      </c>
      <c r="I239" s="27">
        <v>47532</v>
      </c>
      <c r="J239" t="s">
        <v>27</v>
      </c>
      <c r="K239" t="s">
        <v>40</v>
      </c>
      <c r="L239">
        <v>100</v>
      </c>
      <c r="M239" s="29">
        <v>100000</v>
      </c>
      <c r="N239" s="29">
        <v>955</v>
      </c>
      <c r="O239">
        <v>1000</v>
      </c>
      <c r="P239">
        <v>990.5</v>
      </c>
      <c r="Q239">
        <v>96</v>
      </c>
      <c r="R239">
        <v>98</v>
      </c>
      <c r="S239" s="21"/>
      <c r="T239" s="21"/>
    </row>
    <row r="240" spans="2:20" x14ac:dyDescent="0.3">
      <c r="B240" s="27">
        <v>46072</v>
      </c>
      <c r="C240">
        <v>37111</v>
      </c>
      <c r="D240" s="28">
        <v>15431420</v>
      </c>
      <c r="E240" t="s">
        <v>45</v>
      </c>
      <c r="F240" t="s">
        <v>596</v>
      </c>
      <c r="G240" t="s">
        <v>597</v>
      </c>
      <c r="H240" t="s">
        <v>39</v>
      </c>
      <c r="I240" s="27">
        <v>49716</v>
      </c>
      <c r="J240" t="s">
        <v>27</v>
      </c>
      <c r="K240" t="s">
        <v>40</v>
      </c>
      <c r="L240">
        <v>87</v>
      </c>
      <c r="M240" s="29">
        <v>83557</v>
      </c>
      <c r="N240" s="29">
        <v>517</v>
      </c>
      <c r="O240">
        <v>960.4</v>
      </c>
      <c r="P240">
        <v>954.5</v>
      </c>
      <c r="Q240">
        <v>96</v>
      </c>
      <c r="R240">
        <v>96.5</v>
      </c>
      <c r="S240" s="21"/>
      <c r="T240" s="21"/>
    </row>
    <row r="241" spans="2:20" x14ac:dyDescent="0.3">
      <c r="B241" s="27">
        <v>46072</v>
      </c>
      <c r="C241">
        <v>38517</v>
      </c>
      <c r="D241" s="28">
        <v>17863395</v>
      </c>
      <c r="E241" t="s">
        <v>35</v>
      </c>
      <c r="F241" t="s">
        <v>57</v>
      </c>
      <c r="G241" t="s">
        <v>63</v>
      </c>
      <c r="H241" t="s">
        <v>59</v>
      </c>
      <c r="I241" s="27">
        <v>46813</v>
      </c>
      <c r="J241" t="s">
        <v>27</v>
      </c>
      <c r="K241" t="s">
        <v>41</v>
      </c>
      <c r="L241">
        <v>1</v>
      </c>
      <c r="M241" s="29">
        <v>-18393</v>
      </c>
      <c r="N241" s="29">
        <v>4</v>
      </c>
      <c r="O241">
        <v>18393</v>
      </c>
      <c r="P241">
        <v>18396.8</v>
      </c>
      <c r="Q241">
        <v>6.6500000000000004E-2</v>
      </c>
      <c r="R241">
        <v>5.6500000000000002E-2</v>
      </c>
      <c r="S241" s="21"/>
      <c r="T241" s="21"/>
    </row>
    <row r="242" spans="2:20" x14ac:dyDescent="0.3">
      <c r="B242" s="27">
        <v>46072</v>
      </c>
      <c r="C242">
        <v>68542</v>
      </c>
      <c r="D242" s="28">
        <v>97443</v>
      </c>
      <c r="E242" t="s">
        <v>45</v>
      </c>
      <c r="F242" t="s">
        <v>711</v>
      </c>
      <c r="G242" t="s">
        <v>599</v>
      </c>
      <c r="H242" t="s">
        <v>39</v>
      </c>
      <c r="I242" s="27">
        <v>46437</v>
      </c>
      <c r="J242" t="s">
        <v>27</v>
      </c>
      <c r="K242" t="s">
        <v>40</v>
      </c>
      <c r="L242">
        <v>11</v>
      </c>
      <c r="M242" s="29">
        <v>11000</v>
      </c>
      <c r="N242" s="29">
        <v>40</v>
      </c>
      <c r="O242">
        <v>1000</v>
      </c>
      <c r="P242">
        <v>996.3</v>
      </c>
      <c r="Q242">
        <v>90</v>
      </c>
      <c r="R242">
        <v>93</v>
      </c>
      <c r="S242" s="21"/>
      <c r="T242" s="21"/>
    </row>
    <row r="243" spans="2:20" x14ac:dyDescent="0.3">
      <c r="B243" s="27">
        <v>46072</v>
      </c>
      <c r="C243">
        <v>68542</v>
      </c>
      <c r="D243" s="28">
        <v>97443</v>
      </c>
      <c r="E243" t="s">
        <v>45</v>
      </c>
      <c r="F243" t="s">
        <v>712</v>
      </c>
      <c r="G243" t="s">
        <v>713</v>
      </c>
      <c r="H243" t="s">
        <v>39</v>
      </c>
      <c r="I243" s="27">
        <v>46251</v>
      </c>
      <c r="J243" t="s">
        <v>27</v>
      </c>
      <c r="K243" t="s">
        <v>40</v>
      </c>
      <c r="L243">
        <v>2</v>
      </c>
      <c r="M243" s="29">
        <v>3356</v>
      </c>
      <c r="N243" s="29">
        <v>21</v>
      </c>
      <c r="O243">
        <v>1678.1</v>
      </c>
      <c r="P243">
        <v>1667.5</v>
      </c>
      <c r="Q243">
        <v>130</v>
      </c>
      <c r="R243">
        <v>140</v>
      </c>
      <c r="S243" s="21"/>
      <c r="T243" s="21"/>
    </row>
    <row r="244" spans="2:20" x14ac:dyDescent="0.3">
      <c r="B244" s="27">
        <v>46072</v>
      </c>
      <c r="C244">
        <v>68542</v>
      </c>
      <c r="D244" s="28">
        <v>97443</v>
      </c>
      <c r="E244" t="s">
        <v>45</v>
      </c>
      <c r="F244" t="s">
        <v>714</v>
      </c>
      <c r="G244" t="s">
        <v>715</v>
      </c>
      <c r="H244" t="s">
        <v>39</v>
      </c>
      <c r="I244" s="27">
        <v>46259</v>
      </c>
      <c r="J244" t="s">
        <v>27</v>
      </c>
      <c r="K244" t="s">
        <v>40</v>
      </c>
      <c r="L244">
        <v>1</v>
      </c>
      <c r="M244" s="29">
        <v>1655</v>
      </c>
      <c r="N244" s="29">
        <v>10</v>
      </c>
      <c r="O244">
        <v>1654.8</v>
      </c>
      <c r="P244">
        <v>1644.9</v>
      </c>
      <c r="Q244">
        <v>119.5</v>
      </c>
      <c r="R244">
        <v>128.5</v>
      </c>
      <c r="S244" s="21"/>
      <c r="T244" s="21"/>
    </row>
    <row r="245" spans="2:20" x14ac:dyDescent="0.3">
      <c r="B245" s="27">
        <v>46072</v>
      </c>
      <c r="C245">
        <v>68542</v>
      </c>
      <c r="D245" s="28">
        <v>97443</v>
      </c>
      <c r="E245" t="s">
        <v>45</v>
      </c>
      <c r="F245" t="s">
        <v>716</v>
      </c>
      <c r="G245" t="s">
        <v>717</v>
      </c>
      <c r="H245" t="s">
        <v>39</v>
      </c>
      <c r="I245" s="27">
        <v>46262</v>
      </c>
      <c r="J245" t="s">
        <v>27</v>
      </c>
      <c r="K245" t="s">
        <v>40</v>
      </c>
      <c r="L245">
        <v>3</v>
      </c>
      <c r="M245" s="29">
        <v>4262</v>
      </c>
      <c r="N245" s="29">
        <v>26</v>
      </c>
      <c r="O245">
        <v>1420.7</v>
      </c>
      <c r="P245">
        <v>1412</v>
      </c>
      <c r="Q245">
        <v>119.5</v>
      </c>
      <c r="R245">
        <v>128.5</v>
      </c>
      <c r="S245" s="21"/>
      <c r="T245" s="21"/>
    </row>
    <row r="246" spans="2:20" x14ac:dyDescent="0.3">
      <c r="B246" s="27">
        <v>46072</v>
      </c>
      <c r="C246">
        <v>68542</v>
      </c>
      <c r="D246" s="28">
        <v>97443</v>
      </c>
      <c r="E246" t="s">
        <v>45</v>
      </c>
      <c r="F246" t="s">
        <v>718</v>
      </c>
      <c r="G246" t="s">
        <v>719</v>
      </c>
      <c r="H246" t="s">
        <v>39</v>
      </c>
      <c r="I246" s="27">
        <v>46262</v>
      </c>
      <c r="J246" t="s">
        <v>27</v>
      </c>
      <c r="K246" t="s">
        <v>40</v>
      </c>
      <c r="L246">
        <v>1</v>
      </c>
      <c r="M246" s="29">
        <v>1421</v>
      </c>
      <c r="N246" s="29">
        <v>9</v>
      </c>
      <c r="O246">
        <v>1420.7</v>
      </c>
      <c r="P246">
        <v>1412</v>
      </c>
      <c r="Q246">
        <v>119.5</v>
      </c>
      <c r="R246">
        <v>128.5</v>
      </c>
      <c r="S246" s="21"/>
      <c r="T246" s="21"/>
    </row>
    <row r="247" spans="2:20" x14ac:dyDescent="0.3">
      <c r="B247" s="27">
        <v>46072</v>
      </c>
      <c r="C247">
        <v>68710</v>
      </c>
      <c r="D247" s="28">
        <v>3784986</v>
      </c>
      <c r="E247" t="s">
        <v>45</v>
      </c>
      <c r="F247" t="s">
        <v>720</v>
      </c>
      <c r="G247" t="s">
        <v>599</v>
      </c>
      <c r="H247" t="s">
        <v>37</v>
      </c>
      <c r="I247" s="27">
        <v>46437</v>
      </c>
      <c r="J247" t="s">
        <v>27</v>
      </c>
      <c r="K247" t="s">
        <v>40</v>
      </c>
      <c r="L247">
        <v>40</v>
      </c>
      <c r="M247" s="29">
        <v>40000</v>
      </c>
      <c r="N247" s="29">
        <v>141</v>
      </c>
      <c r="O247">
        <v>1000</v>
      </c>
      <c r="P247">
        <v>996.5</v>
      </c>
      <c r="Q247">
        <v>11.46</v>
      </c>
      <c r="R247">
        <v>11.86</v>
      </c>
      <c r="S247" s="21"/>
      <c r="T247" s="21"/>
    </row>
    <row r="248" spans="2:20" x14ac:dyDescent="0.3">
      <c r="B248" s="27">
        <v>46072</v>
      </c>
      <c r="C248">
        <v>69519</v>
      </c>
      <c r="D248" s="28">
        <v>3242081</v>
      </c>
      <c r="E248" t="s">
        <v>35</v>
      </c>
      <c r="F248" t="s">
        <v>51</v>
      </c>
      <c r="G248" t="s">
        <v>69</v>
      </c>
      <c r="H248" t="s">
        <v>43</v>
      </c>
      <c r="I248" s="27">
        <v>46980</v>
      </c>
      <c r="J248" t="s">
        <v>44</v>
      </c>
      <c r="K248" t="s">
        <v>40</v>
      </c>
      <c r="L248">
        <v>14</v>
      </c>
      <c r="M248" s="29">
        <v>62767</v>
      </c>
      <c r="N248" s="29">
        <v>569</v>
      </c>
      <c r="O248">
        <v>4483.3999999999996</v>
      </c>
      <c r="P248">
        <v>4442.7</v>
      </c>
      <c r="Q248">
        <v>7.26</v>
      </c>
      <c r="R248">
        <v>7.68</v>
      </c>
      <c r="S248" s="21"/>
      <c r="T248" s="21"/>
    </row>
    <row r="249" spans="2:20" x14ac:dyDescent="0.3">
      <c r="B249" s="27">
        <v>46072</v>
      </c>
      <c r="C249">
        <v>69579</v>
      </c>
      <c r="D249" s="28">
        <v>2336713</v>
      </c>
      <c r="E249" t="s">
        <v>45</v>
      </c>
      <c r="F249" t="s">
        <v>721</v>
      </c>
      <c r="G249" t="s">
        <v>710</v>
      </c>
      <c r="H249" t="s">
        <v>39</v>
      </c>
      <c r="I249" s="27">
        <v>47532</v>
      </c>
      <c r="J249" t="s">
        <v>27</v>
      </c>
      <c r="K249" t="s">
        <v>40</v>
      </c>
      <c r="L249">
        <v>14</v>
      </c>
      <c r="M249" s="29">
        <v>14000</v>
      </c>
      <c r="N249" s="29">
        <v>332</v>
      </c>
      <c r="O249">
        <v>1000</v>
      </c>
      <c r="P249">
        <v>976.3</v>
      </c>
      <c r="Q249">
        <v>93</v>
      </c>
      <c r="R249">
        <v>98</v>
      </c>
      <c r="S249" s="21"/>
      <c r="T249" s="21"/>
    </row>
    <row r="250" spans="2:20" x14ac:dyDescent="0.3">
      <c r="B250" s="27">
        <v>46072</v>
      </c>
      <c r="C250">
        <v>69579</v>
      </c>
      <c r="D250" s="28">
        <v>2596840</v>
      </c>
      <c r="E250" t="s">
        <v>45</v>
      </c>
      <c r="F250" t="s">
        <v>721</v>
      </c>
      <c r="G250" t="s">
        <v>710</v>
      </c>
      <c r="H250" t="s">
        <v>39</v>
      </c>
      <c r="I250" s="27">
        <v>47532</v>
      </c>
      <c r="J250" t="s">
        <v>27</v>
      </c>
      <c r="K250" t="s">
        <v>40</v>
      </c>
      <c r="L250">
        <v>10</v>
      </c>
      <c r="M250" s="29">
        <v>10000</v>
      </c>
      <c r="N250" s="29">
        <v>237</v>
      </c>
      <c r="O250">
        <v>1000</v>
      </c>
      <c r="P250">
        <v>976.3</v>
      </c>
      <c r="Q250">
        <v>93</v>
      </c>
      <c r="R250">
        <v>98</v>
      </c>
      <c r="S250" s="21"/>
      <c r="T250" s="21"/>
    </row>
    <row r="251" spans="2:20" x14ac:dyDescent="0.3">
      <c r="B251" s="27">
        <v>46072</v>
      </c>
      <c r="C251">
        <v>69579</v>
      </c>
      <c r="D251" s="28">
        <v>4832163</v>
      </c>
      <c r="E251" t="s">
        <v>45</v>
      </c>
      <c r="F251" t="s">
        <v>722</v>
      </c>
      <c r="G251" t="s">
        <v>103</v>
      </c>
      <c r="H251" t="s">
        <v>39</v>
      </c>
      <c r="I251" s="27">
        <v>47088</v>
      </c>
      <c r="J251" t="s">
        <v>27</v>
      </c>
      <c r="K251" t="s">
        <v>40</v>
      </c>
      <c r="L251">
        <v>10</v>
      </c>
      <c r="M251" s="29">
        <v>10286</v>
      </c>
      <c r="N251" s="29">
        <v>101</v>
      </c>
      <c r="O251">
        <v>1028.5999999999999</v>
      </c>
      <c r="P251">
        <v>1018.5</v>
      </c>
      <c r="Q251">
        <v>96.5</v>
      </c>
      <c r="R251">
        <v>99.5</v>
      </c>
      <c r="S251" s="21"/>
      <c r="T251" s="21"/>
    </row>
    <row r="252" spans="2:20" x14ac:dyDescent="0.3">
      <c r="B252" s="27">
        <v>46072</v>
      </c>
      <c r="C252">
        <v>71997</v>
      </c>
      <c r="D252" s="28">
        <v>15457915</v>
      </c>
      <c r="E252" t="s">
        <v>35</v>
      </c>
      <c r="F252" t="s">
        <v>57</v>
      </c>
      <c r="G252" t="s">
        <v>650</v>
      </c>
      <c r="H252" t="s">
        <v>59</v>
      </c>
      <c r="I252" s="27">
        <v>47908</v>
      </c>
      <c r="J252" t="s">
        <v>27</v>
      </c>
      <c r="K252" t="s">
        <v>40</v>
      </c>
      <c r="L252">
        <v>10</v>
      </c>
      <c r="M252" s="29">
        <v>183755</v>
      </c>
      <c r="N252" s="29">
        <v>457</v>
      </c>
      <c r="O252">
        <v>18375.5</v>
      </c>
      <c r="P252">
        <v>18329.8</v>
      </c>
      <c r="Q252">
        <v>4.5999999999999999E-2</v>
      </c>
      <c r="R252">
        <v>9.6000000000000002E-2</v>
      </c>
      <c r="S252" s="21"/>
      <c r="T252" s="21"/>
    </row>
    <row r="253" spans="2:20" x14ac:dyDescent="0.3">
      <c r="B253" s="27">
        <v>46072</v>
      </c>
      <c r="C253">
        <v>96553</v>
      </c>
      <c r="D253" s="28">
        <v>3156479</v>
      </c>
      <c r="E253" t="s">
        <v>45</v>
      </c>
      <c r="F253" t="s">
        <v>723</v>
      </c>
      <c r="G253" t="s">
        <v>658</v>
      </c>
      <c r="H253" t="s">
        <v>39</v>
      </c>
      <c r="I253" s="27">
        <v>47168</v>
      </c>
      <c r="J253" t="s">
        <v>27</v>
      </c>
      <c r="K253" t="s">
        <v>40</v>
      </c>
      <c r="L253">
        <v>15</v>
      </c>
      <c r="M253" s="29">
        <v>15000</v>
      </c>
      <c r="N253" s="29">
        <v>158</v>
      </c>
      <c r="O253">
        <v>1000</v>
      </c>
      <c r="P253">
        <v>989.5</v>
      </c>
      <c r="Q253">
        <v>92</v>
      </c>
      <c r="R253">
        <v>95</v>
      </c>
      <c r="S253" s="21"/>
      <c r="T253" s="21"/>
    </row>
    <row r="254" spans="2:20" x14ac:dyDescent="0.3">
      <c r="B254" s="27">
        <v>46073</v>
      </c>
      <c r="C254">
        <v>22674</v>
      </c>
      <c r="D254" s="28">
        <v>5709345</v>
      </c>
      <c r="E254" t="s">
        <v>45</v>
      </c>
      <c r="F254" t="s">
        <v>114</v>
      </c>
      <c r="G254" t="s">
        <v>115</v>
      </c>
      <c r="H254" t="s">
        <v>39</v>
      </c>
      <c r="I254" s="27">
        <v>47638</v>
      </c>
      <c r="J254" t="s">
        <v>27</v>
      </c>
      <c r="K254" t="s">
        <v>41</v>
      </c>
      <c r="L254">
        <v>11</v>
      </c>
      <c r="M254" s="29">
        <v>-10680</v>
      </c>
      <c r="N254" s="29">
        <v>139</v>
      </c>
      <c r="O254">
        <v>970.9</v>
      </c>
      <c r="P254">
        <v>983.5</v>
      </c>
      <c r="Q254">
        <v>116.08</v>
      </c>
      <c r="R254">
        <v>113.58</v>
      </c>
      <c r="S254" s="21"/>
      <c r="T254" s="21"/>
    </row>
    <row r="255" spans="2:20" x14ac:dyDescent="0.3">
      <c r="B255" s="27">
        <v>46073</v>
      </c>
      <c r="C255">
        <v>23410</v>
      </c>
      <c r="D255" s="28">
        <v>2256879</v>
      </c>
      <c r="E255" t="s">
        <v>45</v>
      </c>
      <c r="F255" t="s">
        <v>724</v>
      </c>
      <c r="G255" t="s">
        <v>585</v>
      </c>
      <c r="H255" t="s">
        <v>39</v>
      </c>
      <c r="I255" s="27">
        <v>47168</v>
      </c>
      <c r="J255" t="s">
        <v>27</v>
      </c>
      <c r="K255" t="s">
        <v>40</v>
      </c>
      <c r="L255">
        <v>51</v>
      </c>
      <c r="M255" s="29">
        <v>51000</v>
      </c>
      <c r="N255" s="29">
        <v>360</v>
      </c>
      <c r="O255">
        <v>1000</v>
      </c>
      <c r="P255">
        <v>992.9</v>
      </c>
      <c r="Q255">
        <v>93</v>
      </c>
      <c r="R255">
        <v>95</v>
      </c>
      <c r="S255" s="21"/>
      <c r="T255" s="21"/>
    </row>
    <row r="256" spans="2:20" x14ac:dyDescent="0.3">
      <c r="B256" s="27">
        <v>46073</v>
      </c>
      <c r="C256">
        <v>23410</v>
      </c>
      <c r="D256" s="28">
        <v>2256879</v>
      </c>
      <c r="E256" t="s">
        <v>35</v>
      </c>
      <c r="F256" t="s">
        <v>51</v>
      </c>
      <c r="G256" t="s">
        <v>54</v>
      </c>
      <c r="H256" t="s">
        <v>43</v>
      </c>
      <c r="I256" s="27">
        <v>48441</v>
      </c>
      <c r="J256" t="s">
        <v>44</v>
      </c>
      <c r="K256" t="s">
        <v>40</v>
      </c>
      <c r="L256">
        <v>35</v>
      </c>
      <c r="M256" s="29">
        <v>152963</v>
      </c>
      <c r="N256" s="29">
        <v>3799</v>
      </c>
      <c r="O256">
        <v>4370.3999999999996</v>
      </c>
      <c r="P256">
        <v>4261.8</v>
      </c>
      <c r="Q256">
        <v>7.0750000000000002</v>
      </c>
      <c r="R256">
        <v>7.5750000000000002</v>
      </c>
      <c r="S256" s="21"/>
      <c r="T256" s="21"/>
    </row>
    <row r="257" spans="2:20" x14ac:dyDescent="0.3">
      <c r="B257" s="27">
        <v>46073</v>
      </c>
      <c r="C257">
        <v>23410</v>
      </c>
      <c r="D257" s="28">
        <v>2256879</v>
      </c>
      <c r="E257" t="s">
        <v>35</v>
      </c>
      <c r="F257" t="s">
        <v>51</v>
      </c>
      <c r="G257" t="s">
        <v>52</v>
      </c>
      <c r="H257" t="s">
        <v>43</v>
      </c>
      <c r="I257" s="27">
        <v>49444</v>
      </c>
      <c r="J257" t="s">
        <v>44</v>
      </c>
      <c r="K257" t="s">
        <v>40</v>
      </c>
      <c r="L257">
        <v>36</v>
      </c>
      <c r="M257" s="29">
        <v>157629</v>
      </c>
      <c r="N257" s="29">
        <v>4251</v>
      </c>
      <c r="O257">
        <v>4378.6000000000004</v>
      </c>
      <c r="P257">
        <v>4260.5</v>
      </c>
      <c r="Q257">
        <v>7.0350000000000001</v>
      </c>
      <c r="R257">
        <v>7.4550000000000001</v>
      </c>
      <c r="S257" s="21"/>
      <c r="T257" s="21"/>
    </row>
    <row r="258" spans="2:20" x14ac:dyDescent="0.3">
      <c r="B258" s="27">
        <v>46073</v>
      </c>
      <c r="C258">
        <v>23410</v>
      </c>
      <c r="D258" s="28">
        <v>4669825</v>
      </c>
      <c r="E258" t="s">
        <v>35</v>
      </c>
      <c r="F258" t="s">
        <v>51</v>
      </c>
      <c r="G258" t="s">
        <v>54</v>
      </c>
      <c r="H258" t="s">
        <v>43</v>
      </c>
      <c r="I258" s="27">
        <v>48441</v>
      </c>
      <c r="J258" t="s">
        <v>44</v>
      </c>
      <c r="K258" t="s">
        <v>40</v>
      </c>
      <c r="L258">
        <v>11</v>
      </c>
      <c r="M258" s="29">
        <v>48074</v>
      </c>
      <c r="N258" s="29">
        <v>1194</v>
      </c>
      <c r="O258">
        <v>4370.3999999999996</v>
      </c>
      <c r="P258">
        <v>4261.8</v>
      </c>
      <c r="Q258">
        <v>7.0750000000000002</v>
      </c>
      <c r="R258">
        <v>7.5750000000000002</v>
      </c>
      <c r="S258" s="21"/>
      <c r="T258" s="21"/>
    </row>
    <row r="259" spans="2:20" x14ac:dyDescent="0.3">
      <c r="B259" s="27">
        <v>46073</v>
      </c>
      <c r="C259">
        <v>23410</v>
      </c>
      <c r="D259" s="28">
        <v>14546814</v>
      </c>
      <c r="E259" t="s">
        <v>35</v>
      </c>
      <c r="F259" t="s">
        <v>36</v>
      </c>
      <c r="G259" t="s">
        <v>703</v>
      </c>
      <c r="H259" t="s">
        <v>37</v>
      </c>
      <c r="I259" s="27">
        <v>48214</v>
      </c>
      <c r="J259" t="s">
        <v>27</v>
      </c>
      <c r="K259" t="s">
        <v>40</v>
      </c>
      <c r="L259">
        <v>22</v>
      </c>
      <c r="M259" s="29">
        <v>10707</v>
      </c>
      <c r="N259" s="29">
        <v>55</v>
      </c>
      <c r="O259">
        <v>486.7</v>
      </c>
      <c r="P259">
        <v>484.2</v>
      </c>
      <c r="Q259">
        <v>13.15875</v>
      </c>
      <c r="R259">
        <v>13.258749999999999</v>
      </c>
      <c r="S259" s="21"/>
      <c r="T259" s="21"/>
    </row>
    <row r="260" spans="2:20" x14ac:dyDescent="0.3">
      <c r="B260" s="27">
        <v>46073</v>
      </c>
      <c r="C260">
        <v>25104</v>
      </c>
      <c r="D260" s="28">
        <v>401402</v>
      </c>
      <c r="E260" t="s">
        <v>45</v>
      </c>
      <c r="F260" t="s">
        <v>725</v>
      </c>
      <c r="G260" t="s">
        <v>726</v>
      </c>
      <c r="H260" t="s">
        <v>37</v>
      </c>
      <c r="I260" s="27">
        <v>47168</v>
      </c>
      <c r="J260" t="s">
        <v>27</v>
      </c>
      <c r="K260" t="s">
        <v>40</v>
      </c>
      <c r="L260">
        <v>50</v>
      </c>
      <c r="M260" s="29">
        <v>50000</v>
      </c>
      <c r="N260" s="29">
        <v>649</v>
      </c>
      <c r="O260">
        <v>1000</v>
      </c>
      <c r="P260">
        <v>987</v>
      </c>
      <c r="Q260">
        <v>13.15</v>
      </c>
      <c r="R260">
        <v>13.65</v>
      </c>
      <c r="S260" s="21"/>
      <c r="T260" s="21"/>
    </row>
    <row r="261" spans="2:20" x14ac:dyDescent="0.3">
      <c r="B261" s="27">
        <v>46073</v>
      </c>
      <c r="C261">
        <v>25104</v>
      </c>
      <c r="D261" s="28">
        <v>3786524</v>
      </c>
      <c r="E261" t="s">
        <v>45</v>
      </c>
      <c r="F261" t="s">
        <v>727</v>
      </c>
      <c r="G261" t="s">
        <v>86</v>
      </c>
      <c r="H261" t="s">
        <v>39</v>
      </c>
      <c r="I261" s="27">
        <v>47060</v>
      </c>
      <c r="J261" t="s">
        <v>27</v>
      </c>
      <c r="K261" t="s">
        <v>40</v>
      </c>
      <c r="L261">
        <v>4</v>
      </c>
      <c r="M261" s="29">
        <v>4155</v>
      </c>
      <c r="N261" s="29">
        <v>40</v>
      </c>
      <c r="O261">
        <v>1038.8</v>
      </c>
      <c r="P261">
        <v>1028.8</v>
      </c>
      <c r="Q261">
        <v>94.5</v>
      </c>
      <c r="R261">
        <v>97.5</v>
      </c>
      <c r="S261" s="21"/>
      <c r="T261" s="21"/>
    </row>
    <row r="262" spans="2:20" x14ac:dyDescent="0.3">
      <c r="B262" s="27">
        <v>46073</v>
      </c>
      <c r="C262">
        <v>40901</v>
      </c>
      <c r="D262" s="28">
        <v>7647529</v>
      </c>
      <c r="E262" t="s">
        <v>45</v>
      </c>
      <c r="F262" t="s">
        <v>679</v>
      </c>
      <c r="G262" t="s">
        <v>82</v>
      </c>
      <c r="H262" t="s">
        <v>39</v>
      </c>
      <c r="I262" s="27">
        <v>47575</v>
      </c>
      <c r="J262" t="s">
        <v>27</v>
      </c>
      <c r="K262" t="s">
        <v>41</v>
      </c>
      <c r="L262">
        <v>4</v>
      </c>
      <c r="M262" s="29">
        <v>-3996</v>
      </c>
      <c r="N262" s="29">
        <v>50</v>
      </c>
      <c r="O262">
        <v>999</v>
      </c>
      <c r="P262">
        <v>1011.5</v>
      </c>
      <c r="Q262">
        <v>116.95</v>
      </c>
      <c r="R262">
        <v>114.45</v>
      </c>
      <c r="S262" s="21"/>
      <c r="T262" s="21"/>
    </row>
    <row r="263" spans="2:20" x14ac:dyDescent="0.3">
      <c r="B263" s="27">
        <v>46073</v>
      </c>
      <c r="C263">
        <v>69519</v>
      </c>
      <c r="D263" s="28">
        <v>570009</v>
      </c>
      <c r="E263" t="s">
        <v>35</v>
      </c>
      <c r="F263" t="s">
        <v>51</v>
      </c>
      <c r="G263" t="s">
        <v>52</v>
      </c>
      <c r="H263" t="s">
        <v>43</v>
      </c>
      <c r="I263" s="27">
        <v>49444</v>
      </c>
      <c r="J263" t="s">
        <v>44</v>
      </c>
      <c r="K263" t="s">
        <v>40</v>
      </c>
      <c r="L263">
        <v>4</v>
      </c>
      <c r="M263" s="29">
        <v>17153</v>
      </c>
      <c r="N263" s="29">
        <v>111</v>
      </c>
      <c r="O263">
        <v>4288.2</v>
      </c>
      <c r="P263">
        <v>4260.5</v>
      </c>
      <c r="Q263">
        <v>7.3550000000000004</v>
      </c>
      <c r="R263">
        <v>7.4550000000000001</v>
      </c>
      <c r="S263" s="21"/>
      <c r="T263" s="21"/>
    </row>
    <row r="264" spans="2:20" x14ac:dyDescent="0.3">
      <c r="B264" s="27">
        <v>46073</v>
      </c>
      <c r="C264">
        <v>69519</v>
      </c>
      <c r="D264" s="28">
        <v>6382914</v>
      </c>
      <c r="E264" t="s">
        <v>45</v>
      </c>
      <c r="F264" t="s">
        <v>728</v>
      </c>
      <c r="G264" t="s">
        <v>729</v>
      </c>
      <c r="H264" t="s">
        <v>39</v>
      </c>
      <c r="I264" s="27">
        <v>46748</v>
      </c>
      <c r="J264" t="s">
        <v>27</v>
      </c>
      <c r="K264" t="s">
        <v>40</v>
      </c>
      <c r="L264">
        <v>21</v>
      </c>
      <c r="M264" s="29">
        <v>27608</v>
      </c>
      <c r="N264" s="29">
        <v>180</v>
      </c>
      <c r="O264">
        <v>1314.7</v>
      </c>
      <c r="P264">
        <v>1306.0999999999999</v>
      </c>
      <c r="Q264">
        <v>92</v>
      </c>
      <c r="R264">
        <v>95</v>
      </c>
      <c r="S264" s="21"/>
      <c r="T264" s="21"/>
    </row>
    <row r="265" spans="2:20" x14ac:dyDescent="0.3">
      <c r="B265" s="27">
        <v>46073</v>
      </c>
      <c r="C265">
        <v>74304</v>
      </c>
      <c r="D265" s="28">
        <v>18871519</v>
      </c>
      <c r="E265" t="s">
        <v>45</v>
      </c>
      <c r="F265" t="s">
        <v>730</v>
      </c>
      <c r="G265" t="s">
        <v>591</v>
      </c>
      <c r="H265" t="s">
        <v>37</v>
      </c>
      <c r="I265" s="27">
        <v>47168</v>
      </c>
      <c r="J265" t="s">
        <v>27</v>
      </c>
      <c r="K265" t="s">
        <v>40</v>
      </c>
      <c r="L265">
        <v>15</v>
      </c>
      <c r="M265" s="29">
        <v>15000</v>
      </c>
      <c r="N265" s="29">
        <v>194</v>
      </c>
      <c r="O265">
        <v>1000</v>
      </c>
      <c r="P265">
        <v>987.1</v>
      </c>
      <c r="Q265">
        <v>13.51</v>
      </c>
      <c r="R265">
        <v>14.01</v>
      </c>
      <c r="S265" s="21"/>
      <c r="T265" s="21"/>
    </row>
    <row r="266" spans="2:20" x14ac:dyDescent="0.3">
      <c r="B266" s="27">
        <v>46073</v>
      </c>
      <c r="C266">
        <v>96553</v>
      </c>
      <c r="D266" s="28">
        <v>4221523</v>
      </c>
      <c r="E266" t="s">
        <v>45</v>
      </c>
      <c r="F266" t="s">
        <v>724</v>
      </c>
      <c r="G266" t="s">
        <v>585</v>
      </c>
      <c r="H266" t="s">
        <v>39</v>
      </c>
      <c r="I266" s="27">
        <v>47168</v>
      </c>
      <c r="J266" t="s">
        <v>27</v>
      </c>
      <c r="K266" t="s">
        <v>40</v>
      </c>
      <c r="L266">
        <v>20</v>
      </c>
      <c r="M266" s="29">
        <v>20000</v>
      </c>
      <c r="N266" s="29">
        <v>141</v>
      </c>
      <c r="O266">
        <v>1000</v>
      </c>
      <c r="P266">
        <v>992.9</v>
      </c>
      <c r="Q266">
        <v>93</v>
      </c>
      <c r="R266">
        <v>95</v>
      </c>
      <c r="S266" s="21"/>
      <c r="T266" s="21"/>
    </row>
    <row r="267" spans="2:20" x14ac:dyDescent="0.3">
      <c r="B267" s="27">
        <v>46073</v>
      </c>
      <c r="C267">
        <v>96553</v>
      </c>
      <c r="D267" s="28">
        <v>4894006</v>
      </c>
      <c r="E267" t="s">
        <v>45</v>
      </c>
      <c r="F267" t="s">
        <v>731</v>
      </c>
      <c r="G267" t="s">
        <v>732</v>
      </c>
      <c r="H267" t="s">
        <v>37</v>
      </c>
      <c r="I267" s="27">
        <v>47184</v>
      </c>
      <c r="J267" t="s">
        <v>27</v>
      </c>
      <c r="K267" t="s">
        <v>40</v>
      </c>
      <c r="L267">
        <v>256</v>
      </c>
      <c r="M267" s="29">
        <v>371</v>
      </c>
      <c r="N267" s="29">
        <v>9</v>
      </c>
      <c r="O267">
        <v>1.4</v>
      </c>
      <c r="P267">
        <v>1.4</v>
      </c>
      <c r="Q267">
        <v>13.95</v>
      </c>
      <c r="R267">
        <v>14.85</v>
      </c>
      <c r="S267" s="21"/>
      <c r="T267" s="21"/>
    </row>
    <row r="268" spans="2:20" x14ac:dyDescent="0.3">
      <c r="B268" s="27">
        <v>46073</v>
      </c>
      <c r="C268">
        <v>96553</v>
      </c>
      <c r="D268" s="28">
        <v>4894006</v>
      </c>
      <c r="E268" t="s">
        <v>45</v>
      </c>
      <c r="F268" t="s">
        <v>733</v>
      </c>
      <c r="G268" t="s">
        <v>734</v>
      </c>
      <c r="H268" t="s">
        <v>37</v>
      </c>
      <c r="I268" s="27">
        <v>46174</v>
      </c>
      <c r="J268" t="s">
        <v>27</v>
      </c>
      <c r="K268" t="s">
        <v>40</v>
      </c>
      <c r="L268">
        <v>256</v>
      </c>
      <c r="M268" s="29">
        <v>456</v>
      </c>
      <c r="N268" s="29">
        <v>1</v>
      </c>
      <c r="O268">
        <v>1.8</v>
      </c>
      <c r="P268">
        <v>1.8</v>
      </c>
      <c r="Q268">
        <v>15.5</v>
      </c>
      <c r="R268">
        <v>16.5</v>
      </c>
      <c r="S268" s="21"/>
      <c r="T268" s="21"/>
    </row>
    <row r="269" spans="2:20" x14ac:dyDescent="0.3">
      <c r="B269" s="27">
        <v>46073</v>
      </c>
      <c r="C269">
        <v>96553</v>
      </c>
      <c r="D269" s="28">
        <v>18453692</v>
      </c>
      <c r="E269" t="s">
        <v>45</v>
      </c>
      <c r="F269" t="s">
        <v>724</v>
      </c>
      <c r="G269" t="s">
        <v>585</v>
      </c>
      <c r="H269" t="s">
        <v>39</v>
      </c>
      <c r="I269" s="27">
        <v>47168</v>
      </c>
      <c r="J269" t="s">
        <v>27</v>
      </c>
      <c r="K269" t="s">
        <v>40</v>
      </c>
      <c r="L269">
        <v>8</v>
      </c>
      <c r="M269" s="29">
        <v>8000</v>
      </c>
      <c r="N269" s="29">
        <v>57</v>
      </c>
      <c r="O269">
        <v>1000</v>
      </c>
      <c r="P269">
        <v>992.9</v>
      </c>
      <c r="Q269">
        <v>93</v>
      </c>
      <c r="R269">
        <v>95</v>
      </c>
      <c r="S269" s="21"/>
      <c r="T269" s="21"/>
    </row>
    <row r="270" spans="2:20" x14ac:dyDescent="0.3">
      <c r="B270" s="27">
        <v>46076</v>
      </c>
      <c r="C270">
        <v>22103</v>
      </c>
      <c r="D270" s="28">
        <v>7231922</v>
      </c>
      <c r="E270" t="s">
        <v>42</v>
      </c>
      <c r="F270" t="s">
        <v>735</v>
      </c>
      <c r="G270" t="s">
        <v>736</v>
      </c>
      <c r="H270" t="s">
        <v>43</v>
      </c>
      <c r="I270" s="27">
        <v>47984</v>
      </c>
      <c r="J270" t="s">
        <v>44</v>
      </c>
      <c r="K270" t="s">
        <v>41</v>
      </c>
      <c r="L270">
        <v>1</v>
      </c>
      <c r="M270" s="29">
        <v>-1004</v>
      </c>
      <c r="N270" s="29">
        <v>8</v>
      </c>
      <c r="O270">
        <v>1003.6</v>
      </c>
      <c r="P270">
        <v>1011.7</v>
      </c>
      <c r="Q270">
        <v>13.3</v>
      </c>
      <c r="R270">
        <v>13.05</v>
      </c>
      <c r="S270" s="21"/>
      <c r="T270" s="21"/>
    </row>
    <row r="271" spans="2:20" x14ac:dyDescent="0.3">
      <c r="B271" s="27">
        <v>46076</v>
      </c>
      <c r="C271">
        <v>23410</v>
      </c>
      <c r="D271" s="28">
        <v>15531635</v>
      </c>
      <c r="E271" t="s">
        <v>35</v>
      </c>
      <c r="F271" t="s">
        <v>51</v>
      </c>
      <c r="G271" t="s">
        <v>69</v>
      </c>
      <c r="H271" t="s">
        <v>43</v>
      </c>
      <c r="I271" s="27">
        <v>46980</v>
      </c>
      <c r="J271" t="s">
        <v>44</v>
      </c>
      <c r="K271" t="s">
        <v>40</v>
      </c>
      <c r="L271">
        <v>3</v>
      </c>
      <c r="M271" s="29">
        <v>13480</v>
      </c>
      <c r="N271" s="29">
        <v>145</v>
      </c>
      <c r="O271">
        <v>4493.3999999999996</v>
      </c>
      <c r="P271">
        <v>4445.1000000000004</v>
      </c>
      <c r="Q271">
        <v>7.2060000000000004</v>
      </c>
      <c r="R271">
        <v>7.7060000000000004</v>
      </c>
      <c r="S271" s="21"/>
      <c r="T271" s="21"/>
    </row>
    <row r="272" spans="2:20" x14ac:dyDescent="0.3">
      <c r="B272" s="27">
        <v>46076</v>
      </c>
      <c r="C272">
        <v>23410</v>
      </c>
      <c r="D272" s="28">
        <v>15672634</v>
      </c>
      <c r="E272" t="s">
        <v>35</v>
      </c>
      <c r="F272" t="s">
        <v>51</v>
      </c>
      <c r="G272" t="s">
        <v>69</v>
      </c>
      <c r="H272" t="s">
        <v>43</v>
      </c>
      <c r="I272" s="27">
        <v>46980</v>
      </c>
      <c r="J272" t="s">
        <v>44</v>
      </c>
      <c r="K272" t="s">
        <v>40</v>
      </c>
      <c r="L272">
        <v>6</v>
      </c>
      <c r="M272" s="29">
        <v>26971</v>
      </c>
      <c r="N272" s="29">
        <v>290</v>
      </c>
      <c r="O272">
        <v>4495.2</v>
      </c>
      <c r="P272">
        <v>4446.8999999999996</v>
      </c>
      <c r="Q272">
        <v>7.1870000000000003</v>
      </c>
      <c r="R272">
        <v>7.6870000000000003</v>
      </c>
      <c r="S272" s="21"/>
      <c r="T272" s="21"/>
    </row>
    <row r="273" spans="2:20" x14ac:dyDescent="0.3">
      <c r="B273" s="27">
        <v>46076</v>
      </c>
      <c r="C273">
        <v>24415</v>
      </c>
      <c r="D273" s="28">
        <v>5563520</v>
      </c>
      <c r="E273" t="s">
        <v>35</v>
      </c>
      <c r="F273" t="s">
        <v>51</v>
      </c>
      <c r="G273" t="s">
        <v>52</v>
      </c>
      <c r="H273" t="s">
        <v>43</v>
      </c>
      <c r="I273" s="27">
        <v>49444</v>
      </c>
      <c r="J273" t="s">
        <v>44</v>
      </c>
      <c r="K273" t="s">
        <v>41</v>
      </c>
      <c r="L273">
        <v>12</v>
      </c>
      <c r="M273" s="29">
        <v>-50140</v>
      </c>
      <c r="N273" s="29">
        <v>815</v>
      </c>
      <c r="O273">
        <v>4178.3</v>
      </c>
      <c r="P273">
        <v>4246.2</v>
      </c>
      <c r="Q273">
        <v>7.7649999999999997</v>
      </c>
      <c r="R273">
        <v>7.5149999999999997</v>
      </c>
      <c r="S273" s="21"/>
      <c r="T273" s="21"/>
    </row>
    <row r="274" spans="2:20" x14ac:dyDescent="0.3">
      <c r="B274" s="27">
        <v>46076</v>
      </c>
      <c r="C274">
        <v>27086</v>
      </c>
      <c r="D274" s="28">
        <v>4451805</v>
      </c>
      <c r="E274" t="s">
        <v>42</v>
      </c>
      <c r="F274" t="s">
        <v>737</v>
      </c>
      <c r="G274" t="s">
        <v>738</v>
      </c>
      <c r="H274" t="s">
        <v>43</v>
      </c>
      <c r="I274" s="27">
        <v>47679</v>
      </c>
      <c r="J274" t="s">
        <v>44</v>
      </c>
      <c r="K274" t="s">
        <v>41</v>
      </c>
      <c r="L274">
        <v>156</v>
      </c>
      <c r="M274" s="29">
        <v>-201098</v>
      </c>
      <c r="N274" s="29">
        <v>1423</v>
      </c>
      <c r="O274">
        <v>1289.0999999999999</v>
      </c>
      <c r="P274">
        <v>1298.2</v>
      </c>
      <c r="Q274">
        <v>8.5500000000000007</v>
      </c>
      <c r="R274">
        <v>8.3000000000000007</v>
      </c>
      <c r="S274" s="21"/>
      <c r="T274" s="21"/>
    </row>
    <row r="275" spans="2:20" x14ac:dyDescent="0.3">
      <c r="B275" s="27">
        <v>46076</v>
      </c>
      <c r="C275">
        <v>27086</v>
      </c>
      <c r="D275" s="28">
        <v>4451805</v>
      </c>
      <c r="E275" t="s">
        <v>42</v>
      </c>
      <c r="F275" t="s">
        <v>73</v>
      </c>
      <c r="G275" t="s">
        <v>74</v>
      </c>
      <c r="H275" t="s">
        <v>43</v>
      </c>
      <c r="I275" s="27">
        <v>52855</v>
      </c>
      <c r="J275" t="s">
        <v>44</v>
      </c>
      <c r="K275" t="s">
        <v>41</v>
      </c>
      <c r="L275">
        <v>70</v>
      </c>
      <c r="M275" s="29">
        <v>-64180</v>
      </c>
      <c r="N275" s="29">
        <v>1379</v>
      </c>
      <c r="O275">
        <v>916.9</v>
      </c>
      <c r="P275">
        <v>936.6</v>
      </c>
      <c r="Q275">
        <v>8.85</v>
      </c>
      <c r="R275">
        <v>8.6</v>
      </c>
      <c r="S275" s="21"/>
      <c r="T275" s="21"/>
    </row>
    <row r="276" spans="2:20" x14ac:dyDescent="0.3">
      <c r="B276" s="27">
        <v>46076</v>
      </c>
      <c r="C276">
        <v>27086</v>
      </c>
      <c r="D276" s="28">
        <v>4451805</v>
      </c>
      <c r="E276" t="s">
        <v>42</v>
      </c>
      <c r="F276" t="s">
        <v>739</v>
      </c>
      <c r="G276" t="s">
        <v>740</v>
      </c>
      <c r="H276" t="s">
        <v>43</v>
      </c>
      <c r="I276" s="27">
        <v>56660</v>
      </c>
      <c r="J276" t="s">
        <v>44</v>
      </c>
      <c r="K276" t="s">
        <v>41</v>
      </c>
      <c r="L276">
        <v>160</v>
      </c>
      <c r="M276" s="29">
        <v>-143531</v>
      </c>
      <c r="N276" s="29">
        <v>3830</v>
      </c>
      <c r="O276">
        <v>897.1</v>
      </c>
      <c r="P276">
        <v>921</v>
      </c>
      <c r="Q276">
        <v>8.75</v>
      </c>
      <c r="R276">
        <v>8.5</v>
      </c>
      <c r="S276" s="21"/>
      <c r="T276" s="21"/>
    </row>
    <row r="277" spans="2:20" x14ac:dyDescent="0.3">
      <c r="B277" s="27">
        <v>46076</v>
      </c>
      <c r="C277">
        <v>38517</v>
      </c>
      <c r="D277" s="28">
        <v>17863395</v>
      </c>
      <c r="E277" t="s">
        <v>35</v>
      </c>
      <c r="F277" t="s">
        <v>57</v>
      </c>
      <c r="G277" t="s">
        <v>58</v>
      </c>
      <c r="H277" t="s">
        <v>59</v>
      </c>
      <c r="I277" s="27">
        <v>46631</v>
      </c>
      <c r="J277" t="s">
        <v>27</v>
      </c>
      <c r="K277" t="s">
        <v>41</v>
      </c>
      <c r="L277">
        <v>1</v>
      </c>
      <c r="M277" s="29">
        <v>-18424</v>
      </c>
      <c r="N277" s="29">
        <v>3</v>
      </c>
      <c r="O277">
        <v>18424.099999999999</v>
      </c>
      <c r="P277">
        <v>18426.900000000001</v>
      </c>
      <c r="Q277">
        <v>4.9799999999999997E-2</v>
      </c>
      <c r="R277">
        <v>3.9750000000000001E-2</v>
      </c>
      <c r="S277" s="21"/>
      <c r="T277" s="21"/>
    </row>
    <row r="278" spans="2:20" x14ac:dyDescent="0.3">
      <c r="B278" s="27">
        <v>46076</v>
      </c>
      <c r="C278">
        <v>38517</v>
      </c>
      <c r="D278" s="28">
        <v>17863395</v>
      </c>
      <c r="E278" t="s">
        <v>35</v>
      </c>
      <c r="F278" t="s">
        <v>57</v>
      </c>
      <c r="G278" t="s">
        <v>67</v>
      </c>
      <c r="H278" t="s">
        <v>59</v>
      </c>
      <c r="I278" s="27">
        <v>46997</v>
      </c>
      <c r="J278" t="s">
        <v>27</v>
      </c>
      <c r="K278" t="s">
        <v>41</v>
      </c>
      <c r="L278">
        <v>2</v>
      </c>
      <c r="M278" s="29">
        <v>-36805</v>
      </c>
      <c r="N278" s="29">
        <v>9</v>
      </c>
      <c r="O278">
        <v>18402.599999999999</v>
      </c>
      <c r="P278">
        <v>18407.2</v>
      </c>
      <c r="Q278">
        <v>7.6499999999999999E-2</v>
      </c>
      <c r="R278">
        <v>6.6500000000000004E-2</v>
      </c>
      <c r="S278" s="21"/>
      <c r="T278" s="21"/>
    </row>
    <row r="279" spans="2:20" x14ac:dyDescent="0.3">
      <c r="B279" s="27">
        <v>46076</v>
      </c>
      <c r="C279">
        <v>69519</v>
      </c>
      <c r="D279" s="28">
        <v>74468</v>
      </c>
      <c r="E279" t="s">
        <v>35</v>
      </c>
      <c r="F279" t="s">
        <v>51</v>
      </c>
      <c r="G279" t="s">
        <v>52</v>
      </c>
      <c r="H279" t="s">
        <v>43</v>
      </c>
      <c r="I279" s="27">
        <v>49444</v>
      </c>
      <c r="J279" t="s">
        <v>44</v>
      </c>
      <c r="K279" t="s">
        <v>40</v>
      </c>
      <c r="L279">
        <v>12</v>
      </c>
      <c r="M279" s="29">
        <v>51754</v>
      </c>
      <c r="N279" s="29">
        <v>335</v>
      </c>
      <c r="O279">
        <v>4312.8</v>
      </c>
      <c r="P279">
        <v>4284.8999999999996</v>
      </c>
      <c r="Q279">
        <v>7.2750000000000004</v>
      </c>
      <c r="R279">
        <v>7.375</v>
      </c>
      <c r="S279" s="21"/>
      <c r="T279" s="21"/>
    </row>
    <row r="280" spans="2:20" x14ac:dyDescent="0.3">
      <c r="B280" s="27">
        <v>46076</v>
      </c>
      <c r="C280">
        <v>69579</v>
      </c>
      <c r="D280" s="28">
        <v>2584906</v>
      </c>
      <c r="E280" t="s">
        <v>45</v>
      </c>
      <c r="F280" t="s">
        <v>741</v>
      </c>
      <c r="G280" t="s">
        <v>547</v>
      </c>
      <c r="H280" t="s">
        <v>39</v>
      </c>
      <c r="I280" s="27">
        <v>47905</v>
      </c>
      <c r="J280" t="s">
        <v>27</v>
      </c>
      <c r="K280" t="s">
        <v>40</v>
      </c>
      <c r="L280">
        <v>42</v>
      </c>
      <c r="M280" s="29">
        <v>42000</v>
      </c>
      <c r="N280" s="29">
        <v>1261</v>
      </c>
      <c r="O280">
        <v>1000</v>
      </c>
      <c r="P280">
        <v>970</v>
      </c>
      <c r="Q280">
        <v>92</v>
      </c>
      <c r="R280">
        <v>97</v>
      </c>
      <c r="S280" s="21"/>
      <c r="T280" s="21"/>
    </row>
    <row r="281" spans="2:20" x14ac:dyDescent="0.3">
      <c r="B281" s="27">
        <v>46076</v>
      </c>
      <c r="C281">
        <v>69579</v>
      </c>
      <c r="D281" s="28">
        <v>18632980</v>
      </c>
      <c r="E281" t="s">
        <v>45</v>
      </c>
      <c r="F281" t="s">
        <v>742</v>
      </c>
      <c r="G281" t="s">
        <v>710</v>
      </c>
      <c r="H281" t="s">
        <v>39</v>
      </c>
      <c r="I281" s="27">
        <v>47536</v>
      </c>
      <c r="J281" t="s">
        <v>27</v>
      </c>
      <c r="K281" t="s">
        <v>40</v>
      </c>
      <c r="L281">
        <v>10</v>
      </c>
      <c r="M281" s="29">
        <v>10000</v>
      </c>
      <c r="N281" s="29">
        <v>237</v>
      </c>
      <c r="O281">
        <v>1000</v>
      </c>
      <c r="P281">
        <v>976.3</v>
      </c>
      <c r="Q281">
        <v>93</v>
      </c>
      <c r="R281">
        <v>98</v>
      </c>
      <c r="S281" s="21"/>
      <c r="T281" s="21"/>
    </row>
    <row r="282" spans="2:20" x14ac:dyDescent="0.3">
      <c r="B282" s="27">
        <v>46076</v>
      </c>
      <c r="C282">
        <v>71881</v>
      </c>
      <c r="D282" s="28">
        <v>3438838</v>
      </c>
      <c r="E282" t="s">
        <v>45</v>
      </c>
      <c r="F282" t="s">
        <v>743</v>
      </c>
      <c r="G282" t="s">
        <v>585</v>
      </c>
      <c r="H282" t="s">
        <v>39</v>
      </c>
      <c r="I282" s="27">
        <v>47171</v>
      </c>
      <c r="J282" t="s">
        <v>27</v>
      </c>
      <c r="K282" t="s">
        <v>40</v>
      </c>
      <c r="L282">
        <v>18</v>
      </c>
      <c r="M282" s="29">
        <v>18000</v>
      </c>
      <c r="N282" s="29">
        <v>127</v>
      </c>
      <c r="O282">
        <v>1000</v>
      </c>
      <c r="P282">
        <v>993</v>
      </c>
      <c r="Q282">
        <v>93</v>
      </c>
      <c r="R282">
        <v>95</v>
      </c>
      <c r="S282" s="21"/>
      <c r="T282" s="21"/>
    </row>
    <row r="283" spans="2:20" x14ac:dyDescent="0.3">
      <c r="B283" s="27">
        <v>46076</v>
      </c>
      <c r="C283">
        <v>72444</v>
      </c>
      <c r="D283" s="28">
        <v>3187997</v>
      </c>
      <c r="E283" t="s">
        <v>42</v>
      </c>
      <c r="F283" t="s">
        <v>744</v>
      </c>
      <c r="G283" t="s">
        <v>745</v>
      </c>
      <c r="H283" t="s">
        <v>39</v>
      </c>
      <c r="I283" s="27">
        <v>46402</v>
      </c>
      <c r="J283" t="s">
        <v>44</v>
      </c>
      <c r="K283" t="s">
        <v>41</v>
      </c>
      <c r="L283">
        <v>19</v>
      </c>
      <c r="M283" s="29">
        <v>-19429</v>
      </c>
      <c r="N283" s="29">
        <v>21</v>
      </c>
      <c r="O283">
        <v>1022.6</v>
      </c>
      <c r="P283">
        <v>1023.7</v>
      </c>
      <c r="Q283">
        <v>96.5</v>
      </c>
      <c r="R283">
        <v>95.5</v>
      </c>
      <c r="S283" s="21"/>
      <c r="T283" s="21"/>
    </row>
    <row r="284" spans="2:20" x14ac:dyDescent="0.3">
      <c r="B284" s="27">
        <v>46076</v>
      </c>
      <c r="C284">
        <v>72444</v>
      </c>
      <c r="D284" s="28">
        <v>3187997</v>
      </c>
      <c r="E284" t="s">
        <v>42</v>
      </c>
      <c r="F284" t="s">
        <v>746</v>
      </c>
      <c r="G284" t="s">
        <v>747</v>
      </c>
      <c r="H284" t="s">
        <v>37</v>
      </c>
      <c r="I284" s="27">
        <v>46769</v>
      </c>
      <c r="J284" t="s">
        <v>27</v>
      </c>
      <c r="K284" t="s">
        <v>41</v>
      </c>
      <c r="L284">
        <v>49</v>
      </c>
      <c r="M284" s="29">
        <v>-72931</v>
      </c>
      <c r="N284" s="29">
        <v>184</v>
      </c>
      <c r="O284">
        <v>1488.4</v>
      </c>
      <c r="P284">
        <v>1492.2</v>
      </c>
      <c r="Q284">
        <v>12.25</v>
      </c>
      <c r="R284">
        <v>12.1</v>
      </c>
      <c r="S284" s="21"/>
      <c r="T284" s="21"/>
    </row>
    <row r="285" spans="2:20" x14ac:dyDescent="0.3">
      <c r="B285" s="27">
        <v>46076</v>
      </c>
      <c r="C285">
        <v>72444</v>
      </c>
      <c r="D285" s="28">
        <v>3187997</v>
      </c>
      <c r="E285" t="s">
        <v>42</v>
      </c>
      <c r="F285" t="s">
        <v>748</v>
      </c>
      <c r="G285" t="s">
        <v>749</v>
      </c>
      <c r="H285" t="s">
        <v>39</v>
      </c>
      <c r="I285" s="27">
        <v>48985</v>
      </c>
      <c r="J285" t="s">
        <v>44</v>
      </c>
      <c r="K285" t="s">
        <v>41</v>
      </c>
      <c r="L285">
        <v>75</v>
      </c>
      <c r="M285" s="29">
        <v>-76752</v>
      </c>
      <c r="N285" s="29">
        <v>981</v>
      </c>
      <c r="O285">
        <v>1023.4</v>
      </c>
      <c r="P285">
        <v>1036.4000000000001</v>
      </c>
      <c r="Q285">
        <v>104</v>
      </c>
      <c r="R285">
        <v>102</v>
      </c>
      <c r="S285" s="21"/>
      <c r="T285" s="21"/>
    </row>
    <row r="286" spans="2:20" x14ac:dyDescent="0.3">
      <c r="B286" s="20"/>
      <c r="C286" s="21"/>
      <c r="D286" s="22"/>
      <c r="E286" s="21"/>
      <c r="F286" s="21"/>
      <c r="G286" s="21"/>
      <c r="H286" s="21"/>
      <c r="I286" s="20"/>
      <c r="J286" s="21"/>
      <c r="K286" s="21"/>
      <c r="L286" s="21"/>
      <c r="M286" s="23"/>
      <c r="N286" s="23"/>
      <c r="O286" s="21"/>
      <c r="P286" s="21"/>
      <c r="Q286" s="21"/>
      <c r="R286" s="21"/>
      <c r="S286" s="21"/>
      <c r="T286" s="21"/>
    </row>
    <row r="287" spans="2:20" x14ac:dyDescent="0.3">
      <c r="B287" s="20"/>
      <c r="C287" s="21"/>
      <c r="D287" s="22"/>
      <c r="E287" s="21"/>
      <c r="F287" s="21"/>
      <c r="G287" s="21"/>
      <c r="H287" s="21"/>
      <c r="I287" s="20"/>
      <c r="J287" s="21"/>
      <c r="K287" s="21"/>
      <c r="L287" s="21"/>
      <c r="M287" s="23"/>
      <c r="N287" s="23"/>
      <c r="O287" s="21"/>
      <c r="P287" s="21"/>
      <c r="Q287" s="21"/>
      <c r="R287" s="21"/>
      <c r="S287" s="21"/>
      <c r="T287" s="21"/>
    </row>
    <row r="288" spans="2:20" x14ac:dyDescent="0.3">
      <c r="B288" s="20"/>
      <c r="C288" s="21"/>
      <c r="D288" s="22"/>
      <c r="E288" s="21"/>
      <c r="F288" s="21"/>
      <c r="G288" s="21"/>
      <c r="H288" s="21"/>
      <c r="I288" s="20"/>
      <c r="J288" s="21"/>
      <c r="K288" s="21"/>
      <c r="L288" s="21"/>
      <c r="M288" s="23"/>
      <c r="N288" s="23"/>
      <c r="O288" s="21"/>
      <c r="P288" s="21"/>
      <c r="Q288" s="21"/>
      <c r="R288" s="21"/>
      <c r="S288" s="21"/>
      <c r="T288" s="21"/>
    </row>
    <row r="289" spans="2:20" x14ac:dyDescent="0.3">
      <c r="B289" s="20"/>
      <c r="C289" s="21"/>
      <c r="D289" s="22"/>
      <c r="E289" s="21"/>
      <c r="F289" s="21"/>
      <c r="G289" s="21"/>
      <c r="H289" s="21"/>
      <c r="I289" s="20"/>
      <c r="J289" s="21"/>
      <c r="K289" s="21"/>
      <c r="L289" s="21"/>
      <c r="M289" s="23"/>
      <c r="N289" s="23"/>
      <c r="O289" s="21"/>
      <c r="P289" s="21"/>
      <c r="Q289" s="21"/>
      <c r="R289" s="21"/>
      <c r="S289" s="21"/>
      <c r="T289" s="21"/>
    </row>
    <row r="290" spans="2:20" x14ac:dyDescent="0.3">
      <c r="B290" s="20"/>
      <c r="C290" s="21"/>
      <c r="D290" s="22"/>
      <c r="E290" s="21"/>
      <c r="F290" s="21"/>
      <c r="G290" s="21"/>
      <c r="H290" s="21"/>
      <c r="I290" s="20"/>
      <c r="J290" s="21"/>
      <c r="K290" s="21"/>
      <c r="L290" s="21"/>
      <c r="M290" s="23"/>
      <c r="N290" s="23"/>
      <c r="O290" s="21"/>
      <c r="P290" s="21"/>
      <c r="Q290" s="21"/>
      <c r="R290" s="21"/>
      <c r="S290" s="21"/>
      <c r="T290" s="21"/>
    </row>
    <row r="291" spans="2:20" x14ac:dyDescent="0.3">
      <c r="B291" s="20"/>
      <c r="C291" s="21"/>
      <c r="D291" s="22"/>
      <c r="E291" s="21"/>
      <c r="F291" s="21"/>
      <c r="G291" s="21"/>
      <c r="H291" s="21"/>
      <c r="I291" s="20"/>
      <c r="J291" s="21"/>
      <c r="K291" s="21"/>
      <c r="L291" s="21"/>
      <c r="M291" s="23"/>
      <c r="N291" s="23"/>
      <c r="O291" s="21"/>
      <c r="P291" s="21"/>
      <c r="Q291" s="21"/>
      <c r="R291" s="21"/>
      <c r="S291" s="21"/>
      <c r="T291" s="21"/>
    </row>
    <row r="292" spans="2:20" x14ac:dyDescent="0.3">
      <c r="B292" s="20"/>
      <c r="C292" s="21"/>
      <c r="D292" s="22"/>
      <c r="E292" s="21"/>
      <c r="F292" s="21"/>
      <c r="G292" s="21"/>
      <c r="H292" s="21"/>
      <c r="I292" s="20"/>
      <c r="J292" s="21"/>
      <c r="K292" s="21"/>
      <c r="L292" s="21"/>
      <c r="M292" s="23"/>
      <c r="N292" s="23"/>
      <c r="O292" s="21"/>
      <c r="P292" s="21"/>
      <c r="Q292" s="21"/>
      <c r="R292" s="21"/>
      <c r="S292" s="21"/>
      <c r="T292" s="21"/>
    </row>
    <row r="293" spans="2:20" x14ac:dyDescent="0.3">
      <c r="B293" s="20"/>
      <c r="C293" s="21"/>
      <c r="D293" s="22"/>
      <c r="E293" s="21"/>
      <c r="F293" s="21"/>
      <c r="G293" s="21"/>
      <c r="H293" s="21"/>
      <c r="I293" s="20"/>
      <c r="J293" s="21"/>
      <c r="K293" s="21"/>
      <c r="L293" s="21"/>
      <c r="M293" s="23"/>
      <c r="N293" s="23"/>
      <c r="O293" s="21"/>
      <c r="P293" s="21"/>
      <c r="Q293" s="21"/>
      <c r="R293" s="21"/>
      <c r="S293" s="21"/>
      <c r="T293" s="21"/>
    </row>
    <row r="294" spans="2:20" x14ac:dyDescent="0.3">
      <c r="B294" s="20"/>
      <c r="C294" s="21"/>
      <c r="D294" s="22"/>
      <c r="E294" s="21"/>
      <c r="F294" s="21"/>
      <c r="G294" s="21"/>
      <c r="H294" s="21"/>
      <c r="I294" s="20"/>
      <c r="J294" s="21"/>
      <c r="K294" s="21"/>
      <c r="L294" s="21"/>
      <c r="M294" s="23"/>
      <c r="N294" s="23"/>
      <c r="O294" s="21"/>
      <c r="P294" s="21"/>
      <c r="Q294" s="21"/>
      <c r="R294" s="21"/>
      <c r="S294" s="21"/>
      <c r="T294" s="21"/>
    </row>
    <row r="295" spans="2:20" x14ac:dyDescent="0.3">
      <c r="B295" s="20"/>
      <c r="C295" s="21"/>
      <c r="D295" s="22"/>
      <c r="E295" s="21"/>
      <c r="F295" s="21"/>
      <c r="G295" s="21"/>
      <c r="H295" s="21"/>
      <c r="I295" s="20"/>
      <c r="J295" s="21"/>
      <c r="K295" s="21"/>
      <c r="L295" s="21"/>
      <c r="M295" s="23"/>
      <c r="N295" s="23"/>
      <c r="O295" s="21"/>
      <c r="P295" s="21"/>
      <c r="Q295" s="21"/>
      <c r="R295" s="21"/>
      <c r="S295" s="21"/>
      <c r="T295" s="21"/>
    </row>
    <row r="296" spans="2:20" x14ac:dyDescent="0.3">
      <c r="B296" s="20"/>
      <c r="C296" s="21"/>
      <c r="D296" s="22"/>
      <c r="E296" s="21"/>
      <c r="F296" s="21"/>
      <c r="G296" s="21"/>
      <c r="H296" s="21"/>
      <c r="I296" s="20"/>
      <c r="J296" s="21"/>
      <c r="K296" s="21"/>
      <c r="L296" s="21"/>
      <c r="M296" s="23"/>
      <c r="N296" s="23"/>
      <c r="O296" s="21"/>
      <c r="P296" s="21"/>
      <c r="Q296" s="21"/>
      <c r="R296" s="21"/>
      <c r="S296" s="21"/>
      <c r="T296" s="21"/>
    </row>
    <row r="297" spans="2:20" x14ac:dyDescent="0.3">
      <c r="B297" s="20"/>
      <c r="C297" s="21"/>
      <c r="D297" s="22"/>
      <c r="E297" s="21"/>
      <c r="F297" s="21"/>
      <c r="G297" s="21"/>
      <c r="H297" s="21"/>
      <c r="I297" s="20"/>
      <c r="J297" s="21"/>
      <c r="K297" s="21"/>
      <c r="L297" s="21"/>
      <c r="M297" s="23"/>
      <c r="N297" s="23"/>
      <c r="O297" s="21"/>
      <c r="P297" s="21"/>
      <c r="Q297" s="21"/>
      <c r="R297" s="21"/>
      <c r="S297" s="21"/>
      <c r="T297" s="21"/>
    </row>
    <row r="298" spans="2:20" x14ac:dyDescent="0.3">
      <c r="B298" s="20"/>
      <c r="C298" s="21"/>
      <c r="D298" s="22"/>
      <c r="E298" s="21"/>
      <c r="F298" s="21"/>
      <c r="G298" s="21"/>
      <c r="H298" s="21"/>
      <c r="I298" s="20"/>
      <c r="J298" s="21"/>
      <c r="K298" s="21"/>
      <c r="L298" s="21"/>
      <c r="M298" s="23"/>
      <c r="N298" s="23"/>
      <c r="O298" s="21"/>
      <c r="P298" s="21"/>
      <c r="Q298" s="21"/>
      <c r="R298" s="21"/>
      <c r="S298" s="21"/>
      <c r="T298" s="21"/>
    </row>
    <row r="299" spans="2:20" x14ac:dyDescent="0.3">
      <c r="B299" s="20"/>
      <c r="C299" s="21"/>
      <c r="D299" s="22"/>
      <c r="E299" s="21"/>
      <c r="F299" s="21"/>
      <c r="G299" s="21"/>
      <c r="H299" s="21"/>
      <c r="I299" s="20"/>
      <c r="J299" s="21"/>
      <c r="K299" s="21"/>
      <c r="L299" s="21"/>
      <c r="M299" s="23"/>
      <c r="N299" s="23"/>
      <c r="O299" s="21"/>
      <c r="P299" s="21"/>
      <c r="Q299" s="21"/>
      <c r="R299" s="21"/>
      <c r="S299" s="21"/>
      <c r="T299" s="21"/>
    </row>
    <row r="300" spans="2:20" x14ac:dyDescent="0.3">
      <c r="B300" s="20"/>
      <c r="C300" s="21"/>
      <c r="D300" s="22"/>
      <c r="E300" s="21"/>
      <c r="F300" s="21"/>
      <c r="G300" s="21"/>
      <c r="H300" s="21"/>
      <c r="I300" s="20"/>
      <c r="J300" s="21"/>
      <c r="K300" s="21"/>
      <c r="L300" s="21"/>
      <c r="M300" s="23"/>
      <c r="N300" s="23"/>
      <c r="O300" s="21"/>
      <c r="P300" s="21"/>
      <c r="Q300" s="21"/>
      <c r="R300" s="21"/>
      <c r="S300" s="21"/>
      <c r="T300" s="21"/>
    </row>
    <row r="301" spans="2:20" x14ac:dyDescent="0.3">
      <c r="B301" s="20"/>
      <c r="C301" s="21"/>
      <c r="D301" s="22"/>
      <c r="E301" s="21"/>
      <c r="F301" s="21"/>
      <c r="G301" s="21"/>
      <c r="H301" s="21"/>
      <c r="I301" s="20"/>
      <c r="J301" s="21"/>
      <c r="K301" s="21"/>
      <c r="L301" s="21"/>
      <c r="M301" s="23"/>
      <c r="N301" s="23"/>
      <c r="O301" s="21"/>
      <c r="P301" s="21"/>
      <c r="Q301" s="21"/>
      <c r="R301" s="21"/>
      <c r="S301" s="21"/>
      <c r="T301" s="21"/>
    </row>
    <row r="302" spans="2:20" x14ac:dyDescent="0.3">
      <c r="B302" s="20"/>
      <c r="C302" s="21"/>
      <c r="D302" s="22"/>
      <c r="E302" s="21"/>
      <c r="F302" s="21"/>
      <c r="G302" s="21"/>
      <c r="H302" s="21"/>
      <c r="I302" s="20"/>
      <c r="J302" s="21"/>
      <c r="K302" s="21"/>
      <c r="L302" s="21"/>
      <c r="M302" s="23"/>
      <c r="N302" s="23"/>
      <c r="O302" s="21"/>
      <c r="P302" s="21"/>
      <c r="Q302" s="21"/>
      <c r="R302" s="21"/>
      <c r="S302" s="21"/>
      <c r="T302" s="21"/>
    </row>
    <row r="303" spans="2:20" x14ac:dyDescent="0.3">
      <c r="B303" s="20"/>
      <c r="C303" s="21"/>
      <c r="D303" s="22"/>
      <c r="E303" s="21"/>
      <c r="F303" s="21"/>
      <c r="G303" s="21"/>
      <c r="H303" s="21"/>
      <c r="I303" s="20"/>
      <c r="J303" s="21"/>
      <c r="K303" s="21"/>
      <c r="L303" s="21"/>
      <c r="M303" s="23"/>
      <c r="N303" s="23"/>
      <c r="O303" s="21"/>
      <c r="P303" s="21"/>
      <c r="Q303" s="21"/>
      <c r="R303" s="21"/>
      <c r="S303" s="21"/>
      <c r="T303" s="21"/>
    </row>
    <row r="304" spans="2:20" x14ac:dyDescent="0.3">
      <c r="B304" s="20"/>
      <c r="C304" s="21"/>
      <c r="D304" s="22"/>
      <c r="E304" s="21"/>
      <c r="F304" s="21"/>
      <c r="G304" s="21"/>
      <c r="H304" s="21"/>
      <c r="I304" s="20"/>
      <c r="J304" s="21"/>
      <c r="K304" s="21"/>
      <c r="L304" s="21"/>
      <c r="M304" s="23"/>
      <c r="N304" s="23"/>
      <c r="O304" s="21"/>
      <c r="P304" s="21"/>
      <c r="Q304" s="21"/>
      <c r="R304" s="21"/>
      <c r="S304" s="21"/>
      <c r="T304" s="21"/>
    </row>
    <row r="305" spans="2:20" x14ac:dyDescent="0.3">
      <c r="B305" s="20"/>
      <c r="C305" s="21"/>
      <c r="D305" s="22"/>
      <c r="E305" s="21"/>
      <c r="F305" s="21"/>
      <c r="G305" s="21"/>
      <c r="H305" s="21"/>
      <c r="I305" s="20"/>
      <c r="J305" s="21"/>
      <c r="K305" s="21"/>
      <c r="L305" s="21"/>
      <c r="M305" s="23"/>
      <c r="N305" s="23"/>
      <c r="O305" s="21"/>
      <c r="P305" s="21"/>
      <c r="Q305" s="21"/>
      <c r="R305" s="21"/>
      <c r="S305" s="21"/>
      <c r="T305" s="21"/>
    </row>
    <row r="306" spans="2:20" x14ac:dyDescent="0.3">
      <c r="B306" s="20"/>
      <c r="C306" s="21"/>
      <c r="D306" s="22"/>
      <c r="E306" s="21"/>
      <c r="F306" s="21"/>
      <c r="G306" s="21"/>
      <c r="H306" s="21"/>
      <c r="I306" s="20"/>
      <c r="J306" s="21"/>
      <c r="K306" s="21"/>
      <c r="L306" s="21"/>
      <c r="M306" s="23"/>
      <c r="N306" s="23"/>
      <c r="O306" s="21"/>
      <c r="P306" s="21"/>
      <c r="Q306" s="21"/>
      <c r="R306" s="21"/>
      <c r="S306" s="21"/>
      <c r="T306" s="21"/>
    </row>
    <row r="307" spans="2:20" x14ac:dyDescent="0.3">
      <c r="B307" s="20"/>
      <c r="C307" s="21"/>
      <c r="D307" s="22"/>
      <c r="E307" s="21"/>
      <c r="F307" s="21"/>
      <c r="G307" s="21"/>
      <c r="H307" s="21"/>
      <c r="I307" s="20"/>
      <c r="J307" s="21"/>
      <c r="K307" s="21"/>
      <c r="L307" s="21"/>
      <c r="M307" s="23"/>
      <c r="N307" s="23"/>
      <c r="O307" s="21"/>
      <c r="P307" s="21"/>
      <c r="Q307" s="21"/>
      <c r="R307" s="21"/>
      <c r="S307" s="21"/>
      <c r="T307" s="21"/>
    </row>
    <row r="308" spans="2:20" x14ac:dyDescent="0.3">
      <c r="B308" s="20"/>
      <c r="C308" s="21"/>
      <c r="D308" s="22"/>
      <c r="E308" s="21"/>
      <c r="F308" s="21"/>
      <c r="G308" s="21"/>
      <c r="H308" s="21"/>
      <c r="I308" s="20"/>
      <c r="J308" s="21"/>
      <c r="K308" s="21"/>
      <c r="L308" s="21"/>
      <c r="M308" s="23"/>
      <c r="N308" s="23"/>
      <c r="O308" s="21"/>
      <c r="P308" s="21"/>
      <c r="Q308" s="21"/>
      <c r="R308" s="21"/>
      <c r="S308" s="21"/>
      <c r="T308" s="21"/>
    </row>
    <row r="309" spans="2:20" x14ac:dyDescent="0.3">
      <c r="B309" s="20"/>
      <c r="C309" s="21"/>
      <c r="D309" s="22"/>
      <c r="E309" s="21"/>
      <c r="F309" s="21"/>
      <c r="G309" s="21"/>
      <c r="H309" s="21"/>
      <c r="I309" s="20"/>
      <c r="J309" s="21"/>
      <c r="K309" s="21"/>
      <c r="L309" s="21"/>
      <c r="M309" s="23"/>
      <c r="N309" s="23"/>
      <c r="O309" s="21"/>
      <c r="P309" s="21"/>
      <c r="Q309" s="21"/>
      <c r="R309" s="21"/>
      <c r="S309" s="21"/>
      <c r="T309" s="21"/>
    </row>
    <row r="310" spans="2:20" x14ac:dyDescent="0.3">
      <c r="B310" s="20"/>
      <c r="C310" s="21"/>
      <c r="D310" s="22"/>
      <c r="E310" s="21"/>
      <c r="F310" s="21"/>
      <c r="G310" s="21"/>
      <c r="H310" s="21"/>
      <c r="I310" s="20"/>
      <c r="J310" s="21"/>
      <c r="K310" s="21"/>
      <c r="L310" s="21"/>
      <c r="M310" s="23"/>
      <c r="N310" s="23"/>
      <c r="O310" s="21"/>
      <c r="P310" s="21"/>
      <c r="Q310" s="21"/>
      <c r="R310" s="21"/>
      <c r="S310" s="21"/>
      <c r="T310" s="21"/>
    </row>
    <row r="311" spans="2:20" x14ac:dyDescent="0.3">
      <c r="B311" s="20"/>
      <c r="C311" s="21"/>
      <c r="D311" s="22"/>
      <c r="E311" s="21"/>
      <c r="F311" s="21"/>
      <c r="G311" s="21"/>
      <c r="H311" s="21"/>
      <c r="I311" s="20"/>
      <c r="J311" s="21"/>
      <c r="K311" s="21"/>
      <c r="L311" s="21"/>
      <c r="M311" s="23"/>
      <c r="N311" s="23"/>
      <c r="O311" s="21"/>
      <c r="P311" s="21"/>
      <c r="Q311" s="21"/>
      <c r="R311" s="21"/>
      <c r="S311" s="21"/>
      <c r="T311" s="21"/>
    </row>
    <row r="312" spans="2:20" x14ac:dyDescent="0.3">
      <c r="B312" s="20"/>
      <c r="C312" s="21"/>
      <c r="D312" s="22"/>
      <c r="E312" s="21"/>
      <c r="F312" s="21"/>
      <c r="G312" s="21"/>
      <c r="H312" s="21"/>
      <c r="I312" s="20"/>
      <c r="J312" s="21"/>
      <c r="K312" s="21"/>
      <c r="L312" s="21"/>
      <c r="M312" s="23"/>
      <c r="N312" s="23"/>
      <c r="O312" s="21"/>
      <c r="P312" s="21"/>
      <c r="Q312" s="21"/>
      <c r="R312" s="21"/>
      <c r="S312" s="21"/>
      <c r="T312" s="21"/>
    </row>
    <row r="313" spans="2:20" x14ac:dyDescent="0.3">
      <c r="B313" s="20"/>
      <c r="C313" s="21"/>
      <c r="D313" s="22"/>
      <c r="E313" s="21"/>
      <c r="F313" s="21"/>
      <c r="G313" s="21"/>
      <c r="H313" s="21"/>
      <c r="I313" s="20"/>
      <c r="J313" s="21"/>
      <c r="K313" s="21"/>
      <c r="L313" s="21"/>
      <c r="M313" s="23"/>
      <c r="N313" s="23"/>
      <c r="O313" s="21"/>
      <c r="P313" s="21"/>
      <c r="Q313" s="21"/>
      <c r="R313" s="21"/>
      <c r="S313" s="21"/>
      <c r="T313" s="21"/>
    </row>
    <row r="314" spans="2:20" x14ac:dyDescent="0.3">
      <c r="B314" s="20"/>
      <c r="C314" s="21"/>
      <c r="D314" s="22"/>
      <c r="E314" s="21"/>
      <c r="F314" s="21"/>
      <c r="G314" s="21"/>
      <c r="H314" s="21"/>
      <c r="I314" s="20"/>
      <c r="J314" s="21"/>
      <c r="K314" s="21"/>
      <c r="L314" s="21"/>
      <c r="M314" s="23"/>
      <c r="N314" s="23"/>
      <c r="O314" s="21"/>
      <c r="P314" s="21"/>
      <c r="Q314" s="21"/>
      <c r="R314" s="21"/>
      <c r="S314" s="21"/>
      <c r="T314" s="21"/>
    </row>
    <row r="315" spans="2:20" x14ac:dyDescent="0.3">
      <c r="B315" s="20"/>
      <c r="C315" s="21"/>
      <c r="D315" s="22"/>
      <c r="E315" s="21"/>
      <c r="F315" s="21"/>
      <c r="G315" s="21"/>
      <c r="H315" s="21"/>
      <c r="I315" s="20"/>
      <c r="J315" s="21"/>
      <c r="K315" s="21"/>
      <c r="L315" s="21"/>
      <c r="M315" s="23"/>
      <c r="N315" s="23"/>
      <c r="O315" s="21"/>
      <c r="P315" s="21"/>
      <c r="Q315" s="21"/>
      <c r="R315" s="21"/>
      <c r="S315" s="21"/>
      <c r="T315" s="21"/>
    </row>
    <row r="316" spans="2:20" x14ac:dyDescent="0.3">
      <c r="B316" s="20"/>
      <c r="C316" s="21"/>
      <c r="D316" s="22"/>
      <c r="E316" s="21"/>
      <c r="F316" s="21"/>
      <c r="G316" s="21"/>
      <c r="H316" s="21"/>
      <c r="I316" s="20"/>
      <c r="J316" s="21"/>
      <c r="K316" s="21"/>
      <c r="L316" s="21"/>
      <c r="M316" s="23"/>
      <c r="N316" s="23"/>
      <c r="O316" s="21"/>
      <c r="P316" s="21"/>
      <c r="Q316" s="21"/>
      <c r="R316" s="21"/>
      <c r="S316" s="21"/>
      <c r="T316" s="21"/>
    </row>
    <row r="317" spans="2:20" x14ac:dyDescent="0.3">
      <c r="B317" s="20"/>
      <c r="C317" s="21"/>
      <c r="D317" s="22"/>
      <c r="E317" s="21"/>
      <c r="F317" s="21"/>
      <c r="G317" s="21"/>
      <c r="H317" s="21"/>
      <c r="I317" s="20"/>
      <c r="J317" s="21"/>
      <c r="K317" s="21"/>
      <c r="L317" s="21"/>
      <c r="M317" s="23"/>
      <c r="N317" s="23"/>
      <c r="O317" s="21"/>
      <c r="P317" s="21"/>
      <c r="Q317" s="21"/>
      <c r="R317" s="21"/>
      <c r="S317" s="21"/>
      <c r="T317" s="21"/>
    </row>
    <row r="318" spans="2:20" x14ac:dyDescent="0.3">
      <c r="B318" s="20"/>
      <c r="C318" s="21"/>
      <c r="D318" s="22"/>
      <c r="E318" s="21"/>
      <c r="F318" s="21"/>
      <c r="G318" s="21"/>
      <c r="H318" s="21"/>
      <c r="I318" s="20"/>
      <c r="J318" s="21"/>
      <c r="K318" s="21"/>
      <c r="L318" s="21"/>
      <c r="M318" s="23"/>
      <c r="N318" s="23"/>
      <c r="O318" s="21"/>
      <c r="P318" s="21"/>
      <c r="Q318" s="21"/>
      <c r="R318" s="21"/>
      <c r="S318" s="21"/>
      <c r="T318" s="21"/>
    </row>
    <row r="319" spans="2:20" x14ac:dyDescent="0.3">
      <c r="B319" s="20"/>
      <c r="C319" s="21"/>
      <c r="D319" s="22"/>
      <c r="E319" s="21"/>
      <c r="F319" s="21"/>
      <c r="G319" s="21"/>
      <c r="H319" s="21"/>
      <c r="I319" s="20"/>
      <c r="J319" s="21"/>
      <c r="K319" s="21"/>
      <c r="L319" s="21"/>
      <c r="M319" s="23"/>
      <c r="N319" s="23"/>
      <c r="O319" s="21"/>
      <c r="P319" s="21"/>
      <c r="Q319" s="21"/>
      <c r="R319" s="21"/>
      <c r="S319" s="21"/>
      <c r="T319" s="21"/>
    </row>
    <row r="320" spans="2:20" x14ac:dyDescent="0.3">
      <c r="B320" s="20"/>
      <c r="C320" s="21"/>
      <c r="D320" s="22"/>
      <c r="E320" s="21"/>
      <c r="F320" s="21"/>
      <c r="G320" s="21"/>
      <c r="H320" s="21"/>
      <c r="I320" s="20"/>
      <c r="J320" s="21"/>
      <c r="K320" s="21"/>
      <c r="L320" s="21"/>
      <c r="M320" s="23"/>
      <c r="N320" s="23"/>
      <c r="O320" s="21"/>
      <c r="P320" s="21"/>
      <c r="Q320" s="21"/>
      <c r="R320" s="21"/>
      <c r="S320" s="21"/>
      <c r="T320" s="21"/>
    </row>
    <row r="321" spans="2:20" x14ac:dyDescent="0.3">
      <c r="B321" s="20"/>
      <c r="C321" s="21"/>
      <c r="D321" s="22"/>
      <c r="E321" s="21"/>
      <c r="F321" s="21"/>
      <c r="G321" s="21"/>
      <c r="H321" s="21"/>
      <c r="I321" s="20"/>
      <c r="J321" s="21"/>
      <c r="K321" s="21"/>
      <c r="L321" s="21"/>
      <c r="M321" s="23"/>
      <c r="N321" s="23"/>
      <c r="O321" s="21"/>
      <c r="P321" s="21"/>
      <c r="Q321" s="21"/>
      <c r="R321" s="21"/>
      <c r="S321" s="21"/>
      <c r="T321" s="21"/>
    </row>
    <row r="322" spans="2:20" x14ac:dyDescent="0.3">
      <c r="B322" s="20"/>
      <c r="C322" s="21"/>
      <c r="D322" s="22"/>
      <c r="E322" s="21"/>
      <c r="F322" s="21"/>
      <c r="G322" s="21"/>
      <c r="H322" s="21"/>
      <c r="I322" s="20"/>
      <c r="J322" s="21"/>
      <c r="K322" s="21"/>
      <c r="L322" s="21"/>
      <c r="M322" s="23"/>
      <c r="N322" s="23"/>
      <c r="O322" s="21"/>
      <c r="P322" s="21"/>
      <c r="Q322" s="21"/>
      <c r="R322" s="21"/>
      <c r="S322" s="21"/>
      <c r="T322" s="21"/>
    </row>
    <row r="323" spans="2:20" x14ac:dyDescent="0.3">
      <c r="B323" s="20"/>
      <c r="C323" s="21"/>
      <c r="D323" s="22"/>
      <c r="E323" s="21"/>
      <c r="F323" s="21"/>
      <c r="G323" s="21"/>
      <c r="H323" s="21"/>
      <c r="I323" s="20"/>
      <c r="J323" s="21"/>
      <c r="K323" s="21"/>
      <c r="L323" s="21"/>
      <c r="M323" s="23"/>
      <c r="N323" s="23"/>
      <c r="O323" s="21"/>
      <c r="P323" s="21"/>
      <c r="Q323" s="21"/>
      <c r="R323" s="21"/>
      <c r="S323" s="21"/>
      <c r="T323" s="21"/>
    </row>
    <row r="324" spans="2:20" x14ac:dyDescent="0.3">
      <c r="B324" s="20"/>
      <c r="C324" s="21"/>
      <c r="D324" s="22"/>
      <c r="E324" s="21"/>
      <c r="F324" s="21"/>
      <c r="G324" s="21"/>
      <c r="H324" s="21"/>
      <c r="I324" s="20"/>
      <c r="J324" s="21"/>
      <c r="K324" s="21"/>
      <c r="L324" s="21"/>
      <c r="M324" s="23"/>
      <c r="N324" s="23"/>
      <c r="O324" s="21"/>
      <c r="P324" s="21"/>
      <c r="Q324" s="21"/>
      <c r="R324" s="21"/>
      <c r="S324" s="21"/>
      <c r="T324" s="21"/>
    </row>
    <row r="325" spans="2:20" x14ac:dyDescent="0.3">
      <c r="B325" s="20"/>
      <c r="C325" s="21"/>
      <c r="D325" s="22"/>
      <c r="E325" s="21"/>
      <c r="F325" s="21"/>
      <c r="G325" s="21"/>
      <c r="H325" s="21"/>
      <c r="I325" s="20"/>
      <c r="J325" s="21"/>
      <c r="K325" s="21"/>
      <c r="L325" s="21"/>
      <c r="M325" s="23"/>
      <c r="N325" s="23"/>
      <c r="O325" s="21"/>
      <c r="P325" s="21"/>
      <c r="Q325" s="21"/>
      <c r="R325" s="21"/>
      <c r="S325" s="21"/>
      <c r="T325" s="21"/>
    </row>
    <row r="326" spans="2:20" x14ac:dyDescent="0.3">
      <c r="B326" s="20"/>
      <c r="C326" s="21"/>
      <c r="D326" s="22"/>
      <c r="E326" s="21"/>
      <c r="F326" s="21"/>
      <c r="G326" s="21"/>
      <c r="H326" s="21"/>
      <c r="I326" s="20"/>
      <c r="J326" s="21"/>
      <c r="K326" s="21"/>
      <c r="L326" s="21"/>
      <c r="M326" s="23"/>
      <c r="N326" s="23"/>
      <c r="O326" s="21"/>
      <c r="P326" s="21"/>
      <c r="Q326" s="21"/>
      <c r="R326" s="21"/>
      <c r="S326" s="21"/>
      <c r="T326" s="21"/>
    </row>
    <row r="327" spans="2:20" x14ac:dyDescent="0.3">
      <c r="B327" s="20"/>
      <c r="C327" s="21"/>
      <c r="D327" s="22"/>
      <c r="E327" s="21"/>
      <c r="F327" s="21"/>
      <c r="G327" s="21"/>
      <c r="H327" s="21"/>
      <c r="I327" s="20"/>
      <c r="J327" s="21"/>
      <c r="K327" s="21"/>
      <c r="L327" s="21"/>
      <c r="M327" s="23"/>
      <c r="N327" s="23"/>
      <c r="O327" s="21"/>
      <c r="P327" s="21"/>
      <c r="Q327" s="21"/>
      <c r="R327" s="21"/>
      <c r="S327" s="21"/>
      <c r="T327" s="21"/>
    </row>
    <row r="328" spans="2:20" x14ac:dyDescent="0.3">
      <c r="B328" s="20"/>
      <c r="C328" s="21"/>
      <c r="D328" s="22"/>
      <c r="E328" s="21"/>
      <c r="F328" s="21"/>
      <c r="G328" s="21"/>
      <c r="H328" s="21"/>
      <c r="I328" s="20"/>
      <c r="J328" s="21"/>
      <c r="K328" s="21"/>
      <c r="L328" s="21"/>
      <c r="M328" s="23"/>
      <c r="N328" s="23"/>
      <c r="O328" s="21"/>
      <c r="P328" s="21"/>
      <c r="Q328" s="21"/>
      <c r="R328" s="21"/>
      <c r="S328" s="21"/>
      <c r="T328" s="21"/>
    </row>
    <row r="329" spans="2:20" x14ac:dyDescent="0.3">
      <c r="B329" s="20"/>
      <c r="C329" s="21"/>
      <c r="D329" s="22"/>
      <c r="E329" s="21"/>
      <c r="F329" s="21"/>
      <c r="G329" s="21"/>
      <c r="H329" s="21"/>
      <c r="I329" s="20"/>
      <c r="J329" s="21"/>
      <c r="K329" s="21"/>
      <c r="L329" s="21"/>
      <c r="M329" s="23"/>
      <c r="N329" s="23"/>
      <c r="O329" s="21"/>
      <c r="P329" s="21"/>
      <c r="Q329" s="21"/>
      <c r="R329" s="21"/>
      <c r="S329" s="21"/>
      <c r="T329" s="21"/>
    </row>
    <row r="330" spans="2:20" x14ac:dyDescent="0.3">
      <c r="B330" s="20"/>
      <c r="C330" s="21"/>
      <c r="D330" s="22"/>
      <c r="E330" s="21"/>
      <c r="F330" s="21"/>
      <c r="G330" s="21"/>
      <c r="H330" s="21"/>
      <c r="I330" s="20"/>
      <c r="J330" s="21"/>
      <c r="K330" s="21"/>
      <c r="L330" s="21"/>
      <c r="M330" s="23"/>
      <c r="N330" s="23"/>
      <c r="O330" s="21"/>
      <c r="P330" s="21"/>
      <c r="Q330" s="21"/>
      <c r="R330" s="21"/>
      <c r="S330" s="21"/>
      <c r="T330" s="21"/>
    </row>
    <row r="331" spans="2:20" x14ac:dyDescent="0.3">
      <c r="B331" s="20"/>
      <c r="C331" s="21"/>
      <c r="D331" s="22"/>
      <c r="E331" s="21"/>
      <c r="F331" s="21"/>
      <c r="G331" s="21"/>
      <c r="H331" s="21"/>
      <c r="I331" s="20"/>
      <c r="J331" s="21"/>
      <c r="K331" s="21"/>
      <c r="L331" s="21"/>
      <c r="M331" s="23"/>
      <c r="N331" s="23"/>
      <c r="O331" s="21"/>
      <c r="P331" s="21"/>
      <c r="Q331" s="21"/>
      <c r="R331" s="21"/>
      <c r="S331" s="21"/>
      <c r="T331" s="21"/>
    </row>
    <row r="332" spans="2:20" x14ac:dyDescent="0.3">
      <c r="B332" s="20"/>
      <c r="C332" s="21"/>
      <c r="D332" s="22"/>
      <c r="E332" s="21"/>
      <c r="F332" s="21"/>
      <c r="G332" s="21"/>
      <c r="H332" s="21"/>
      <c r="I332" s="20"/>
      <c r="J332" s="21"/>
      <c r="K332" s="21"/>
      <c r="L332" s="21"/>
      <c r="M332" s="23"/>
      <c r="N332" s="23"/>
      <c r="O332" s="21"/>
      <c r="P332" s="21"/>
      <c r="Q332" s="21"/>
      <c r="R332" s="21"/>
      <c r="S332" s="21"/>
      <c r="T332" s="21"/>
    </row>
    <row r="333" spans="2:20" x14ac:dyDescent="0.3">
      <c r="B333" s="20"/>
      <c r="C333" s="21"/>
      <c r="D333" s="22"/>
      <c r="E333" s="21"/>
      <c r="F333" s="21"/>
      <c r="G333" s="21"/>
      <c r="H333" s="21"/>
      <c r="I333" s="20"/>
      <c r="J333" s="21"/>
      <c r="K333" s="21"/>
      <c r="L333" s="21"/>
      <c r="M333" s="23"/>
      <c r="N333" s="23"/>
      <c r="O333" s="21"/>
      <c r="P333" s="21"/>
      <c r="Q333" s="21"/>
      <c r="R333" s="21"/>
      <c r="S333" s="21"/>
      <c r="T333" s="21"/>
    </row>
    <row r="334" spans="2:20" x14ac:dyDescent="0.3">
      <c r="B334" s="20"/>
      <c r="C334" s="21"/>
      <c r="D334" s="22"/>
      <c r="E334" s="21"/>
      <c r="F334" s="21"/>
      <c r="G334" s="21"/>
      <c r="H334" s="21"/>
      <c r="I334" s="20"/>
      <c r="J334" s="21"/>
      <c r="K334" s="21"/>
      <c r="L334" s="21"/>
      <c r="M334" s="23"/>
      <c r="N334" s="23"/>
      <c r="O334" s="21"/>
      <c r="P334" s="21"/>
      <c r="Q334" s="21"/>
      <c r="R334" s="21"/>
      <c r="S334" s="21"/>
      <c r="T334" s="21"/>
    </row>
    <row r="335" spans="2:20" x14ac:dyDescent="0.3">
      <c r="B335" s="20"/>
      <c r="C335" s="21"/>
      <c r="D335" s="22"/>
      <c r="E335" s="21"/>
      <c r="F335" s="21"/>
      <c r="G335" s="21"/>
      <c r="H335" s="21"/>
      <c r="I335" s="20"/>
      <c r="J335" s="21"/>
      <c r="K335" s="21"/>
      <c r="L335" s="21"/>
      <c r="M335" s="23"/>
      <c r="N335" s="23"/>
      <c r="O335" s="21"/>
      <c r="P335" s="21"/>
      <c r="Q335" s="21"/>
      <c r="R335" s="21"/>
      <c r="S335" s="21"/>
      <c r="T335" s="21"/>
    </row>
    <row r="336" spans="2:20" x14ac:dyDescent="0.3">
      <c r="B336" s="20"/>
      <c r="C336" s="21"/>
      <c r="D336" s="22"/>
      <c r="E336" s="21"/>
      <c r="F336" s="21"/>
      <c r="G336" s="21"/>
      <c r="H336" s="21"/>
      <c r="I336" s="20"/>
      <c r="J336" s="21"/>
      <c r="K336" s="21"/>
      <c r="L336" s="21"/>
      <c r="M336" s="23"/>
      <c r="N336" s="23"/>
      <c r="O336" s="21"/>
      <c r="P336" s="21"/>
      <c r="Q336" s="21"/>
      <c r="R336" s="21"/>
      <c r="S336" s="21"/>
      <c r="T336" s="21"/>
    </row>
    <row r="337" spans="2:20" x14ac:dyDescent="0.3">
      <c r="B337" s="20"/>
      <c r="C337" s="21"/>
      <c r="D337" s="22"/>
      <c r="E337" s="21"/>
      <c r="F337" s="21"/>
      <c r="G337" s="21"/>
      <c r="H337" s="21"/>
      <c r="I337" s="20"/>
      <c r="J337" s="21"/>
      <c r="K337" s="21"/>
      <c r="L337" s="21"/>
      <c r="M337" s="23"/>
      <c r="N337" s="23"/>
      <c r="O337" s="21"/>
      <c r="P337" s="21"/>
      <c r="Q337" s="21"/>
      <c r="R337" s="21"/>
      <c r="S337" s="21"/>
      <c r="T337" s="21"/>
    </row>
    <row r="338" spans="2:20" x14ac:dyDescent="0.3">
      <c r="B338" s="20"/>
      <c r="C338" s="21"/>
      <c r="D338" s="22"/>
      <c r="E338" s="21"/>
      <c r="F338" s="21"/>
      <c r="G338" s="21"/>
      <c r="H338" s="21"/>
      <c r="I338" s="20"/>
      <c r="J338" s="21"/>
      <c r="K338" s="21"/>
      <c r="L338" s="21"/>
      <c r="M338" s="23"/>
      <c r="N338" s="23"/>
      <c r="O338" s="21"/>
      <c r="P338" s="21"/>
      <c r="Q338" s="21"/>
      <c r="R338" s="21"/>
      <c r="S338" s="21"/>
      <c r="T338" s="21"/>
    </row>
    <row r="339" spans="2:20" x14ac:dyDescent="0.3">
      <c r="B339" s="20"/>
      <c r="C339" s="21"/>
      <c r="D339" s="22"/>
      <c r="E339" s="21"/>
      <c r="F339" s="21"/>
      <c r="G339" s="21"/>
      <c r="H339" s="21"/>
      <c r="I339" s="20"/>
      <c r="J339" s="21"/>
      <c r="K339" s="21"/>
      <c r="L339" s="21"/>
      <c r="M339" s="23"/>
      <c r="N339" s="23"/>
      <c r="O339" s="21"/>
      <c r="P339" s="21"/>
      <c r="Q339" s="21"/>
      <c r="R339" s="21"/>
      <c r="S339" s="21"/>
      <c r="T339" s="21"/>
    </row>
    <row r="340" spans="2:20" x14ac:dyDescent="0.3">
      <c r="B340" s="20"/>
      <c r="C340" s="21"/>
      <c r="D340" s="22"/>
      <c r="E340" s="21"/>
      <c r="F340" s="21"/>
      <c r="G340" s="21"/>
      <c r="H340" s="21"/>
      <c r="I340" s="20"/>
      <c r="J340" s="21"/>
      <c r="K340" s="21"/>
      <c r="L340" s="21"/>
      <c r="M340" s="23"/>
      <c r="N340" s="23"/>
      <c r="O340" s="21"/>
      <c r="P340" s="21"/>
      <c r="Q340" s="21"/>
      <c r="R340" s="21"/>
      <c r="S340" s="21"/>
      <c r="T340" s="21"/>
    </row>
    <row r="341" spans="2:20" x14ac:dyDescent="0.3">
      <c r="B341" s="20"/>
      <c r="C341" s="21"/>
      <c r="D341" s="22"/>
      <c r="E341" s="21"/>
      <c r="F341" s="21"/>
      <c r="G341" s="21"/>
      <c r="H341" s="21"/>
      <c r="I341" s="20"/>
      <c r="J341" s="21"/>
      <c r="K341" s="21"/>
      <c r="L341" s="21"/>
      <c r="M341" s="23"/>
      <c r="N341" s="23"/>
      <c r="O341" s="21"/>
      <c r="P341" s="21"/>
      <c r="Q341" s="21"/>
      <c r="R341" s="21"/>
      <c r="S341" s="21"/>
      <c r="T341" s="21"/>
    </row>
    <row r="342" spans="2:20" x14ac:dyDescent="0.3">
      <c r="B342" s="20"/>
      <c r="C342" s="21"/>
      <c r="D342" s="22"/>
      <c r="E342" s="21"/>
      <c r="F342" s="21"/>
      <c r="G342" s="21"/>
      <c r="H342" s="21"/>
      <c r="I342" s="20"/>
      <c r="J342" s="21"/>
      <c r="K342" s="21"/>
      <c r="L342" s="21"/>
      <c r="M342" s="23"/>
      <c r="N342" s="23"/>
      <c r="O342" s="21"/>
      <c r="P342" s="21"/>
      <c r="Q342" s="21"/>
      <c r="R342" s="21"/>
      <c r="S342" s="21"/>
      <c r="T342" s="21"/>
    </row>
    <row r="343" spans="2:20" x14ac:dyDescent="0.3">
      <c r="B343" s="20"/>
      <c r="C343" s="21"/>
      <c r="D343" s="22"/>
      <c r="E343" s="21"/>
      <c r="F343" s="21"/>
      <c r="G343" s="21"/>
      <c r="H343" s="21"/>
      <c r="I343" s="20"/>
      <c r="J343" s="21"/>
      <c r="K343" s="21"/>
      <c r="L343" s="21"/>
      <c r="M343" s="23"/>
      <c r="N343" s="23"/>
      <c r="O343" s="21"/>
      <c r="P343" s="21"/>
      <c r="Q343" s="21"/>
      <c r="R343" s="21"/>
      <c r="S343" s="21"/>
      <c r="T343" s="21"/>
    </row>
    <row r="344" spans="2:20" x14ac:dyDescent="0.3">
      <c r="B344" s="20"/>
      <c r="C344" s="21"/>
      <c r="D344" s="22"/>
      <c r="E344" s="21"/>
      <c r="F344" s="21"/>
      <c r="G344" s="21"/>
      <c r="H344" s="21"/>
      <c r="I344" s="20"/>
      <c r="J344" s="21"/>
      <c r="K344" s="21"/>
      <c r="L344" s="21"/>
      <c r="M344" s="23"/>
      <c r="N344" s="23"/>
      <c r="O344" s="21"/>
      <c r="P344" s="21"/>
      <c r="Q344" s="21"/>
      <c r="R344" s="21"/>
      <c r="S344" s="21"/>
      <c r="T344" s="21"/>
    </row>
    <row r="345" spans="2:20" x14ac:dyDescent="0.3">
      <c r="B345" s="20"/>
      <c r="C345" s="21"/>
      <c r="D345" s="22"/>
      <c r="E345" s="21"/>
      <c r="F345" s="21"/>
      <c r="G345" s="21"/>
      <c r="H345" s="21"/>
      <c r="I345" s="20"/>
      <c r="J345" s="21"/>
      <c r="K345" s="21"/>
      <c r="L345" s="21"/>
      <c r="M345" s="23"/>
      <c r="N345" s="23"/>
      <c r="O345" s="21"/>
      <c r="P345" s="21"/>
      <c r="Q345" s="21"/>
      <c r="R345" s="21"/>
      <c r="S345" s="21"/>
      <c r="T345" s="21"/>
    </row>
    <row r="346" spans="2:20" x14ac:dyDescent="0.3">
      <c r="B346" s="20"/>
      <c r="C346" s="21"/>
      <c r="D346" s="22"/>
      <c r="E346" s="21"/>
      <c r="F346" s="21"/>
      <c r="G346" s="21"/>
      <c r="H346" s="21"/>
      <c r="I346" s="20"/>
      <c r="J346" s="21"/>
      <c r="K346" s="21"/>
      <c r="L346" s="21"/>
      <c r="M346" s="23"/>
      <c r="N346" s="23"/>
      <c r="O346" s="21"/>
      <c r="P346" s="21"/>
      <c r="Q346" s="21"/>
      <c r="R346" s="21"/>
      <c r="S346" s="21"/>
      <c r="T346" s="21"/>
    </row>
    <row r="347" spans="2:20" x14ac:dyDescent="0.3">
      <c r="B347" s="20"/>
      <c r="C347" s="21"/>
      <c r="D347" s="22"/>
      <c r="E347" s="21"/>
      <c r="F347" s="21"/>
      <c r="G347" s="21"/>
      <c r="H347" s="21"/>
      <c r="I347" s="20"/>
      <c r="J347" s="21"/>
      <c r="K347" s="21"/>
      <c r="L347" s="21"/>
      <c r="M347" s="23"/>
      <c r="N347" s="23"/>
      <c r="O347" s="21"/>
      <c r="P347" s="21"/>
      <c r="Q347" s="21"/>
      <c r="R347" s="21"/>
      <c r="S347" s="21"/>
      <c r="T347" s="21"/>
    </row>
    <row r="348" spans="2:20" x14ac:dyDescent="0.3">
      <c r="B348" s="20"/>
      <c r="C348" s="21"/>
      <c r="D348" s="22"/>
      <c r="E348" s="21"/>
      <c r="F348" s="21"/>
      <c r="G348" s="21"/>
      <c r="H348" s="21"/>
      <c r="I348" s="20"/>
      <c r="J348" s="21"/>
      <c r="K348" s="21"/>
      <c r="L348" s="21"/>
      <c r="M348" s="23"/>
      <c r="N348" s="23"/>
      <c r="O348" s="21"/>
      <c r="P348" s="21"/>
      <c r="Q348" s="21"/>
      <c r="R348" s="21"/>
      <c r="S348" s="21"/>
      <c r="T348" s="21"/>
    </row>
    <row r="349" spans="2:20" x14ac:dyDescent="0.3">
      <c r="B349" s="20"/>
      <c r="C349" s="21"/>
      <c r="D349" s="22"/>
      <c r="E349" s="21"/>
      <c r="F349" s="21"/>
      <c r="G349" s="21"/>
      <c r="H349" s="21"/>
      <c r="I349" s="20"/>
      <c r="J349" s="21"/>
      <c r="K349" s="21"/>
      <c r="L349" s="21"/>
      <c r="M349" s="23"/>
      <c r="N349" s="23"/>
      <c r="O349" s="21"/>
      <c r="P349" s="21"/>
      <c r="Q349" s="21"/>
      <c r="R349" s="21"/>
      <c r="S349" s="21"/>
      <c r="T349" s="21"/>
    </row>
    <row r="350" spans="2:20" x14ac:dyDescent="0.3">
      <c r="B350" s="20"/>
      <c r="C350" s="21"/>
      <c r="D350" s="22"/>
      <c r="E350" s="21"/>
      <c r="F350" s="21"/>
      <c r="G350" s="21"/>
      <c r="H350" s="21"/>
      <c r="I350" s="20"/>
      <c r="J350" s="21"/>
      <c r="K350" s="21"/>
      <c r="L350" s="21"/>
      <c r="M350" s="23"/>
      <c r="N350" s="23"/>
      <c r="O350" s="21"/>
      <c r="P350" s="21"/>
      <c r="Q350" s="21"/>
      <c r="R350" s="21"/>
      <c r="S350" s="21"/>
      <c r="T350" s="21"/>
    </row>
    <row r="351" spans="2:20" x14ac:dyDescent="0.3">
      <c r="B351" s="20"/>
      <c r="C351" s="21"/>
      <c r="D351" s="22"/>
      <c r="E351" s="21"/>
      <c r="F351" s="21"/>
      <c r="G351" s="21"/>
      <c r="H351" s="21"/>
      <c r="I351" s="20"/>
      <c r="J351" s="21"/>
      <c r="K351" s="21"/>
      <c r="L351" s="21"/>
      <c r="M351" s="23"/>
      <c r="N351" s="23"/>
      <c r="O351" s="21"/>
      <c r="P351" s="21"/>
      <c r="Q351" s="21"/>
      <c r="R351" s="21"/>
      <c r="S351" s="21"/>
      <c r="T351" s="21"/>
    </row>
    <row r="352" spans="2:20" x14ac:dyDescent="0.3">
      <c r="B352" s="20"/>
      <c r="C352" s="21"/>
      <c r="D352" s="22"/>
      <c r="E352" s="21"/>
      <c r="F352" s="21"/>
      <c r="G352" s="21"/>
      <c r="H352" s="21"/>
      <c r="I352" s="20"/>
      <c r="J352" s="21"/>
      <c r="K352" s="21"/>
      <c r="L352" s="21"/>
      <c r="M352" s="23"/>
      <c r="N352" s="23"/>
      <c r="O352" s="21"/>
      <c r="P352" s="21"/>
      <c r="Q352" s="21"/>
      <c r="R352" s="21"/>
      <c r="S352" s="21"/>
      <c r="T352" s="21"/>
    </row>
    <row r="353" spans="2:20" x14ac:dyDescent="0.3">
      <c r="B353" s="20"/>
      <c r="C353" s="21"/>
      <c r="D353" s="22"/>
      <c r="E353" s="21"/>
      <c r="F353" s="21"/>
      <c r="G353" s="21"/>
      <c r="H353" s="21"/>
      <c r="I353" s="20"/>
      <c r="J353" s="21"/>
      <c r="K353" s="21"/>
      <c r="L353" s="21"/>
      <c r="M353" s="23"/>
      <c r="N353" s="23"/>
      <c r="O353" s="21"/>
      <c r="P353" s="21"/>
      <c r="Q353" s="21"/>
      <c r="R353" s="21"/>
      <c r="S353" s="21"/>
      <c r="T353" s="21"/>
    </row>
    <row r="354" spans="2:20" x14ac:dyDescent="0.3">
      <c r="B354" s="20"/>
      <c r="C354" s="21"/>
      <c r="D354" s="22"/>
      <c r="E354" s="21"/>
      <c r="F354" s="21"/>
      <c r="G354" s="21"/>
      <c r="H354" s="21"/>
      <c r="I354" s="20"/>
      <c r="J354" s="21"/>
      <c r="K354" s="21"/>
      <c r="L354" s="21"/>
      <c r="M354" s="23"/>
      <c r="N354" s="23"/>
      <c r="O354" s="21"/>
      <c r="P354" s="21"/>
      <c r="Q354" s="21"/>
      <c r="R354" s="21"/>
      <c r="S354" s="21"/>
      <c r="T354" s="21"/>
    </row>
    <row r="355" spans="2:20" x14ac:dyDescent="0.3">
      <c r="B355" s="20"/>
      <c r="C355" s="21"/>
      <c r="D355" s="22"/>
      <c r="E355" s="21"/>
      <c r="F355" s="21"/>
      <c r="G355" s="21"/>
      <c r="H355" s="21"/>
      <c r="I355" s="20"/>
      <c r="J355" s="21"/>
      <c r="K355" s="21"/>
      <c r="L355" s="21"/>
      <c r="M355" s="23"/>
      <c r="N355" s="23"/>
      <c r="O355" s="21"/>
      <c r="P355" s="21"/>
      <c r="Q355" s="21"/>
      <c r="R355" s="21"/>
      <c r="S355" s="21"/>
      <c r="T355" s="21"/>
    </row>
    <row r="356" spans="2:20" x14ac:dyDescent="0.3">
      <c r="B356" s="20"/>
      <c r="C356" s="21"/>
      <c r="D356" s="22"/>
      <c r="E356" s="21"/>
      <c r="F356" s="21"/>
      <c r="G356" s="21"/>
      <c r="H356" s="21"/>
      <c r="I356" s="20"/>
      <c r="J356" s="21"/>
      <c r="K356" s="21"/>
      <c r="L356" s="21"/>
      <c r="M356" s="23"/>
      <c r="N356" s="23"/>
      <c r="O356" s="21"/>
      <c r="P356" s="21"/>
      <c r="Q356" s="21"/>
      <c r="R356" s="21"/>
      <c r="S356" s="21"/>
      <c r="T356" s="21"/>
    </row>
    <row r="357" spans="2:20" x14ac:dyDescent="0.3">
      <c r="B357" s="20"/>
      <c r="C357" s="21"/>
      <c r="D357" s="22"/>
      <c r="E357" s="21"/>
      <c r="F357" s="21"/>
      <c r="G357" s="21"/>
      <c r="H357" s="21"/>
      <c r="I357" s="20"/>
      <c r="J357" s="21"/>
      <c r="K357" s="21"/>
      <c r="L357" s="21"/>
      <c r="M357" s="23"/>
      <c r="N357" s="23"/>
      <c r="O357" s="21"/>
      <c r="P357" s="21"/>
      <c r="Q357" s="21"/>
      <c r="R357" s="21"/>
      <c r="S357" s="21"/>
      <c r="T357" s="21"/>
    </row>
    <row r="358" spans="2:20" x14ac:dyDescent="0.3">
      <c r="B358" s="20"/>
      <c r="C358" s="21"/>
      <c r="D358" s="22"/>
      <c r="E358" s="21"/>
      <c r="F358" s="21"/>
      <c r="G358" s="21"/>
      <c r="H358" s="21"/>
      <c r="I358" s="20"/>
      <c r="J358" s="21"/>
      <c r="K358" s="21"/>
      <c r="L358" s="21"/>
      <c r="M358" s="23"/>
      <c r="N358" s="23"/>
      <c r="O358" s="21"/>
      <c r="P358" s="21"/>
      <c r="Q358" s="21"/>
      <c r="R358" s="21"/>
      <c r="S358" s="21"/>
      <c r="T358" s="21"/>
    </row>
    <row r="359" spans="2:20" x14ac:dyDescent="0.3">
      <c r="B359" s="20"/>
      <c r="C359" s="21"/>
      <c r="D359" s="22"/>
      <c r="E359" s="21"/>
      <c r="F359" s="21"/>
      <c r="G359" s="21"/>
      <c r="H359" s="21"/>
      <c r="I359" s="20"/>
      <c r="J359" s="21"/>
      <c r="K359" s="21"/>
      <c r="L359" s="21"/>
      <c r="M359" s="23"/>
      <c r="N359" s="23"/>
      <c r="O359" s="21"/>
      <c r="P359" s="21"/>
      <c r="Q359" s="21"/>
      <c r="R359" s="21"/>
      <c r="S359" s="21"/>
      <c r="T359" s="21"/>
    </row>
    <row r="360" spans="2:20" x14ac:dyDescent="0.3">
      <c r="B360" s="20"/>
      <c r="C360" s="21"/>
      <c r="D360" s="22"/>
      <c r="E360" s="21"/>
      <c r="F360" s="21"/>
      <c r="G360" s="21"/>
      <c r="H360" s="21"/>
      <c r="I360" s="20"/>
      <c r="J360" s="21"/>
      <c r="K360" s="21"/>
      <c r="L360" s="21"/>
      <c r="M360" s="23"/>
      <c r="N360" s="23"/>
      <c r="O360" s="21"/>
      <c r="P360" s="21"/>
      <c r="Q360" s="21"/>
      <c r="R360" s="21"/>
      <c r="S360" s="21"/>
      <c r="T360" s="21"/>
    </row>
    <row r="361" spans="2:20" x14ac:dyDescent="0.3">
      <c r="B361" s="20"/>
      <c r="C361" s="21"/>
      <c r="D361" s="22"/>
      <c r="E361" s="21"/>
      <c r="F361" s="21"/>
      <c r="G361" s="21"/>
      <c r="H361" s="21"/>
      <c r="I361" s="20"/>
      <c r="J361" s="21"/>
      <c r="K361" s="21"/>
      <c r="L361" s="21"/>
      <c r="M361" s="23"/>
      <c r="N361" s="23"/>
      <c r="O361" s="21"/>
      <c r="P361" s="21"/>
      <c r="Q361" s="21"/>
      <c r="R361" s="21"/>
      <c r="S361" s="21"/>
      <c r="T361" s="21"/>
    </row>
    <row r="362" spans="2:20" x14ac:dyDescent="0.3">
      <c r="B362" s="20"/>
      <c r="C362" s="21"/>
      <c r="D362" s="22"/>
      <c r="E362" s="21"/>
      <c r="F362" s="21"/>
      <c r="G362" s="21"/>
      <c r="H362" s="21"/>
      <c r="I362" s="20"/>
      <c r="J362" s="21"/>
      <c r="K362" s="21"/>
      <c r="L362" s="21"/>
      <c r="M362" s="23"/>
      <c r="N362" s="23"/>
      <c r="O362" s="21"/>
      <c r="P362" s="21"/>
      <c r="Q362" s="21"/>
      <c r="R362" s="21"/>
      <c r="S362" s="21"/>
      <c r="T362" s="21"/>
    </row>
    <row r="363" spans="2:20" x14ac:dyDescent="0.3">
      <c r="B363" s="20"/>
      <c r="C363" s="21"/>
      <c r="D363" s="22"/>
      <c r="E363" s="21"/>
      <c r="F363" s="21"/>
      <c r="G363" s="21"/>
      <c r="H363" s="21"/>
      <c r="I363" s="20"/>
      <c r="J363" s="21"/>
      <c r="K363" s="21"/>
      <c r="L363" s="21"/>
      <c r="M363" s="23"/>
      <c r="N363" s="23"/>
      <c r="O363" s="21"/>
      <c r="P363" s="21"/>
      <c r="Q363" s="21"/>
      <c r="R363" s="21"/>
      <c r="S363" s="21"/>
      <c r="T363" s="21"/>
    </row>
    <row r="364" spans="2:20" x14ac:dyDescent="0.3">
      <c r="B364" s="20"/>
      <c r="C364" s="21"/>
      <c r="D364" s="22"/>
      <c r="E364" s="21"/>
      <c r="F364" s="21"/>
      <c r="G364" s="21"/>
      <c r="H364" s="21"/>
      <c r="I364" s="20"/>
      <c r="J364" s="21"/>
      <c r="K364" s="21"/>
      <c r="L364" s="21"/>
      <c r="M364" s="23"/>
      <c r="N364" s="23"/>
      <c r="O364" s="21"/>
      <c r="P364" s="21"/>
      <c r="Q364" s="21"/>
      <c r="R364" s="21"/>
      <c r="S364" s="21"/>
      <c r="T364" s="21"/>
    </row>
    <row r="365" spans="2:20" x14ac:dyDescent="0.3">
      <c r="B365" s="20"/>
      <c r="C365" s="21"/>
      <c r="D365" s="22"/>
      <c r="E365" s="21"/>
      <c r="F365" s="21"/>
      <c r="G365" s="21"/>
      <c r="H365" s="21"/>
      <c r="I365" s="20"/>
      <c r="J365" s="21"/>
      <c r="K365" s="21"/>
      <c r="L365" s="21"/>
      <c r="M365" s="23"/>
      <c r="N365" s="23"/>
      <c r="O365" s="21"/>
      <c r="P365" s="21"/>
      <c r="Q365" s="21"/>
      <c r="R365" s="21"/>
      <c r="S365" s="21"/>
      <c r="T365" s="21"/>
    </row>
    <row r="366" spans="2:20" x14ac:dyDescent="0.3">
      <c r="B366" s="20"/>
      <c r="C366" s="21"/>
      <c r="D366" s="22"/>
      <c r="E366" s="21"/>
      <c r="F366" s="21"/>
      <c r="G366" s="21"/>
      <c r="H366" s="21"/>
      <c r="I366" s="20"/>
      <c r="J366" s="21"/>
      <c r="K366" s="21"/>
      <c r="L366" s="21"/>
      <c r="M366" s="23"/>
      <c r="N366" s="23"/>
      <c r="O366" s="21"/>
      <c r="P366" s="21"/>
      <c r="Q366" s="21"/>
      <c r="R366" s="21"/>
      <c r="S366" s="21"/>
      <c r="T366" s="21"/>
    </row>
    <row r="367" spans="2:20" x14ac:dyDescent="0.3">
      <c r="B367" s="20"/>
      <c r="C367" s="21"/>
      <c r="D367" s="22"/>
      <c r="E367" s="21"/>
      <c r="F367" s="21"/>
      <c r="G367" s="21"/>
      <c r="H367" s="21"/>
      <c r="I367" s="20"/>
      <c r="J367" s="21"/>
      <c r="K367" s="21"/>
      <c r="L367" s="21"/>
      <c r="M367" s="23"/>
      <c r="N367" s="23"/>
      <c r="O367" s="21"/>
      <c r="P367" s="21"/>
      <c r="Q367" s="21"/>
      <c r="R367" s="21"/>
      <c r="S367" s="21"/>
      <c r="T367" s="21"/>
    </row>
    <row r="368" spans="2:20" x14ac:dyDescent="0.3">
      <c r="B368" s="20"/>
      <c r="C368" s="21"/>
      <c r="D368" s="22"/>
      <c r="E368" s="21"/>
      <c r="F368" s="21"/>
      <c r="G368" s="21"/>
      <c r="H368" s="21"/>
      <c r="I368" s="20"/>
      <c r="J368" s="21"/>
      <c r="K368" s="21"/>
      <c r="L368" s="21"/>
      <c r="M368" s="23"/>
      <c r="N368" s="23"/>
      <c r="O368" s="21"/>
      <c r="P368" s="21"/>
      <c r="Q368" s="21"/>
      <c r="R368" s="21"/>
      <c r="S368" s="21"/>
      <c r="T368" s="21"/>
    </row>
    <row r="369" spans="2:20" x14ac:dyDescent="0.3">
      <c r="B369" s="20"/>
      <c r="C369" s="21"/>
      <c r="D369" s="22"/>
      <c r="E369" s="21"/>
      <c r="F369" s="21"/>
      <c r="G369" s="21"/>
      <c r="H369" s="21"/>
      <c r="I369" s="20"/>
      <c r="J369" s="21"/>
      <c r="K369" s="21"/>
      <c r="L369" s="21"/>
      <c r="M369" s="23"/>
      <c r="N369" s="23"/>
      <c r="O369" s="21"/>
      <c r="P369" s="21"/>
      <c r="Q369" s="21"/>
      <c r="R369" s="21"/>
      <c r="S369" s="21"/>
      <c r="T369" s="21"/>
    </row>
    <row r="370" spans="2:20" x14ac:dyDescent="0.3">
      <c r="B370" s="20"/>
      <c r="C370" s="21"/>
      <c r="D370" s="22"/>
      <c r="E370" s="21"/>
      <c r="F370" s="21"/>
      <c r="G370" s="21"/>
      <c r="H370" s="21"/>
      <c r="I370" s="20"/>
      <c r="J370" s="21"/>
      <c r="K370" s="21"/>
      <c r="L370" s="21"/>
      <c r="M370" s="23"/>
      <c r="N370" s="23"/>
      <c r="O370" s="21"/>
      <c r="P370" s="21"/>
      <c r="Q370" s="21"/>
      <c r="R370" s="21"/>
      <c r="S370" s="21"/>
      <c r="T370" s="21"/>
    </row>
    <row r="371" spans="2:20" x14ac:dyDescent="0.3">
      <c r="B371" s="20"/>
      <c r="C371" s="21"/>
      <c r="D371" s="22"/>
      <c r="E371" s="21"/>
      <c r="F371" s="21"/>
      <c r="G371" s="21"/>
      <c r="H371" s="21"/>
      <c r="I371" s="20"/>
      <c r="J371" s="21"/>
      <c r="K371" s="21"/>
      <c r="L371" s="21"/>
      <c r="M371" s="23"/>
      <c r="N371" s="23"/>
      <c r="O371" s="21"/>
      <c r="P371" s="21"/>
      <c r="Q371" s="21"/>
      <c r="R371" s="21"/>
      <c r="S371" s="21"/>
      <c r="T371" s="21"/>
    </row>
    <row r="372" spans="2:20" x14ac:dyDescent="0.3">
      <c r="B372" s="20"/>
      <c r="C372" s="21"/>
      <c r="D372" s="22"/>
      <c r="E372" s="21"/>
      <c r="F372" s="21"/>
      <c r="G372" s="21"/>
      <c r="H372" s="21"/>
      <c r="I372" s="20"/>
      <c r="J372" s="21"/>
      <c r="K372" s="21"/>
      <c r="L372" s="21"/>
      <c r="M372" s="23"/>
      <c r="N372" s="23"/>
      <c r="O372" s="21"/>
      <c r="P372" s="21"/>
      <c r="Q372" s="21"/>
      <c r="R372" s="21"/>
      <c r="S372" s="21"/>
      <c r="T372" s="21"/>
    </row>
    <row r="373" spans="2:20" x14ac:dyDescent="0.3">
      <c r="B373" s="20"/>
      <c r="C373" s="21"/>
      <c r="D373" s="22"/>
      <c r="E373" s="21"/>
      <c r="F373" s="21"/>
      <c r="G373" s="21"/>
      <c r="H373" s="21"/>
      <c r="I373" s="20"/>
      <c r="J373" s="21"/>
      <c r="K373" s="21"/>
      <c r="L373" s="21"/>
      <c r="M373" s="23"/>
      <c r="N373" s="23"/>
      <c r="O373" s="21"/>
      <c r="P373" s="21"/>
      <c r="Q373" s="21"/>
      <c r="R373" s="21"/>
      <c r="S373" s="21"/>
      <c r="T373" s="21"/>
    </row>
    <row r="374" spans="2:20" x14ac:dyDescent="0.3">
      <c r="B374" s="20"/>
      <c r="C374" s="21"/>
      <c r="D374" s="22"/>
      <c r="E374" s="21"/>
      <c r="F374" s="21"/>
      <c r="G374" s="21"/>
      <c r="H374" s="21"/>
      <c r="I374" s="20"/>
      <c r="J374" s="21"/>
      <c r="K374" s="21"/>
      <c r="L374" s="21"/>
      <c r="M374" s="23"/>
      <c r="N374" s="23"/>
      <c r="O374" s="21"/>
      <c r="P374" s="21"/>
      <c r="Q374" s="21"/>
      <c r="R374" s="21"/>
      <c r="S374" s="21"/>
      <c r="T374" s="21"/>
    </row>
    <row r="375" spans="2:20" x14ac:dyDescent="0.3">
      <c r="B375" s="20"/>
      <c r="C375" s="21"/>
      <c r="D375" s="22"/>
      <c r="E375" s="21"/>
      <c r="F375" s="21"/>
      <c r="G375" s="21"/>
      <c r="H375" s="21"/>
      <c r="I375" s="20"/>
      <c r="J375" s="21"/>
      <c r="K375" s="21"/>
      <c r="L375" s="21"/>
      <c r="M375" s="23"/>
      <c r="N375" s="23"/>
      <c r="O375" s="21"/>
      <c r="P375" s="21"/>
      <c r="Q375" s="21"/>
      <c r="R375" s="21"/>
      <c r="S375" s="21"/>
      <c r="T375" s="21"/>
    </row>
    <row r="376" spans="2:20" x14ac:dyDescent="0.3">
      <c r="B376" s="20"/>
      <c r="C376" s="21"/>
      <c r="D376" s="22"/>
      <c r="E376" s="21"/>
      <c r="F376" s="21"/>
      <c r="G376" s="21"/>
      <c r="H376" s="21"/>
      <c r="I376" s="20"/>
      <c r="J376" s="21"/>
      <c r="K376" s="21"/>
      <c r="L376" s="21"/>
      <c r="M376" s="23"/>
      <c r="N376" s="23"/>
      <c r="O376" s="21"/>
      <c r="P376" s="21"/>
      <c r="Q376" s="21"/>
      <c r="R376" s="21"/>
      <c r="S376" s="21"/>
      <c r="T376" s="21"/>
    </row>
    <row r="377" spans="2:20" x14ac:dyDescent="0.3">
      <c r="B377" s="20"/>
      <c r="C377" s="21"/>
      <c r="D377" s="22"/>
      <c r="E377" s="21"/>
      <c r="F377" s="21"/>
      <c r="G377" s="21"/>
      <c r="H377" s="21"/>
      <c r="I377" s="20"/>
      <c r="J377" s="21"/>
      <c r="K377" s="21"/>
      <c r="L377" s="21"/>
      <c r="M377" s="23"/>
      <c r="N377" s="23"/>
      <c r="O377" s="21"/>
      <c r="P377" s="21"/>
      <c r="Q377" s="21"/>
      <c r="R377" s="21"/>
      <c r="S377" s="21"/>
      <c r="T377" s="21"/>
    </row>
    <row r="378" spans="2:20" x14ac:dyDescent="0.3">
      <c r="B378" s="20"/>
      <c r="C378" s="21"/>
      <c r="D378" s="22"/>
      <c r="E378" s="21"/>
      <c r="F378" s="21"/>
      <c r="G378" s="21"/>
      <c r="H378" s="21"/>
      <c r="I378" s="20"/>
      <c r="J378" s="21"/>
      <c r="K378" s="21"/>
      <c r="L378" s="21"/>
      <c r="M378" s="23"/>
      <c r="N378" s="23"/>
      <c r="O378" s="21"/>
      <c r="P378" s="21"/>
      <c r="Q378" s="21"/>
      <c r="R378" s="21"/>
      <c r="S378" s="21"/>
      <c r="T378" s="21"/>
    </row>
    <row r="379" spans="2:20" x14ac:dyDescent="0.3">
      <c r="B379" s="20"/>
      <c r="C379" s="21"/>
      <c r="D379" s="22"/>
      <c r="E379" s="21"/>
      <c r="F379" s="21"/>
      <c r="G379" s="21"/>
      <c r="H379" s="21"/>
      <c r="I379" s="20"/>
      <c r="J379" s="21"/>
      <c r="K379" s="21"/>
      <c r="L379" s="21"/>
      <c r="M379" s="23"/>
      <c r="N379" s="23"/>
      <c r="O379" s="21"/>
      <c r="P379" s="21"/>
      <c r="Q379" s="21"/>
      <c r="R379" s="21"/>
      <c r="S379" s="21"/>
      <c r="T379" s="21"/>
    </row>
    <row r="380" spans="2:20" x14ac:dyDescent="0.3">
      <c r="B380" s="20"/>
      <c r="C380" s="21"/>
      <c r="D380" s="22"/>
      <c r="E380" s="21"/>
      <c r="F380" s="21"/>
      <c r="G380" s="21"/>
      <c r="H380" s="21"/>
      <c r="I380" s="20"/>
      <c r="J380" s="21"/>
      <c r="K380" s="21"/>
      <c r="L380" s="21"/>
      <c r="M380" s="23"/>
      <c r="N380" s="23"/>
      <c r="O380" s="21"/>
      <c r="P380" s="21"/>
      <c r="Q380" s="21"/>
      <c r="R380" s="21"/>
      <c r="S380" s="21"/>
      <c r="T380" s="21"/>
    </row>
    <row r="381" spans="2:20" x14ac:dyDescent="0.3">
      <c r="B381" s="20"/>
      <c r="C381" s="21"/>
      <c r="D381" s="22"/>
      <c r="E381" s="21"/>
      <c r="F381" s="21"/>
      <c r="G381" s="21"/>
      <c r="H381" s="21"/>
      <c r="I381" s="20"/>
      <c r="J381" s="21"/>
      <c r="K381" s="21"/>
      <c r="L381" s="21"/>
      <c r="M381" s="23"/>
      <c r="N381" s="23"/>
      <c r="O381" s="21"/>
      <c r="P381" s="21"/>
      <c r="Q381" s="21"/>
      <c r="R381" s="21"/>
      <c r="S381" s="21"/>
      <c r="T381" s="21"/>
    </row>
    <row r="382" spans="2:20" x14ac:dyDescent="0.3">
      <c r="B382" s="20"/>
      <c r="C382" s="21"/>
      <c r="D382" s="22"/>
      <c r="E382" s="21"/>
      <c r="F382" s="21"/>
      <c r="G382" s="21"/>
      <c r="H382" s="21"/>
      <c r="I382" s="20"/>
      <c r="J382" s="21"/>
      <c r="K382" s="21"/>
      <c r="L382" s="21"/>
      <c r="M382" s="23"/>
      <c r="N382" s="23"/>
      <c r="O382" s="21"/>
      <c r="P382" s="21"/>
      <c r="Q382" s="21"/>
      <c r="R382" s="21"/>
      <c r="S382" s="21"/>
      <c r="T382" s="21"/>
    </row>
    <row r="383" spans="2:20" x14ac:dyDescent="0.3">
      <c r="B383" s="20"/>
      <c r="C383" s="21"/>
      <c r="D383" s="22"/>
      <c r="E383" s="21"/>
      <c r="F383" s="21"/>
      <c r="G383" s="21"/>
      <c r="H383" s="21"/>
      <c r="I383" s="20"/>
      <c r="J383" s="21"/>
      <c r="K383" s="21"/>
      <c r="L383" s="21"/>
      <c r="M383" s="23"/>
      <c r="N383" s="23"/>
      <c r="O383" s="21"/>
      <c r="P383" s="21"/>
      <c r="Q383" s="21"/>
      <c r="R383" s="21"/>
      <c r="S383" s="21"/>
      <c r="T383" s="21"/>
    </row>
    <row r="384" spans="2:20" x14ac:dyDescent="0.3">
      <c r="B384" s="20"/>
      <c r="C384" s="21"/>
      <c r="D384" s="22"/>
      <c r="E384" s="21"/>
      <c r="F384" s="21"/>
      <c r="G384" s="21"/>
      <c r="H384" s="21"/>
      <c r="I384" s="20"/>
      <c r="J384" s="21"/>
      <c r="K384" s="21"/>
      <c r="L384" s="21"/>
      <c r="M384" s="23"/>
      <c r="N384" s="23"/>
      <c r="O384" s="21"/>
      <c r="P384" s="21"/>
      <c r="Q384" s="21"/>
      <c r="R384" s="21"/>
      <c r="S384" s="21"/>
      <c r="T384" s="21"/>
    </row>
    <row r="385" spans="2:20" x14ac:dyDescent="0.3">
      <c r="B385" s="20"/>
      <c r="C385" s="21"/>
      <c r="D385" s="22"/>
      <c r="E385" s="21"/>
      <c r="F385" s="21"/>
      <c r="G385" s="21"/>
      <c r="H385" s="21"/>
      <c r="I385" s="20"/>
      <c r="J385" s="21"/>
      <c r="K385" s="21"/>
      <c r="L385" s="21"/>
      <c r="M385" s="23"/>
      <c r="N385" s="23"/>
      <c r="O385" s="21"/>
      <c r="P385" s="21"/>
      <c r="Q385" s="21"/>
      <c r="R385" s="21"/>
      <c r="S385" s="21"/>
      <c r="T385" s="21"/>
    </row>
    <row r="386" spans="2:20" x14ac:dyDescent="0.3">
      <c r="B386" s="20"/>
      <c r="C386" s="21"/>
      <c r="D386" s="22"/>
      <c r="E386" s="21"/>
      <c r="F386" s="21"/>
      <c r="G386" s="21"/>
      <c r="H386" s="21"/>
      <c r="I386" s="20"/>
      <c r="J386" s="21"/>
      <c r="K386" s="21"/>
      <c r="L386" s="21"/>
      <c r="M386" s="23"/>
      <c r="N386" s="23"/>
      <c r="O386" s="21"/>
      <c r="P386" s="21"/>
      <c r="Q386" s="21"/>
      <c r="R386" s="21"/>
      <c r="S386" s="21"/>
      <c r="T386" s="21"/>
    </row>
    <row r="387" spans="2:20" x14ac:dyDescent="0.3">
      <c r="B387" s="20"/>
      <c r="C387" s="21"/>
      <c r="D387" s="22"/>
      <c r="E387" s="21"/>
      <c r="F387" s="21"/>
      <c r="G387" s="21"/>
      <c r="H387" s="21"/>
      <c r="I387" s="20"/>
      <c r="J387" s="21"/>
      <c r="K387" s="21"/>
      <c r="L387" s="21"/>
      <c r="M387" s="23"/>
      <c r="N387" s="23"/>
      <c r="O387" s="21"/>
      <c r="P387" s="21"/>
      <c r="Q387" s="21"/>
      <c r="R387" s="21"/>
      <c r="S387" s="21"/>
      <c r="T387" s="21"/>
    </row>
    <row r="388" spans="2:20" x14ac:dyDescent="0.3">
      <c r="B388" s="20"/>
      <c r="C388" s="21"/>
      <c r="D388" s="22"/>
      <c r="E388" s="21"/>
      <c r="F388" s="21"/>
      <c r="G388" s="21"/>
      <c r="H388" s="21"/>
      <c r="I388" s="20"/>
      <c r="J388" s="21"/>
      <c r="K388" s="21"/>
      <c r="L388" s="21"/>
      <c r="M388" s="23"/>
      <c r="N388" s="23"/>
      <c r="O388" s="21"/>
      <c r="P388" s="21"/>
      <c r="Q388" s="21"/>
      <c r="R388" s="21"/>
      <c r="S388" s="21"/>
      <c r="T388" s="21"/>
    </row>
    <row r="389" spans="2:20" x14ac:dyDescent="0.3">
      <c r="B389" s="20"/>
      <c r="C389" s="21"/>
      <c r="D389" s="22"/>
      <c r="E389" s="21"/>
      <c r="F389" s="21"/>
      <c r="G389" s="21"/>
      <c r="H389" s="21"/>
      <c r="I389" s="20"/>
      <c r="J389" s="21"/>
      <c r="K389" s="21"/>
      <c r="L389" s="21"/>
      <c r="M389" s="23"/>
      <c r="N389" s="23"/>
      <c r="O389" s="21"/>
      <c r="P389" s="21"/>
      <c r="Q389" s="21"/>
      <c r="R389" s="21"/>
      <c r="S389" s="21"/>
      <c r="T389" s="21"/>
    </row>
    <row r="390" spans="2:20" x14ac:dyDescent="0.3">
      <c r="B390" s="20"/>
      <c r="C390" s="21"/>
      <c r="D390" s="22"/>
      <c r="E390" s="21"/>
      <c r="F390" s="21"/>
      <c r="G390" s="21"/>
      <c r="H390" s="21"/>
      <c r="I390" s="20"/>
      <c r="J390" s="21"/>
      <c r="K390" s="21"/>
      <c r="L390" s="21"/>
      <c r="M390" s="23"/>
      <c r="N390" s="23"/>
      <c r="O390" s="21"/>
      <c r="P390" s="21"/>
      <c r="Q390" s="21"/>
      <c r="R390" s="21"/>
      <c r="S390" s="21"/>
      <c r="T390" s="21"/>
    </row>
    <row r="391" spans="2:20" x14ac:dyDescent="0.3">
      <c r="B391" s="20"/>
      <c r="C391" s="21"/>
      <c r="D391" s="22"/>
      <c r="E391" s="21"/>
      <c r="F391" s="21"/>
      <c r="G391" s="21"/>
      <c r="H391" s="21"/>
      <c r="I391" s="20"/>
      <c r="J391" s="21"/>
      <c r="K391" s="21"/>
      <c r="L391" s="21"/>
      <c r="M391" s="23"/>
      <c r="N391" s="23"/>
      <c r="O391" s="21"/>
      <c r="P391" s="21"/>
      <c r="Q391" s="21"/>
      <c r="R391" s="21"/>
      <c r="S391" s="21"/>
      <c r="T391" s="21"/>
    </row>
    <row r="392" spans="2:20" x14ac:dyDescent="0.3">
      <c r="B392" s="20"/>
      <c r="C392" s="21"/>
      <c r="D392" s="22"/>
      <c r="E392" s="21"/>
      <c r="F392" s="21"/>
      <c r="G392" s="21"/>
      <c r="H392" s="21"/>
      <c r="I392" s="20"/>
      <c r="J392" s="21"/>
      <c r="K392" s="21"/>
      <c r="L392" s="21"/>
      <c r="M392" s="23"/>
      <c r="N392" s="23"/>
      <c r="O392" s="21"/>
      <c r="P392" s="21"/>
      <c r="Q392" s="21"/>
      <c r="R392" s="21"/>
      <c r="S392" s="21"/>
      <c r="T392" s="21"/>
    </row>
    <row r="393" spans="2:20" x14ac:dyDescent="0.3">
      <c r="B393" s="20"/>
      <c r="C393" s="21"/>
      <c r="D393" s="22"/>
      <c r="E393" s="21"/>
      <c r="F393" s="21"/>
      <c r="G393" s="21"/>
      <c r="H393" s="21"/>
      <c r="I393" s="20"/>
      <c r="J393" s="21"/>
      <c r="K393" s="21"/>
      <c r="L393" s="21"/>
      <c r="M393" s="23"/>
      <c r="N393" s="23"/>
      <c r="O393" s="21"/>
      <c r="P393" s="21"/>
      <c r="Q393" s="21"/>
      <c r="R393" s="21"/>
      <c r="S393" s="21"/>
      <c r="T393" s="21"/>
    </row>
    <row r="394" spans="2:20" x14ac:dyDescent="0.3">
      <c r="B394" s="20"/>
      <c r="C394" s="21"/>
      <c r="D394" s="22"/>
      <c r="E394" s="21"/>
      <c r="F394" s="21"/>
      <c r="G394" s="21"/>
      <c r="H394" s="21"/>
      <c r="I394" s="20"/>
      <c r="J394" s="21"/>
      <c r="K394" s="21"/>
      <c r="L394" s="21"/>
      <c r="M394" s="23"/>
      <c r="N394" s="23"/>
      <c r="O394" s="21"/>
      <c r="P394" s="21"/>
      <c r="Q394" s="21"/>
      <c r="R394" s="21"/>
      <c r="S394" s="21"/>
      <c r="T394" s="21"/>
    </row>
    <row r="395" spans="2:20" x14ac:dyDescent="0.3">
      <c r="B395" s="20"/>
      <c r="C395" s="21"/>
      <c r="D395" s="22"/>
      <c r="E395" s="21"/>
      <c r="F395" s="21"/>
      <c r="G395" s="21"/>
      <c r="H395" s="21"/>
      <c r="I395" s="20"/>
      <c r="J395" s="21"/>
      <c r="K395" s="21"/>
      <c r="L395" s="21"/>
      <c r="M395" s="23"/>
      <c r="N395" s="23"/>
      <c r="O395" s="21"/>
      <c r="P395" s="21"/>
      <c r="Q395" s="21"/>
      <c r="R395" s="21"/>
      <c r="S395" s="21"/>
      <c r="T395" s="21"/>
    </row>
    <row r="396" spans="2:20" x14ac:dyDescent="0.3">
      <c r="B396" s="20"/>
      <c r="C396" s="21"/>
      <c r="D396" s="22"/>
      <c r="E396" s="21"/>
      <c r="F396" s="21"/>
      <c r="G396" s="21"/>
      <c r="H396" s="21"/>
      <c r="I396" s="20"/>
      <c r="J396" s="21"/>
      <c r="K396" s="21"/>
      <c r="L396" s="21"/>
      <c r="M396" s="23"/>
      <c r="N396" s="23"/>
      <c r="O396" s="21"/>
      <c r="P396" s="21"/>
      <c r="Q396" s="21"/>
      <c r="R396" s="21"/>
      <c r="S396" s="21"/>
      <c r="T396" s="21"/>
    </row>
    <row r="397" spans="2:20" x14ac:dyDescent="0.3">
      <c r="B397" s="20"/>
      <c r="C397" s="21"/>
      <c r="D397" s="22"/>
      <c r="E397" s="21"/>
      <c r="F397" s="21"/>
      <c r="G397" s="21"/>
      <c r="H397" s="21"/>
      <c r="I397" s="20"/>
      <c r="J397" s="21"/>
      <c r="K397" s="21"/>
      <c r="L397" s="21"/>
      <c r="M397" s="23"/>
      <c r="N397" s="23"/>
      <c r="O397" s="21"/>
      <c r="P397" s="21"/>
      <c r="Q397" s="21"/>
      <c r="R397" s="21"/>
      <c r="S397" s="21"/>
      <c r="T397" s="21"/>
    </row>
    <row r="398" spans="2:20" x14ac:dyDescent="0.3">
      <c r="B398" s="20"/>
      <c r="C398" s="21"/>
      <c r="D398" s="22"/>
      <c r="E398" s="21"/>
      <c r="F398" s="21"/>
      <c r="G398" s="21"/>
      <c r="H398" s="21"/>
      <c r="I398" s="20"/>
      <c r="J398" s="21"/>
      <c r="K398" s="21"/>
      <c r="L398" s="21"/>
      <c r="M398" s="23"/>
      <c r="N398" s="23"/>
      <c r="O398" s="21"/>
      <c r="P398" s="21"/>
      <c r="Q398" s="21"/>
      <c r="R398" s="21"/>
      <c r="S398" s="21"/>
      <c r="T398" s="21"/>
    </row>
    <row r="399" spans="2:20" x14ac:dyDescent="0.3">
      <c r="B399" s="20"/>
      <c r="C399" s="21"/>
      <c r="D399" s="22"/>
      <c r="E399" s="21"/>
      <c r="F399" s="21"/>
      <c r="G399" s="21"/>
      <c r="H399" s="21"/>
      <c r="I399" s="20"/>
      <c r="J399" s="21"/>
      <c r="K399" s="21"/>
      <c r="L399" s="21"/>
      <c r="M399" s="23"/>
      <c r="N399" s="23"/>
      <c r="O399" s="21"/>
      <c r="P399" s="21"/>
      <c r="Q399" s="21"/>
      <c r="R399" s="21"/>
      <c r="S399" s="21"/>
      <c r="T399" s="21"/>
    </row>
    <row r="400" spans="2:20" x14ac:dyDescent="0.3">
      <c r="B400" s="20"/>
      <c r="C400" s="21"/>
      <c r="D400" s="22"/>
      <c r="E400" s="21"/>
      <c r="F400" s="21"/>
      <c r="G400" s="21"/>
      <c r="H400" s="21"/>
      <c r="I400" s="20"/>
      <c r="J400" s="21"/>
      <c r="K400" s="21"/>
      <c r="L400" s="21"/>
      <c r="M400" s="23"/>
      <c r="N400" s="23"/>
      <c r="O400" s="21"/>
      <c r="P400" s="21"/>
      <c r="Q400" s="21"/>
      <c r="R400" s="21"/>
      <c r="S400" s="21"/>
      <c r="T400" s="21"/>
    </row>
    <row r="401" spans="2:20" x14ac:dyDescent="0.3">
      <c r="B401" s="20"/>
      <c r="C401" s="21"/>
      <c r="D401" s="22"/>
      <c r="E401" s="21"/>
      <c r="F401" s="21"/>
      <c r="G401" s="21"/>
      <c r="H401" s="21"/>
      <c r="I401" s="20"/>
      <c r="J401" s="21"/>
      <c r="K401" s="21"/>
      <c r="L401" s="21"/>
      <c r="M401" s="23"/>
      <c r="N401" s="23"/>
      <c r="O401" s="21"/>
      <c r="P401" s="21"/>
      <c r="Q401" s="21"/>
      <c r="R401" s="21"/>
      <c r="S401" s="21"/>
      <c r="T401" s="21"/>
    </row>
    <row r="402" spans="2:20" x14ac:dyDescent="0.3">
      <c r="B402" s="20"/>
      <c r="C402" s="21"/>
      <c r="D402" s="22"/>
      <c r="E402" s="21"/>
      <c r="F402" s="21"/>
      <c r="G402" s="21"/>
      <c r="H402" s="21"/>
      <c r="I402" s="20"/>
      <c r="J402" s="21"/>
      <c r="K402" s="21"/>
      <c r="L402" s="21"/>
      <c r="M402" s="23"/>
      <c r="N402" s="23"/>
      <c r="O402" s="21"/>
      <c r="P402" s="21"/>
      <c r="Q402" s="21"/>
      <c r="R402" s="21"/>
      <c r="S402" s="21"/>
      <c r="T402" s="21"/>
    </row>
    <row r="403" spans="2:20" x14ac:dyDescent="0.3">
      <c r="B403" s="20"/>
      <c r="C403" s="21"/>
      <c r="D403" s="22"/>
      <c r="E403" s="21"/>
      <c r="F403" s="21"/>
      <c r="G403" s="21"/>
      <c r="H403" s="21"/>
      <c r="I403" s="20"/>
      <c r="J403" s="21"/>
      <c r="K403" s="21"/>
      <c r="L403" s="21"/>
      <c r="M403" s="23"/>
      <c r="N403" s="23"/>
      <c r="O403" s="21"/>
      <c r="P403" s="21"/>
      <c r="Q403" s="21"/>
      <c r="R403" s="21"/>
      <c r="S403" s="21"/>
      <c r="T403" s="21"/>
    </row>
    <row r="404" spans="2:20" x14ac:dyDescent="0.3">
      <c r="B404" s="20"/>
      <c r="C404" s="21"/>
      <c r="D404" s="22"/>
      <c r="E404" s="21"/>
      <c r="F404" s="21"/>
      <c r="G404" s="21"/>
      <c r="H404" s="21"/>
      <c r="I404" s="20"/>
      <c r="J404" s="21"/>
      <c r="K404" s="21"/>
      <c r="L404" s="21"/>
      <c r="M404" s="23"/>
      <c r="N404" s="23"/>
      <c r="O404" s="21"/>
      <c r="P404" s="21"/>
      <c r="Q404" s="21"/>
      <c r="R404" s="21"/>
      <c r="S404" s="21"/>
      <c r="T404" s="21"/>
    </row>
    <row r="405" spans="2:20" x14ac:dyDescent="0.3">
      <c r="B405" s="20"/>
      <c r="C405" s="21"/>
      <c r="D405" s="22"/>
      <c r="E405" s="21"/>
      <c r="F405" s="21"/>
      <c r="G405" s="21"/>
      <c r="H405" s="21"/>
      <c r="I405" s="20"/>
      <c r="J405" s="21"/>
      <c r="K405" s="21"/>
      <c r="L405" s="21"/>
      <c r="M405" s="23"/>
      <c r="N405" s="23"/>
      <c r="O405" s="21"/>
      <c r="P405" s="21"/>
      <c r="Q405" s="21"/>
      <c r="R405" s="21"/>
      <c r="S405" s="21"/>
      <c r="T405" s="21"/>
    </row>
    <row r="406" spans="2:20" x14ac:dyDescent="0.3">
      <c r="B406" s="20"/>
      <c r="C406" s="21"/>
      <c r="D406" s="22"/>
      <c r="E406" s="21"/>
      <c r="F406" s="21"/>
      <c r="G406" s="21"/>
      <c r="H406" s="21"/>
      <c r="I406" s="20"/>
      <c r="J406" s="21"/>
      <c r="K406" s="21"/>
      <c r="L406" s="21"/>
      <c r="M406" s="23"/>
      <c r="N406" s="23"/>
      <c r="O406" s="21"/>
      <c r="P406" s="21"/>
      <c r="Q406" s="21"/>
      <c r="R406" s="21"/>
      <c r="S406" s="21"/>
      <c r="T406" s="21"/>
    </row>
    <row r="407" spans="2:20" x14ac:dyDescent="0.3">
      <c r="B407" s="20"/>
      <c r="C407" s="21"/>
      <c r="D407" s="22"/>
      <c r="E407" s="21"/>
      <c r="F407" s="21"/>
      <c r="G407" s="21"/>
      <c r="H407" s="21"/>
      <c r="I407" s="20"/>
      <c r="J407" s="21"/>
      <c r="K407" s="21"/>
      <c r="L407" s="21"/>
      <c r="M407" s="23"/>
      <c r="N407" s="23"/>
      <c r="O407" s="21"/>
      <c r="P407" s="21"/>
      <c r="Q407" s="21"/>
      <c r="R407" s="21"/>
      <c r="S407" s="21"/>
      <c r="T407" s="21"/>
    </row>
    <row r="408" spans="2:20" x14ac:dyDescent="0.3">
      <c r="B408" s="20"/>
      <c r="C408" s="21"/>
      <c r="D408" s="22"/>
      <c r="E408" s="21"/>
      <c r="F408" s="21"/>
      <c r="G408" s="21"/>
      <c r="H408" s="21"/>
      <c r="I408" s="20"/>
      <c r="J408" s="21"/>
      <c r="K408" s="21"/>
      <c r="L408" s="21"/>
      <c r="M408" s="23"/>
      <c r="N408" s="23"/>
      <c r="O408" s="21"/>
      <c r="P408" s="21"/>
      <c r="Q408" s="21"/>
      <c r="R408" s="21"/>
      <c r="S408" s="21"/>
      <c r="T408" s="21"/>
    </row>
    <row r="409" spans="2:20" x14ac:dyDescent="0.3">
      <c r="B409" s="20"/>
      <c r="C409" s="21"/>
      <c r="D409" s="22"/>
      <c r="E409" s="21"/>
      <c r="F409" s="21"/>
      <c r="G409" s="21"/>
      <c r="H409" s="21"/>
      <c r="I409" s="20"/>
      <c r="J409" s="21"/>
      <c r="K409" s="21"/>
      <c r="L409" s="21"/>
      <c r="M409" s="23"/>
      <c r="N409" s="23"/>
      <c r="O409" s="21"/>
      <c r="P409" s="21"/>
      <c r="Q409" s="21"/>
      <c r="R409" s="21"/>
      <c r="S409" s="21"/>
      <c r="T409" s="21"/>
    </row>
    <row r="410" spans="2:20" x14ac:dyDescent="0.3">
      <c r="B410" s="20"/>
      <c r="C410" s="21"/>
      <c r="D410" s="22"/>
      <c r="E410" s="21"/>
      <c r="F410" s="21"/>
      <c r="G410" s="21"/>
      <c r="H410" s="21"/>
      <c r="I410" s="20"/>
      <c r="J410" s="21"/>
      <c r="K410" s="21"/>
      <c r="L410" s="21"/>
      <c r="M410" s="23"/>
      <c r="N410" s="23"/>
      <c r="O410" s="21"/>
      <c r="P410" s="21"/>
      <c r="Q410" s="21"/>
      <c r="R410" s="21"/>
      <c r="S410" s="21"/>
      <c r="T410" s="21"/>
    </row>
    <row r="411" spans="2:20" x14ac:dyDescent="0.3">
      <c r="B411" s="20"/>
      <c r="C411" s="21"/>
      <c r="D411" s="22"/>
      <c r="E411" s="21"/>
      <c r="F411" s="21"/>
      <c r="G411" s="21"/>
      <c r="H411" s="21"/>
      <c r="I411" s="20"/>
      <c r="J411" s="21"/>
      <c r="K411" s="21"/>
      <c r="L411" s="21"/>
      <c r="M411" s="23"/>
      <c r="N411" s="23"/>
      <c r="O411" s="21"/>
      <c r="P411" s="21"/>
      <c r="Q411" s="21"/>
      <c r="R411" s="21"/>
      <c r="S411" s="21"/>
      <c r="T411" s="21"/>
    </row>
    <row r="412" spans="2:20" x14ac:dyDescent="0.3">
      <c r="B412" s="20"/>
      <c r="C412" s="21"/>
      <c r="D412" s="22"/>
      <c r="E412" s="21"/>
      <c r="F412" s="21"/>
      <c r="G412" s="21"/>
      <c r="H412" s="21"/>
      <c r="I412" s="20"/>
      <c r="J412" s="21"/>
      <c r="K412" s="21"/>
      <c r="L412" s="21"/>
      <c r="M412" s="23"/>
      <c r="N412" s="23"/>
      <c r="O412" s="21"/>
      <c r="P412" s="21"/>
      <c r="Q412" s="21"/>
      <c r="R412" s="21"/>
      <c r="S412" s="21"/>
      <c r="T412" s="21"/>
    </row>
    <row r="413" spans="2:20" x14ac:dyDescent="0.3">
      <c r="B413" s="20"/>
      <c r="C413" s="21"/>
      <c r="D413" s="22"/>
      <c r="E413" s="21"/>
      <c r="F413" s="21"/>
      <c r="G413" s="21"/>
      <c r="H413" s="21"/>
      <c r="I413" s="20"/>
      <c r="J413" s="21"/>
      <c r="K413" s="21"/>
      <c r="L413" s="21"/>
      <c r="M413" s="23"/>
      <c r="N413" s="23"/>
      <c r="O413" s="21"/>
      <c r="P413" s="21"/>
      <c r="Q413" s="21"/>
      <c r="R413" s="21"/>
      <c r="S413" s="21"/>
      <c r="T413" s="21"/>
    </row>
    <row r="414" spans="2:20" x14ac:dyDescent="0.3">
      <c r="B414" s="20"/>
      <c r="C414" s="21"/>
      <c r="D414" s="22"/>
      <c r="E414" s="21"/>
      <c r="F414" s="21"/>
      <c r="G414" s="21"/>
      <c r="H414" s="21"/>
      <c r="I414" s="20"/>
      <c r="J414" s="21"/>
      <c r="K414" s="21"/>
      <c r="L414" s="21"/>
      <c r="M414" s="23"/>
      <c r="N414" s="23"/>
      <c r="O414" s="21"/>
      <c r="P414" s="21"/>
      <c r="Q414" s="21"/>
      <c r="R414" s="21"/>
      <c r="S414" s="21"/>
      <c r="T414" s="21"/>
    </row>
    <row r="415" spans="2:20" x14ac:dyDescent="0.3">
      <c r="B415" s="20"/>
      <c r="C415" s="21"/>
      <c r="D415" s="22"/>
      <c r="E415" s="21"/>
      <c r="F415" s="21"/>
      <c r="G415" s="21"/>
      <c r="H415" s="21"/>
      <c r="I415" s="20"/>
      <c r="J415" s="21"/>
      <c r="K415" s="21"/>
      <c r="L415" s="21"/>
      <c r="M415" s="23"/>
      <c r="N415" s="23"/>
      <c r="O415" s="21"/>
      <c r="P415" s="21"/>
      <c r="Q415" s="21"/>
      <c r="R415" s="21"/>
      <c r="S415" s="21"/>
      <c r="T415" s="21"/>
    </row>
    <row r="416" spans="2:20" x14ac:dyDescent="0.3">
      <c r="B416" s="20"/>
      <c r="C416" s="21"/>
      <c r="D416" s="22"/>
      <c r="E416" s="21"/>
      <c r="F416" s="21"/>
      <c r="G416" s="21"/>
      <c r="H416" s="21"/>
      <c r="I416" s="20"/>
      <c r="J416" s="21"/>
      <c r="K416" s="21"/>
      <c r="L416" s="21"/>
      <c r="M416" s="23"/>
      <c r="N416" s="23"/>
      <c r="O416" s="21"/>
      <c r="P416" s="21"/>
      <c r="Q416" s="21"/>
      <c r="R416" s="21"/>
      <c r="S416" s="21"/>
      <c r="T416" s="21"/>
    </row>
    <row r="417" spans="2:20" x14ac:dyDescent="0.3">
      <c r="B417" s="20"/>
      <c r="C417" s="21"/>
      <c r="D417" s="22"/>
      <c r="E417" s="21"/>
      <c r="F417" s="21"/>
      <c r="G417" s="21"/>
      <c r="H417" s="21"/>
      <c r="I417" s="20"/>
      <c r="J417" s="21"/>
      <c r="K417" s="21"/>
      <c r="L417" s="21"/>
      <c r="M417" s="23"/>
      <c r="N417" s="23"/>
      <c r="O417" s="21"/>
      <c r="P417" s="21"/>
      <c r="Q417" s="21"/>
      <c r="R417" s="21"/>
      <c r="S417" s="21"/>
      <c r="T417" s="21"/>
    </row>
    <row r="418" spans="2:20" x14ac:dyDescent="0.3">
      <c r="B418" s="20"/>
      <c r="C418" s="21"/>
      <c r="D418" s="22"/>
      <c r="E418" s="21"/>
      <c r="F418" s="21"/>
      <c r="G418" s="21"/>
      <c r="H418" s="21"/>
      <c r="I418" s="20"/>
      <c r="J418" s="21"/>
      <c r="K418" s="21"/>
      <c r="L418" s="21"/>
      <c r="M418" s="23"/>
      <c r="N418" s="23"/>
      <c r="O418" s="21"/>
      <c r="P418" s="21"/>
      <c r="Q418" s="21"/>
      <c r="R418" s="21"/>
      <c r="S418" s="21"/>
      <c r="T418" s="21"/>
    </row>
    <row r="419" spans="2:20" x14ac:dyDescent="0.3">
      <c r="B419" s="20"/>
      <c r="C419" s="21"/>
      <c r="D419" s="22"/>
      <c r="E419" s="21"/>
      <c r="F419" s="21"/>
      <c r="G419" s="21"/>
      <c r="H419" s="21"/>
      <c r="I419" s="20"/>
      <c r="J419" s="21"/>
      <c r="K419" s="21"/>
      <c r="L419" s="21"/>
      <c r="M419" s="23"/>
      <c r="N419" s="23"/>
      <c r="O419" s="21"/>
      <c r="P419" s="21"/>
      <c r="Q419" s="21"/>
      <c r="R419" s="21"/>
      <c r="S419" s="21"/>
      <c r="T419" s="21"/>
    </row>
    <row r="420" spans="2:20" x14ac:dyDescent="0.3">
      <c r="B420" s="20"/>
      <c r="C420" s="21"/>
      <c r="D420" s="22"/>
      <c r="E420" s="21"/>
      <c r="F420" s="21"/>
      <c r="G420" s="21"/>
      <c r="H420" s="21"/>
      <c r="I420" s="20"/>
      <c r="J420" s="21"/>
      <c r="K420" s="21"/>
      <c r="L420" s="21"/>
      <c r="M420" s="23"/>
      <c r="N420" s="23"/>
      <c r="O420" s="21"/>
      <c r="P420" s="21"/>
      <c r="Q420" s="21"/>
      <c r="R420" s="21"/>
      <c r="S420" s="21"/>
      <c r="T420" s="21"/>
    </row>
    <row r="421" spans="2:20" x14ac:dyDescent="0.3">
      <c r="B421" s="20"/>
      <c r="C421" s="21"/>
      <c r="D421" s="22"/>
      <c r="E421" s="21"/>
      <c r="F421" s="21"/>
      <c r="G421" s="21"/>
      <c r="H421" s="21"/>
      <c r="I421" s="20"/>
      <c r="J421" s="21"/>
      <c r="K421" s="21"/>
      <c r="L421" s="21"/>
      <c r="M421" s="23"/>
      <c r="N421" s="23"/>
      <c r="O421" s="21"/>
      <c r="P421" s="21"/>
      <c r="Q421" s="21"/>
      <c r="R421" s="21"/>
      <c r="S421" s="21"/>
      <c r="T421" s="21"/>
    </row>
    <row r="422" spans="2:20" x14ac:dyDescent="0.3">
      <c r="B422" s="20"/>
      <c r="C422" s="21"/>
      <c r="D422" s="22"/>
      <c r="E422" s="21"/>
      <c r="F422" s="21"/>
      <c r="G422" s="21"/>
      <c r="H422" s="21"/>
      <c r="I422" s="20"/>
      <c r="J422" s="21"/>
      <c r="K422" s="21"/>
      <c r="L422" s="21"/>
      <c r="M422" s="23"/>
      <c r="N422" s="23"/>
      <c r="O422" s="21"/>
      <c r="P422" s="21"/>
      <c r="Q422" s="21"/>
      <c r="R422" s="21"/>
      <c r="S422" s="21"/>
      <c r="T422" s="21"/>
    </row>
    <row r="423" spans="2:20" x14ac:dyDescent="0.3">
      <c r="B423" s="20"/>
      <c r="C423" s="21"/>
      <c r="D423" s="22"/>
      <c r="E423" s="21"/>
      <c r="F423" s="21"/>
      <c r="G423" s="21"/>
      <c r="H423" s="21"/>
      <c r="I423" s="20"/>
      <c r="J423" s="21"/>
      <c r="K423" s="21"/>
      <c r="L423" s="21"/>
      <c r="M423" s="23"/>
      <c r="N423" s="23"/>
      <c r="O423" s="21"/>
      <c r="P423" s="21"/>
      <c r="Q423" s="21"/>
      <c r="R423" s="21"/>
      <c r="S423" s="21"/>
      <c r="T423" s="21"/>
    </row>
    <row r="424" spans="2:20" x14ac:dyDescent="0.3">
      <c r="B424" s="20"/>
      <c r="C424" s="21"/>
      <c r="D424" s="22"/>
      <c r="E424" s="21"/>
      <c r="F424" s="21"/>
      <c r="G424" s="21"/>
      <c r="H424" s="21"/>
      <c r="I424" s="20"/>
      <c r="J424" s="21"/>
      <c r="K424" s="21"/>
      <c r="L424" s="21"/>
      <c r="M424" s="23"/>
      <c r="N424" s="23"/>
      <c r="O424" s="21"/>
      <c r="P424" s="21"/>
      <c r="Q424" s="21"/>
      <c r="R424" s="21"/>
      <c r="S424" s="21"/>
      <c r="T424" s="21"/>
    </row>
    <row r="425" spans="2:20" x14ac:dyDescent="0.3">
      <c r="B425" s="20"/>
      <c r="C425" s="21"/>
      <c r="D425" s="22"/>
      <c r="E425" s="21"/>
      <c r="F425" s="21"/>
      <c r="G425" s="21"/>
      <c r="H425" s="21"/>
      <c r="I425" s="20"/>
      <c r="J425" s="21"/>
      <c r="K425" s="21"/>
      <c r="L425" s="21"/>
      <c r="M425" s="23"/>
      <c r="N425" s="23"/>
      <c r="O425" s="21"/>
      <c r="P425" s="21"/>
      <c r="Q425" s="21"/>
      <c r="R425" s="21"/>
      <c r="S425" s="21"/>
      <c r="T425" s="21"/>
    </row>
    <row r="426" spans="2:20" x14ac:dyDescent="0.3">
      <c r="B426" s="20"/>
      <c r="C426" s="21"/>
      <c r="D426" s="22"/>
      <c r="E426" s="21"/>
      <c r="F426" s="21"/>
      <c r="G426" s="21"/>
      <c r="H426" s="21"/>
      <c r="I426" s="20"/>
      <c r="J426" s="21"/>
      <c r="K426" s="21"/>
      <c r="L426" s="21"/>
      <c r="M426" s="23"/>
      <c r="N426" s="23"/>
      <c r="O426" s="21"/>
      <c r="P426" s="21"/>
      <c r="Q426" s="21"/>
      <c r="R426" s="21"/>
      <c r="S426" s="21"/>
      <c r="T426" s="21"/>
    </row>
    <row r="427" spans="2:20" x14ac:dyDescent="0.3">
      <c r="B427" s="20"/>
      <c r="C427" s="21"/>
      <c r="D427" s="22"/>
      <c r="E427" s="21"/>
      <c r="F427" s="21"/>
      <c r="G427" s="21"/>
      <c r="H427" s="21"/>
      <c r="I427" s="20"/>
      <c r="J427" s="21"/>
      <c r="K427" s="21"/>
      <c r="L427" s="21"/>
      <c r="M427" s="23"/>
      <c r="N427" s="23"/>
      <c r="O427" s="21"/>
      <c r="P427" s="21"/>
      <c r="Q427" s="21"/>
      <c r="R427" s="21"/>
      <c r="S427" s="21"/>
      <c r="T427" s="21"/>
    </row>
    <row r="428" spans="2:20" x14ac:dyDescent="0.3">
      <c r="B428" s="20"/>
      <c r="C428" s="21"/>
      <c r="D428" s="22"/>
      <c r="E428" s="21"/>
      <c r="F428" s="21"/>
      <c r="G428" s="21"/>
      <c r="H428" s="21"/>
      <c r="I428" s="20"/>
      <c r="J428" s="21"/>
      <c r="K428" s="21"/>
      <c r="L428" s="21"/>
      <c r="M428" s="23"/>
      <c r="N428" s="23"/>
      <c r="O428" s="21"/>
      <c r="P428" s="21"/>
      <c r="Q428" s="21"/>
      <c r="R428" s="21"/>
      <c r="S428" s="21"/>
      <c r="T428" s="21"/>
    </row>
    <row r="429" spans="2:20" x14ac:dyDescent="0.3">
      <c r="B429" s="20"/>
      <c r="C429" s="21"/>
      <c r="D429" s="22"/>
      <c r="E429" s="21"/>
      <c r="F429" s="21"/>
      <c r="G429" s="21"/>
      <c r="H429" s="21"/>
      <c r="I429" s="20"/>
      <c r="J429" s="21"/>
      <c r="K429" s="21"/>
      <c r="L429" s="21"/>
      <c r="M429" s="23"/>
      <c r="N429" s="23"/>
      <c r="O429" s="21"/>
      <c r="P429" s="21"/>
      <c r="Q429" s="21"/>
      <c r="R429" s="21"/>
      <c r="S429" s="21"/>
      <c r="T429" s="21"/>
    </row>
    <row r="430" spans="2:20" x14ac:dyDescent="0.3">
      <c r="B430" s="20"/>
      <c r="C430" s="21"/>
      <c r="D430" s="22"/>
      <c r="E430" s="21"/>
      <c r="F430" s="21"/>
      <c r="G430" s="21"/>
      <c r="H430" s="21"/>
      <c r="I430" s="20"/>
      <c r="J430" s="21"/>
      <c r="K430" s="21"/>
      <c r="L430" s="21"/>
      <c r="M430" s="23"/>
      <c r="N430" s="23"/>
      <c r="O430" s="21"/>
      <c r="P430" s="21"/>
      <c r="Q430" s="21"/>
      <c r="R430" s="21"/>
      <c r="S430" s="21"/>
      <c r="T430" s="21"/>
    </row>
    <row r="431" spans="2:20" x14ac:dyDescent="0.3">
      <c r="B431" s="20"/>
      <c r="C431" s="21"/>
      <c r="D431" s="22"/>
      <c r="E431" s="21"/>
      <c r="F431" s="21"/>
      <c r="G431" s="21"/>
      <c r="H431" s="21"/>
      <c r="I431" s="20"/>
      <c r="J431" s="21"/>
      <c r="K431" s="21"/>
      <c r="L431" s="21"/>
      <c r="M431" s="23"/>
      <c r="N431" s="23"/>
      <c r="O431" s="21"/>
      <c r="P431" s="21"/>
      <c r="Q431" s="21"/>
      <c r="R431" s="21"/>
      <c r="S431" s="21"/>
      <c r="T431" s="21"/>
    </row>
    <row r="432" spans="2:20" x14ac:dyDescent="0.3">
      <c r="B432" s="20"/>
      <c r="C432" s="21"/>
      <c r="D432" s="22"/>
      <c r="E432" s="21"/>
      <c r="F432" s="21"/>
      <c r="G432" s="21"/>
      <c r="H432" s="21"/>
      <c r="I432" s="20"/>
      <c r="J432" s="21"/>
      <c r="K432" s="21"/>
      <c r="L432" s="21"/>
      <c r="M432" s="23"/>
      <c r="N432" s="23"/>
      <c r="O432" s="21"/>
      <c r="P432" s="21"/>
      <c r="Q432" s="21"/>
      <c r="R432" s="21"/>
      <c r="S432" s="21"/>
      <c r="T432" s="21"/>
    </row>
    <row r="433" spans="2:20" x14ac:dyDescent="0.3">
      <c r="B433" s="20"/>
      <c r="C433" s="21"/>
      <c r="D433" s="22"/>
      <c r="E433" s="21"/>
      <c r="F433" s="21"/>
      <c r="G433" s="21"/>
      <c r="H433" s="21"/>
      <c r="I433" s="20"/>
      <c r="J433" s="21"/>
      <c r="K433" s="21"/>
      <c r="L433" s="21"/>
      <c r="M433" s="23"/>
      <c r="N433" s="23"/>
      <c r="O433" s="21"/>
      <c r="P433" s="21"/>
      <c r="Q433" s="21"/>
      <c r="R433" s="21"/>
      <c r="S433" s="21"/>
      <c r="T433" s="21"/>
    </row>
    <row r="434" spans="2:20" x14ac:dyDescent="0.3">
      <c r="B434" s="20"/>
      <c r="C434" s="21"/>
      <c r="D434" s="22"/>
      <c r="E434" s="21"/>
      <c r="F434" s="21"/>
      <c r="G434" s="21"/>
      <c r="H434" s="21"/>
      <c r="I434" s="20"/>
      <c r="J434" s="21"/>
      <c r="K434" s="21"/>
      <c r="L434" s="21"/>
      <c r="M434" s="23"/>
      <c r="N434" s="23"/>
      <c r="O434" s="21"/>
      <c r="P434" s="21"/>
      <c r="Q434" s="21"/>
      <c r="R434" s="21"/>
      <c r="S434" s="21"/>
      <c r="T434" s="21"/>
    </row>
    <row r="435" spans="2:20" x14ac:dyDescent="0.3">
      <c r="B435" s="20"/>
      <c r="C435" s="21"/>
      <c r="D435" s="22"/>
      <c r="E435" s="21"/>
      <c r="F435" s="21"/>
      <c r="G435" s="21"/>
      <c r="H435" s="21"/>
      <c r="I435" s="20"/>
      <c r="J435" s="21"/>
      <c r="K435" s="21"/>
      <c r="L435" s="21"/>
      <c r="M435" s="23"/>
      <c r="N435" s="23"/>
      <c r="O435" s="21"/>
      <c r="P435" s="21"/>
      <c r="Q435" s="21"/>
      <c r="R435" s="21"/>
      <c r="S435" s="21"/>
      <c r="T435" s="21"/>
    </row>
    <row r="436" spans="2:20" x14ac:dyDescent="0.3">
      <c r="B436" s="20"/>
      <c r="C436" s="21"/>
      <c r="D436" s="22"/>
      <c r="E436" s="21"/>
      <c r="F436" s="21"/>
      <c r="G436" s="21"/>
      <c r="H436" s="21"/>
      <c r="I436" s="20"/>
      <c r="J436" s="21"/>
      <c r="K436" s="21"/>
      <c r="L436" s="21"/>
      <c r="M436" s="23"/>
      <c r="N436" s="23"/>
      <c r="O436" s="21"/>
      <c r="P436" s="21"/>
      <c r="Q436" s="21"/>
      <c r="R436" s="21"/>
      <c r="S436" s="21"/>
      <c r="T436" s="21"/>
    </row>
    <row r="437" spans="2:20" x14ac:dyDescent="0.3">
      <c r="B437" s="20"/>
      <c r="C437" s="21"/>
      <c r="D437" s="22"/>
      <c r="E437" s="21"/>
      <c r="F437" s="21"/>
      <c r="G437" s="21"/>
      <c r="H437" s="21"/>
      <c r="I437" s="20"/>
      <c r="J437" s="21"/>
      <c r="K437" s="21"/>
      <c r="L437" s="21"/>
      <c r="M437" s="23"/>
      <c r="N437" s="23"/>
      <c r="O437" s="21"/>
      <c r="P437" s="21"/>
      <c r="Q437" s="21"/>
      <c r="R437" s="21"/>
      <c r="S437" s="21"/>
      <c r="T437" s="21"/>
    </row>
    <row r="438" spans="2:20" x14ac:dyDescent="0.3">
      <c r="B438" s="20"/>
      <c r="C438" s="21"/>
      <c r="D438" s="22"/>
      <c r="E438" s="21"/>
      <c r="F438" s="21"/>
      <c r="G438" s="21"/>
      <c r="H438" s="21"/>
      <c r="I438" s="20"/>
      <c r="J438" s="21"/>
      <c r="K438" s="21"/>
      <c r="L438" s="21"/>
      <c r="M438" s="23"/>
      <c r="N438" s="23"/>
      <c r="O438" s="21"/>
      <c r="P438" s="21"/>
      <c r="Q438" s="21"/>
      <c r="R438" s="21"/>
      <c r="S438" s="21"/>
      <c r="T438" s="21"/>
    </row>
    <row r="439" spans="2:20" x14ac:dyDescent="0.3">
      <c r="B439" s="20"/>
      <c r="C439" s="21"/>
      <c r="D439" s="22"/>
      <c r="E439" s="21"/>
      <c r="F439" s="21"/>
      <c r="G439" s="21"/>
      <c r="H439" s="21"/>
      <c r="I439" s="20"/>
      <c r="J439" s="21"/>
      <c r="K439" s="21"/>
      <c r="L439" s="21"/>
      <c r="M439" s="23"/>
      <c r="N439" s="23"/>
      <c r="O439" s="21"/>
      <c r="P439" s="21"/>
      <c r="Q439" s="21"/>
      <c r="R439" s="21"/>
      <c r="S439" s="21"/>
      <c r="T439" s="21"/>
    </row>
    <row r="440" spans="2:20" x14ac:dyDescent="0.3">
      <c r="B440" s="20"/>
      <c r="C440" s="21"/>
      <c r="D440" s="22"/>
      <c r="E440" s="21"/>
      <c r="F440" s="21"/>
      <c r="G440" s="21"/>
      <c r="H440" s="21"/>
      <c r="I440" s="20"/>
      <c r="J440" s="21"/>
      <c r="K440" s="21"/>
      <c r="L440" s="21"/>
      <c r="M440" s="23"/>
      <c r="N440" s="23"/>
      <c r="O440" s="21"/>
      <c r="P440" s="21"/>
      <c r="Q440" s="21"/>
      <c r="R440" s="21"/>
      <c r="S440" s="21"/>
      <c r="T440" s="21"/>
    </row>
    <row r="441" spans="2:20" x14ac:dyDescent="0.3">
      <c r="B441" s="20"/>
      <c r="C441" s="21"/>
      <c r="D441" s="22"/>
      <c r="E441" s="21"/>
      <c r="F441" s="21"/>
      <c r="G441" s="21"/>
      <c r="H441" s="21"/>
      <c r="I441" s="20"/>
      <c r="J441" s="21"/>
      <c r="K441" s="21"/>
      <c r="L441" s="21"/>
      <c r="M441" s="23"/>
      <c r="N441" s="23"/>
      <c r="O441" s="21"/>
      <c r="P441" s="21"/>
      <c r="Q441" s="21"/>
      <c r="R441" s="21"/>
      <c r="S441" s="21"/>
      <c r="T441" s="21"/>
    </row>
    <row r="442" spans="2:20" x14ac:dyDescent="0.3">
      <c r="B442" s="20"/>
      <c r="C442" s="21"/>
      <c r="D442" s="22"/>
      <c r="E442" s="21"/>
      <c r="F442" s="21"/>
      <c r="G442" s="21"/>
      <c r="H442" s="21"/>
      <c r="I442" s="20"/>
      <c r="J442" s="21"/>
      <c r="K442" s="21"/>
      <c r="L442" s="21"/>
      <c r="M442" s="23"/>
      <c r="N442" s="23"/>
      <c r="O442" s="21"/>
      <c r="P442" s="21"/>
      <c r="Q442" s="21"/>
      <c r="R442" s="21"/>
      <c r="S442" s="21"/>
      <c r="T442" s="21"/>
    </row>
    <row r="443" spans="2:20" x14ac:dyDescent="0.3">
      <c r="B443" s="20"/>
      <c r="C443" s="21"/>
      <c r="D443" s="22"/>
      <c r="E443" s="21"/>
      <c r="F443" s="21"/>
      <c r="G443" s="21"/>
      <c r="H443" s="21"/>
      <c r="I443" s="20"/>
      <c r="J443" s="21"/>
      <c r="K443" s="21"/>
      <c r="L443" s="21"/>
      <c r="M443" s="23"/>
      <c r="N443" s="23"/>
      <c r="O443" s="21"/>
      <c r="P443" s="21"/>
      <c r="Q443" s="21"/>
      <c r="R443" s="21"/>
      <c r="S443" s="21"/>
      <c r="T443" s="21"/>
    </row>
    <row r="444" spans="2:20" x14ac:dyDescent="0.3">
      <c r="B444" s="20"/>
      <c r="C444" s="21"/>
      <c r="D444" s="22"/>
      <c r="E444" s="21"/>
      <c r="F444" s="21"/>
      <c r="G444" s="21"/>
      <c r="H444" s="21"/>
      <c r="I444" s="20"/>
      <c r="J444" s="21"/>
      <c r="K444" s="21"/>
      <c r="L444" s="21"/>
      <c r="M444" s="23"/>
      <c r="N444" s="23"/>
      <c r="O444" s="21"/>
      <c r="P444" s="21"/>
      <c r="Q444" s="21"/>
      <c r="R444" s="21"/>
      <c r="S444" s="21"/>
      <c r="T444" s="21"/>
    </row>
    <row r="445" spans="2:20" x14ac:dyDescent="0.3">
      <c r="B445" s="20"/>
      <c r="C445" s="21"/>
      <c r="D445" s="22"/>
      <c r="E445" s="21"/>
      <c r="F445" s="21"/>
      <c r="G445" s="21"/>
      <c r="H445" s="21"/>
      <c r="I445" s="20"/>
      <c r="J445" s="21"/>
      <c r="K445" s="21"/>
      <c r="L445" s="21"/>
      <c r="M445" s="23"/>
      <c r="N445" s="23"/>
      <c r="O445" s="21"/>
      <c r="P445" s="21"/>
      <c r="Q445" s="21"/>
      <c r="R445" s="21"/>
      <c r="S445" s="21"/>
      <c r="T445" s="21"/>
    </row>
    <row r="446" spans="2:20" x14ac:dyDescent="0.3">
      <c r="B446" s="20"/>
      <c r="C446" s="21"/>
      <c r="D446" s="22"/>
      <c r="E446" s="21"/>
      <c r="F446" s="21"/>
      <c r="G446" s="21"/>
      <c r="H446" s="21"/>
      <c r="I446" s="20"/>
      <c r="J446" s="21"/>
      <c r="K446" s="21"/>
      <c r="L446" s="21"/>
      <c r="M446" s="23"/>
      <c r="N446" s="23"/>
      <c r="O446" s="21"/>
      <c r="P446" s="21"/>
      <c r="Q446" s="21"/>
      <c r="R446" s="21"/>
      <c r="S446" s="21"/>
      <c r="T446" s="21"/>
    </row>
    <row r="447" spans="2:20" x14ac:dyDescent="0.3">
      <c r="B447" s="20"/>
      <c r="C447" s="21"/>
      <c r="D447" s="22"/>
      <c r="E447" s="21"/>
      <c r="F447" s="21"/>
      <c r="G447" s="21"/>
      <c r="H447" s="21"/>
      <c r="I447" s="20"/>
      <c r="J447" s="21"/>
      <c r="K447" s="21"/>
      <c r="L447" s="21"/>
      <c r="M447" s="23"/>
      <c r="N447" s="23"/>
      <c r="O447" s="21"/>
      <c r="P447" s="21"/>
      <c r="Q447" s="21"/>
      <c r="R447" s="21"/>
      <c r="S447" s="21"/>
      <c r="T447" s="21"/>
    </row>
    <row r="448" spans="2:20" x14ac:dyDescent="0.3">
      <c r="B448" s="20"/>
      <c r="C448" s="21"/>
      <c r="D448" s="22"/>
      <c r="E448" s="21"/>
      <c r="F448" s="21"/>
      <c r="G448" s="21"/>
      <c r="H448" s="21"/>
      <c r="I448" s="20"/>
      <c r="J448" s="21"/>
      <c r="K448" s="21"/>
      <c r="L448" s="21"/>
      <c r="M448" s="23"/>
      <c r="N448" s="23"/>
      <c r="O448" s="21"/>
      <c r="P448" s="21"/>
      <c r="Q448" s="21"/>
      <c r="R448" s="21"/>
      <c r="S448" s="21"/>
      <c r="T448" s="21"/>
    </row>
    <row r="449" spans="2:20" x14ac:dyDescent="0.3">
      <c r="B449" s="20"/>
      <c r="C449" s="21"/>
      <c r="D449" s="22"/>
      <c r="E449" s="21"/>
      <c r="F449" s="21"/>
      <c r="G449" s="21"/>
      <c r="H449" s="21"/>
      <c r="I449" s="20"/>
      <c r="J449" s="21"/>
      <c r="K449" s="21"/>
      <c r="L449" s="21"/>
      <c r="M449" s="23"/>
      <c r="N449" s="23"/>
      <c r="O449" s="21"/>
      <c r="P449" s="21"/>
      <c r="Q449" s="21"/>
      <c r="R449" s="21"/>
      <c r="S449" s="21"/>
      <c r="T449" s="21"/>
    </row>
    <row r="450" spans="2:20" x14ac:dyDescent="0.3">
      <c r="B450" s="20"/>
      <c r="C450" s="21"/>
      <c r="D450" s="22"/>
      <c r="E450" s="21"/>
      <c r="F450" s="21"/>
      <c r="G450" s="21"/>
      <c r="H450" s="21"/>
      <c r="I450" s="20"/>
      <c r="J450" s="21"/>
      <c r="K450" s="21"/>
      <c r="L450" s="21"/>
      <c r="M450" s="23"/>
      <c r="N450" s="23"/>
      <c r="O450" s="21"/>
      <c r="P450" s="21"/>
      <c r="Q450" s="21"/>
      <c r="R450" s="21"/>
      <c r="S450" s="21"/>
      <c r="T450" s="21"/>
    </row>
    <row r="451" spans="2:20" x14ac:dyDescent="0.3">
      <c r="B451" s="20"/>
      <c r="C451" s="21"/>
      <c r="D451" s="22"/>
      <c r="E451" s="21"/>
      <c r="F451" s="21"/>
      <c r="G451" s="21"/>
      <c r="H451" s="21"/>
      <c r="I451" s="20"/>
      <c r="J451" s="21"/>
      <c r="K451" s="21"/>
      <c r="L451" s="21"/>
      <c r="M451" s="23"/>
      <c r="N451" s="23"/>
      <c r="O451" s="21"/>
      <c r="P451" s="21"/>
      <c r="Q451" s="21"/>
      <c r="R451" s="21"/>
      <c r="S451" s="21"/>
      <c r="T451" s="21"/>
    </row>
    <row r="452" spans="2:20" x14ac:dyDescent="0.3">
      <c r="B452" s="20"/>
      <c r="C452" s="21"/>
      <c r="D452" s="22"/>
      <c r="E452" s="21"/>
      <c r="F452" s="21"/>
      <c r="G452" s="21"/>
      <c r="H452" s="21"/>
      <c r="I452" s="20"/>
      <c r="J452" s="21"/>
      <c r="K452" s="21"/>
      <c r="L452" s="21"/>
      <c r="M452" s="23"/>
      <c r="N452" s="23"/>
      <c r="O452" s="21"/>
      <c r="P452" s="21"/>
      <c r="Q452" s="21"/>
      <c r="R452" s="21"/>
      <c r="S452" s="21"/>
      <c r="T452" s="21"/>
    </row>
    <row r="453" spans="2:20" x14ac:dyDescent="0.3">
      <c r="B453" s="20"/>
      <c r="C453" s="21"/>
      <c r="D453" s="22"/>
      <c r="E453" s="21"/>
      <c r="F453" s="21"/>
      <c r="G453" s="21"/>
      <c r="H453" s="21"/>
      <c r="I453" s="20"/>
      <c r="J453" s="21"/>
      <c r="K453" s="21"/>
      <c r="L453" s="21"/>
      <c r="M453" s="23"/>
      <c r="N453" s="23"/>
      <c r="O453" s="21"/>
      <c r="P453" s="21"/>
      <c r="Q453" s="21"/>
      <c r="R453" s="21"/>
      <c r="S453" s="21"/>
      <c r="T453" s="21"/>
    </row>
    <row r="454" spans="2:20" x14ac:dyDescent="0.3">
      <c r="B454" s="20"/>
      <c r="C454" s="21"/>
      <c r="D454" s="22"/>
      <c r="E454" s="21"/>
      <c r="F454" s="21"/>
      <c r="G454" s="21"/>
      <c r="H454" s="21"/>
      <c r="I454" s="20"/>
      <c r="J454" s="21"/>
      <c r="K454" s="21"/>
      <c r="L454" s="21"/>
      <c r="M454" s="23"/>
      <c r="N454" s="23"/>
      <c r="O454" s="21"/>
      <c r="P454" s="21"/>
      <c r="Q454" s="21"/>
      <c r="R454" s="21"/>
      <c r="S454" s="21"/>
      <c r="T454" s="21"/>
    </row>
    <row r="455" spans="2:20" x14ac:dyDescent="0.3">
      <c r="B455" s="20"/>
      <c r="C455" s="21"/>
      <c r="D455" s="22"/>
      <c r="E455" s="21"/>
      <c r="F455" s="21"/>
      <c r="G455" s="21"/>
      <c r="H455" s="21"/>
      <c r="I455" s="20"/>
      <c r="J455" s="21"/>
      <c r="K455" s="21"/>
      <c r="L455" s="21"/>
      <c r="M455" s="23"/>
      <c r="N455" s="23"/>
      <c r="O455" s="21"/>
      <c r="P455" s="21"/>
      <c r="Q455" s="21"/>
      <c r="R455" s="21"/>
      <c r="S455" s="21"/>
      <c r="T455" s="21"/>
    </row>
    <row r="456" spans="2:20" x14ac:dyDescent="0.3">
      <c r="B456" s="20"/>
      <c r="C456" s="21"/>
      <c r="D456" s="22"/>
      <c r="E456" s="21"/>
      <c r="F456" s="21"/>
      <c r="G456" s="21"/>
      <c r="H456" s="21"/>
      <c r="I456" s="20"/>
      <c r="J456" s="21"/>
      <c r="K456" s="21"/>
      <c r="L456" s="21"/>
      <c r="M456" s="23"/>
      <c r="N456" s="23"/>
      <c r="O456" s="21"/>
      <c r="P456" s="21"/>
      <c r="Q456" s="21"/>
      <c r="R456" s="21"/>
      <c r="S456" s="21"/>
      <c r="T456" s="21"/>
    </row>
    <row r="457" spans="2:20" x14ac:dyDescent="0.3">
      <c r="B457" s="20"/>
      <c r="C457" s="21"/>
      <c r="D457" s="22"/>
      <c r="E457" s="21"/>
      <c r="F457" s="21"/>
      <c r="G457" s="21"/>
      <c r="H457" s="21"/>
      <c r="I457" s="20"/>
      <c r="J457" s="21"/>
      <c r="K457" s="21"/>
      <c r="L457" s="21"/>
      <c r="M457" s="23"/>
      <c r="N457" s="23"/>
      <c r="O457" s="21"/>
      <c r="P457" s="21"/>
      <c r="Q457" s="21"/>
      <c r="R457" s="21"/>
      <c r="S457" s="21"/>
      <c r="T457" s="21"/>
    </row>
    <row r="458" spans="2:20" x14ac:dyDescent="0.3">
      <c r="B458" s="20"/>
      <c r="C458" s="21"/>
      <c r="D458" s="22"/>
      <c r="E458" s="21"/>
      <c r="F458" s="21"/>
      <c r="G458" s="21"/>
      <c r="H458" s="21"/>
      <c r="I458" s="20"/>
      <c r="J458" s="21"/>
      <c r="K458" s="21"/>
      <c r="L458" s="21"/>
      <c r="M458" s="23"/>
      <c r="N458" s="23"/>
      <c r="O458" s="21"/>
      <c r="P458" s="21"/>
      <c r="Q458" s="21"/>
      <c r="R458" s="21"/>
      <c r="S458" s="21"/>
      <c r="T458" s="21"/>
    </row>
    <row r="459" spans="2:20" x14ac:dyDescent="0.3">
      <c r="B459" s="20"/>
      <c r="C459" s="21"/>
      <c r="D459" s="22"/>
      <c r="E459" s="21"/>
      <c r="F459" s="21"/>
      <c r="G459" s="21"/>
      <c r="H459" s="21"/>
      <c r="I459" s="20"/>
      <c r="J459" s="21"/>
      <c r="K459" s="21"/>
      <c r="L459" s="21"/>
      <c r="M459" s="23"/>
      <c r="N459" s="23"/>
      <c r="O459" s="21"/>
      <c r="P459" s="21"/>
      <c r="Q459" s="21"/>
      <c r="R459" s="21"/>
      <c r="S459" s="21"/>
      <c r="T459" s="21"/>
    </row>
    <row r="460" spans="2:20" x14ac:dyDescent="0.3">
      <c r="B460" s="20"/>
      <c r="C460" s="21"/>
      <c r="D460" s="22"/>
      <c r="E460" s="21"/>
      <c r="F460" s="21"/>
      <c r="G460" s="21"/>
      <c r="H460" s="21"/>
      <c r="I460" s="20"/>
      <c r="J460" s="21"/>
      <c r="K460" s="21"/>
      <c r="L460" s="21"/>
      <c r="M460" s="23"/>
      <c r="N460" s="23"/>
      <c r="O460" s="21"/>
      <c r="P460" s="21"/>
      <c r="Q460" s="21"/>
      <c r="R460" s="21"/>
      <c r="S460" s="21"/>
      <c r="T460" s="21"/>
    </row>
    <row r="461" spans="2:20" x14ac:dyDescent="0.3">
      <c r="B461" s="20"/>
      <c r="C461" s="21"/>
      <c r="D461" s="22"/>
      <c r="E461" s="21"/>
      <c r="F461" s="21"/>
      <c r="G461" s="21"/>
      <c r="H461" s="21"/>
      <c r="I461" s="20"/>
      <c r="J461" s="21"/>
      <c r="K461" s="21"/>
      <c r="L461" s="21"/>
      <c r="M461" s="23"/>
      <c r="N461" s="23"/>
      <c r="O461" s="21"/>
      <c r="P461" s="21"/>
      <c r="Q461" s="21"/>
      <c r="R461" s="21"/>
      <c r="S461" s="21"/>
      <c r="T461" s="21"/>
    </row>
    <row r="462" spans="2:20" x14ac:dyDescent="0.3">
      <c r="B462" s="20"/>
      <c r="C462" s="21"/>
      <c r="D462" s="22"/>
      <c r="E462" s="21"/>
      <c r="F462" s="21"/>
      <c r="G462" s="21"/>
      <c r="H462" s="21"/>
      <c r="I462" s="20"/>
      <c r="J462" s="21"/>
      <c r="K462" s="21"/>
      <c r="L462" s="21"/>
      <c r="M462" s="23"/>
      <c r="N462" s="23"/>
      <c r="O462" s="21"/>
      <c r="P462" s="21"/>
      <c r="Q462" s="21"/>
      <c r="R462" s="21"/>
      <c r="S462" s="21"/>
      <c r="T462" s="21"/>
    </row>
    <row r="463" spans="2:20" x14ac:dyDescent="0.3">
      <c r="B463" s="20"/>
      <c r="C463" s="21"/>
      <c r="D463" s="22"/>
      <c r="E463" s="21"/>
      <c r="F463" s="21"/>
      <c r="G463" s="21"/>
      <c r="H463" s="21"/>
      <c r="I463" s="20"/>
      <c r="J463" s="21"/>
      <c r="K463" s="21"/>
      <c r="L463" s="21"/>
      <c r="M463" s="23"/>
      <c r="N463" s="23"/>
      <c r="O463" s="21"/>
      <c r="P463" s="21"/>
      <c r="Q463" s="21"/>
      <c r="R463" s="21"/>
      <c r="S463" s="21"/>
      <c r="T463" s="21"/>
    </row>
    <row r="464" spans="2:20" x14ac:dyDescent="0.3">
      <c r="B464" s="20"/>
      <c r="C464" s="21"/>
      <c r="D464" s="22"/>
      <c r="E464" s="21"/>
      <c r="F464" s="21"/>
      <c r="G464" s="21"/>
      <c r="H464" s="21"/>
      <c r="I464" s="20"/>
      <c r="J464" s="21"/>
      <c r="K464" s="21"/>
      <c r="L464" s="21"/>
      <c r="M464" s="23"/>
      <c r="N464" s="23"/>
      <c r="O464" s="21"/>
      <c r="P464" s="21"/>
      <c r="Q464" s="21"/>
      <c r="R464" s="21"/>
      <c r="S464" s="21"/>
      <c r="T464" s="21"/>
    </row>
  </sheetData>
  <autoFilter ref="B2:R417" xr:uid="{9E459504-4679-4E8E-8F4F-30C79C55CE7B}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0855-84FD-4340-B84D-671EC7B140B5}">
  <dimension ref="B2:U68"/>
  <sheetViews>
    <sheetView topLeftCell="J1" workbookViewId="0">
      <selection activeCell="V2" sqref="V2"/>
    </sheetView>
  </sheetViews>
  <sheetFormatPr defaultRowHeight="14.4" x14ac:dyDescent="0.3"/>
  <cols>
    <col min="2" max="2" width="10.109375" bestFit="1" customWidth="1"/>
    <col min="3" max="3" width="22.44140625" bestFit="1" customWidth="1"/>
    <col min="4" max="4" width="9" bestFit="1" customWidth="1"/>
    <col min="5" max="5" width="41.109375" bestFit="1" customWidth="1"/>
    <col min="6" max="6" width="14.6640625" bestFit="1" customWidth="1"/>
    <col min="7" max="7" width="14.109375" bestFit="1" customWidth="1"/>
    <col min="8" max="8" width="22.88671875" bestFit="1" customWidth="1"/>
    <col min="9" max="9" width="29.33203125" bestFit="1" customWidth="1"/>
    <col min="10" max="10" width="20.21875" bestFit="1" customWidth="1"/>
    <col min="11" max="11" width="20.5546875" bestFit="1" customWidth="1"/>
    <col min="12" max="12" width="26.77734375" bestFit="1" customWidth="1"/>
    <col min="13" max="13" width="32.6640625" bestFit="1" customWidth="1"/>
    <col min="14" max="14" width="19.109375" bestFit="1" customWidth="1"/>
    <col min="15" max="15" width="20.109375" bestFit="1" customWidth="1"/>
    <col min="16" max="16" width="25.109375" bestFit="1" customWidth="1"/>
    <col min="17" max="17" width="22.6640625" bestFit="1" customWidth="1"/>
    <col min="18" max="18" width="17.6640625" bestFit="1" customWidth="1"/>
    <col min="19" max="19" width="16.109375" bestFit="1" customWidth="1"/>
    <col min="20" max="20" width="6.109375" bestFit="1" customWidth="1"/>
    <col min="21" max="21" width="10.44140625" bestFit="1" customWidth="1"/>
  </cols>
  <sheetData>
    <row r="2" spans="2:21" x14ac:dyDescent="0.3">
      <c r="B2" t="s">
        <v>832</v>
      </c>
      <c r="C2" t="s">
        <v>206</v>
      </c>
      <c r="D2" t="s">
        <v>750</v>
      </c>
      <c r="E2" t="s">
        <v>751</v>
      </c>
      <c r="F2" t="s">
        <v>752</v>
      </c>
      <c r="G2" t="s">
        <v>753</v>
      </c>
      <c r="H2" t="s">
        <v>754</v>
      </c>
      <c r="I2" s="30" t="s">
        <v>755</v>
      </c>
      <c r="J2" t="s">
        <v>756</v>
      </c>
      <c r="K2" t="s">
        <v>757</v>
      </c>
      <c r="L2" t="s">
        <v>758</v>
      </c>
      <c r="M2" t="s">
        <v>759</v>
      </c>
      <c r="N2" t="s">
        <v>760</v>
      </c>
      <c r="O2" t="s">
        <v>761</v>
      </c>
      <c r="P2" t="s">
        <v>762</v>
      </c>
      <c r="Q2" t="s">
        <v>763</v>
      </c>
      <c r="R2" t="s">
        <v>764</v>
      </c>
      <c r="S2" t="s">
        <v>765</v>
      </c>
      <c r="T2" t="s">
        <v>830</v>
      </c>
      <c r="U2" t="s">
        <v>831</v>
      </c>
    </row>
    <row r="3" spans="2:21" x14ac:dyDescent="0.3">
      <c r="B3">
        <v>22103</v>
      </c>
      <c r="C3" t="s">
        <v>183</v>
      </c>
      <c r="D3">
        <v>3240793</v>
      </c>
      <c r="E3" t="s">
        <v>766</v>
      </c>
      <c r="F3" s="2">
        <v>1500000</v>
      </c>
      <c r="G3">
        <v>10</v>
      </c>
      <c r="H3" t="s">
        <v>767</v>
      </c>
      <c r="I3" t="s">
        <v>148</v>
      </c>
      <c r="J3" t="s">
        <v>147</v>
      </c>
      <c r="K3" t="s">
        <v>147</v>
      </c>
      <c r="M3" t="s">
        <v>768</v>
      </c>
      <c r="N3">
        <v>0</v>
      </c>
      <c r="P3" s="27">
        <v>46080</v>
      </c>
      <c r="Q3">
        <v>0</v>
      </c>
      <c r="S3">
        <v>1000</v>
      </c>
      <c r="T3" s="3">
        <v>3.2500000000000001E-2</v>
      </c>
      <c r="U3" s="31">
        <f>T3*F3</f>
        <v>48750</v>
      </c>
    </row>
    <row r="4" spans="2:21" x14ac:dyDescent="0.3">
      <c r="B4">
        <v>22103</v>
      </c>
      <c r="C4" t="s">
        <v>183</v>
      </c>
      <c r="D4">
        <v>2010261</v>
      </c>
      <c r="E4" t="s">
        <v>769</v>
      </c>
      <c r="F4" s="2">
        <v>1000000</v>
      </c>
      <c r="G4">
        <v>10</v>
      </c>
      <c r="H4" t="s">
        <v>767</v>
      </c>
      <c r="I4" t="s">
        <v>148</v>
      </c>
      <c r="J4" t="s">
        <v>147</v>
      </c>
      <c r="K4" t="s">
        <v>147</v>
      </c>
      <c r="M4" t="s">
        <v>768</v>
      </c>
      <c r="N4">
        <v>0</v>
      </c>
      <c r="P4" s="27">
        <v>46080</v>
      </c>
      <c r="Q4">
        <v>0</v>
      </c>
      <c r="S4">
        <v>1000</v>
      </c>
      <c r="T4" s="3">
        <v>3.2500000000000001E-2</v>
      </c>
      <c r="U4" s="31">
        <f t="shared" ref="U4:U67" si="0">T4*F4</f>
        <v>32500</v>
      </c>
    </row>
    <row r="5" spans="2:21" x14ac:dyDescent="0.3">
      <c r="B5">
        <v>71997</v>
      </c>
      <c r="C5" t="s">
        <v>197</v>
      </c>
      <c r="D5">
        <v>2730105</v>
      </c>
      <c r="E5" t="s">
        <v>770</v>
      </c>
      <c r="F5" s="2">
        <v>1000000</v>
      </c>
      <c r="G5">
        <v>10</v>
      </c>
      <c r="H5" t="s">
        <v>767</v>
      </c>
      <c r="I5" t="s">
        <v>148</v>
      </c>
      <c r="J5" t="s">
        <v>147</v>
      </c>
      <c r="K5" t="s">
        <v>147</v>
      </c>
      <c r="M5" t="s">
        <v>768</v>
      </c>
      <c r="N5">
        <v>0</v>
      </c>
      <c r="P5" s="27">
        <v>46080</v>
      </c>
      <c r="Q5">
        <v>0</v>
      </c>
      <c r="S5">
        <v>1000</v>
      </c>
      <c r="T5" s="3">
        <v>3.2500000000000001E-2</v>
      </c>
      <c r="U5" s="31">
        <f t="shared" si="0"/>
        <v>32500</v>
      </c>
    </row>
    <row r="6" spans="2:21" x14ac:dyDescent="0.3">
      <c r="B6">
        <v>22103</v>
      </c>
      <c r="C6" t="s">
        <v>183</v>
      </c>
      <c r="D6">
        <v>52162</v>
      </c>
      <c r="E6" t="s">
        <v>771</v>
      </c>
      <c r="F6" s="2">
        <v>800000</v>
      </c>
      <c r="G6">
        <v>10</v>
      </c>
      <c r="H6" t="s">
        <v>767</v>
      </c>
      <c r="I6" t="s">
        <v>148</v>
      </c>
      <c r="J6" t="s">
        <v>147</v>
      </c>
      <c r="K6" t="s">
        <v>147</v>
      </c>
      <c r="M6" t="s">
        <v>768</v>
      </c>
      <c r="N6">
        <v>0</v>
      </c>
      <c r="P6" s="27">
        <v>46080</v>
      </c>
      <c r="Q6">
        <v>0</v>
      </c>
      <c r="S6">
        <v>1000</v>
      </c>
      <c r="T6" s="3">
        <v>3.2500000000000001E-2</v>
      </c>
      <c r="U6" s="31">
        <f t="shared" si="0"/>
        <v>26000</v>
      </c>
    </row>
    <row r="7" spans="2:21" x14ac:dyDescent="0.3">
      <c r="B7">
        <v>22103</v>
      </c>
      <c r="C7" t="s">
        <v>183</v>
      </c>
      <c r="D7">
        <v>2217992</v>
      </c>
      <c r="E7" t="s">
        <v>772</v>
      </c>
      <c r="F7" s="2">
        <v>500000</v>
      </c>
      <c r="G7">
        <v>10</v>
      </c>
      <c r="H7" t="s">
        <v>767</v>
      </c>
      <c r="I7" t="s">
        <v>148</v>
      </c>
      <c r="J7" t="s">
        <v>147</v>
      </c>
      <c r="K7" t="s">
        <v>147</v>
      </c>
      <c r="M7" t="s">
        <v>768</v>
      </c>
      <c r="N7">
        <v>0</v>
      </c>
      <c r="P7" s="27">
        <v>46080</v>
      </c>
      <c r="Q7">
        <v>0</v>
      </c>
      <c r="S7">
        <v>1000</v>
      </c>
      <c r="T7" s="3">
        <v>3.2500000000000001E-2</v>
      </c>
      <c r="U7" s="31">
        <f t="shared" si="0"/>
        <v>16250</v>
      </c>
    </row>
    <row r="8" spans="2:21" x14ac:dyDescent="0.3">
      <c r="B8">
        <v>25619</v>
      </c>
      <c r="C8" t="s">
        <v>184</v>
      </c>
      <c r="D8">
        <v>5714703</v>
      </c>
      <c r="E8" t="s">
        <v>481</v>
      </c>
      <c r="F8" s="2">
        <v>500000</v>
      </c>
      <c r="G8">
        <v>10</v>
      </c>
      <c r="H8" t="s">
        <v>767</v>
      </c>
      <c r="I8" t="s">
        <v>148</v>
      </c>
      <c r="J8" t="s">
        <v>147</v>
      </c>
      <c r="K8" t="s">
        <v>147</v>
      </c>
      <c r="M8" t="s">
        <v>768</v>
      </c>
      <c r="N8">
        <v>0</v>
      </c>
      <c r="P8" s="27">
        <v>46080</v>
      </c>
      <c r="Q8">
        <v>0</v>
      </c>
      <c r="S8">
        <v>1000</v>
      </c>
      <c r="T8" s="3">
        <v>3.2500000000000001E-2</v>
      </c>
      <c r="U8" s="31">
        <f t="shared" si="0"/>
        <v>16250</v>
      </c>
    </row>
    <row r="9" spans="2:21" x14ac:dyDescent="0.3">
      <c r="B9">
        <v>69519</v>
      </c>
      <c r="C9" t="s">
        <v>174</v>
      </c>
      <c r="D9">
        <v>366105</v>
      </c>
      <c r="E9" t="s">
        <v>773</v>
      </c>
      <c r="F9" s="2">
        <v>300000</v>
      </c>
      <c r="G9">
        <v>10</v>
      </c>
      <c r="H9" t="s">
        <v>767</v>
      </c>
      <c r="I9" t="s">
        <v>148</v>
      </c>
      <c r="J9" t="s">
        <v>147</v>
      </c>
      <c r="K9" t="s">
        <v>774</v>
      </c>
      <c r="M9" t="s">
        <v>768</v>
      </c>
      <c r="N9">
        <v>0</v>
      </c>
      <c r="P9" s="27">
        <v>46080</v>
      </c>
      <c r="Q9">
        <v>0</v>
      </c>
      <c r="S9">
        <v>1000</v>
      </c>
      <c r="T9" s="3">
        <v>3.2500000000000001E-2</v>
      </c>
      <c r="U9" s="31">
        <f t="shared" si="0"/>
        <v>9750</v>
      </c>
    </row>
    <row r="10" spans="2:21" x14ac:dyDescent="0.3">
      <c r="B10">
        <v>41072</v>
      </c>
      <c r="C10" t="s">
        <v>193</v>
      </c>
      <c r="D10">
        <v>3381519</v>
      </c>
      <c r="E10" t="s">
        <v>775</v>
      </c>
      <c r="F10" s="2">
        <v>300000</v>
      </c>
      <c r="G10">
        <v>10</v>
      </c>
      <c r="H10" t="s">
        <v>767</v>
      </c>
      <c r="I10" t="s">
        <v>148</v>
      </c>
      <c r="J10" t="s">
        <v>147</v>
      </c>
      <c r="K10" t="s">
        <v>774</v>
      </c>
      <c r="M10" t="s">
        <v>768</v>
      </c>
      <c r="N10">
        <v>0</v>
      </c>
      <c r="P10" s="27">
        <v>46080</v>
      </c>
      <c r="Q10">
        <v>0</v>
      </c>
      <c r="S10">
        <v>1000</v>
      </c>
      <c r="T10" s="3">
        <v>3.2500000000000001E-2</v>
      </c>
      <c r="U10" s="31">
        <f t="shared" si="0"/>
        <v>9750</v>
      </c>
    </row>
    <row r="11" spans="2:21" x14ac:dyDescent="0.3">
      <c r="B11">
        <v>22103</v>
      </c>
      <c r="C11" t="s">
        <v>183</v>
      </c>
      <c r="D11">
        <v>2475980</v>
      </c>
      <c r="E11" t="s">
        <v>776</v>
      </c>
      <c r="F11" s="2">
        <v>300000</v>
      </c>
      <c r="G11">
        <v>10</v>
      </c>
      <c r="H11" t="s">
        <v>767</v>
      </c>
      <c r="I11" t="s">
        <v>148</v>
      </c>
      <c r="J11" t="s">
        <v>147</v>
      </c>
      <c r="K11" t="s">
        <v>147</v>
      </c>
      <c r="M11" t="s">
        <v>768</v>
      </c>
      <c r="N11">
        <v>0</v>
      </c>
      <c r="P11" s="27">
        <v>46080</v>
      </c>
      <c r="Q11">
        <v>0</v>
      </c>
      <c r="S11">
        <v>1000</v>
      </c>
      <c r="T11" s="3">
        <v>3.2500000000000001E-2</v>
      </c>
      <c r="U11" s="31">
        <f t="shared" si="0"/>
        <v>9750</v>
      </c>
    </row>
    <row r="12" spans="2:21" x14ac:dyDescent="0.3">
      <c r="B12">
        <v>22103</v>
      </c>
      <c r="C12" t="s">
        <v>183</v>
      </c>
      <c r="D12">
        <v>15496606</v>
      </c>
      <c r="E12" t="s">
        <v>777</v>
      </c>
      <c r="F12" s="2">
        <v>300000</v>
      </c>
      <c r="G12">
        <v>10</v>
      </c>
      <c r="H12" t="s">
        <v>767</v>
      </c>
      <c r="I12" t="s">
        <v>148</v>
      </c>
      <c r="J12" t="s">
        <v>147</v>
      </c>
      <c r="K12" t="s">
        <v>774</v>
      </c>
      <c r="M12" t="s">
        <v>768</v>
      </c>
      <c r="N12">
        <v>0</v>
      </c>
      <c r="P12" s="27">
        <v>46080</v>
      </c>
      <c r="Q12">
        <v>0</v>
      </c>
      <c r="S12">
        <v>1000</v>
      </c>
      <c r="T12" s="3">
        <v>3.2500000000000001E-2</v>
      </c>
      <c r="U12" s="31">
        <f t="shared" si="0"/>
        <v>9750</v>
      </c>
    </row>
    <row r="13" spans="2:21" x14ac:dyDescent="0.3">
      <c r="B13">
        <v>49894</v>
      </c>
      <c r="C13" t="s">
        <v>176</v>
      </c>
      <c r="D13">
        <v>16697783</v>
      </c>
      <c r="E13" t="s">
        <v>778</v>
      </c>
      <c r="F13" s="2">
        <v>300000</v>
      </c>
      <c r="G13">
        <v>10</v>
      </c>
      <c r="H13" t="s">
        <v>767</v>
      </c>
      <c r="I13" t="s">
        <v>148</v>
      </c>
      <c r="J13" t="s">
        <v>147</v>
      </c>
      <c r="K13" t="s">
        <v>147</v>
      </c>
      <c r="M13" t="s">
        <v>768</v>
      </c>
      <c r="N13">
        <v>0</v>
      </c>
      <c r="P13" s="27">
        <v>46080</v>
      </c>
      <c r="Q13">
        <v>0</v>
      </c>
      <c r="S13">
        <v>1000</v>
      </c>
      <c r="T13" s="3">
        <v>3.2500000000000001E-2</v>
      </c>
      <c r="U13" s="31">
        <f t="shared" si="0"/>
        <v>9750</v>
      </c>
    </row>
    <row r="14" spans="2:21" x14ac:dyDescent="0.3">
      <c r="B14">
        <v>41072</v>
      </c>
      <c r="C14" t="s">
        <v>193</v>
      </c>
      <c r="D14">
        <v>11712403</v>
      </c>
      <c r="E14" t="s">
        <v>779</v>
      </c>
      <c r="F14" s="2">
        <v>250000</v>
      </c>
      <c r="G14">
        <v>10</v>
      </c>
      <c r="H14" t="s">
        <v>767</v>
      </c>
      <c r="I14" t="s">
        <v>148</v>
      </c>
      <c r="J14" t="s">
        <v>147</v>
      </c>
      <c r="K14" t="s">
        <v>774</v>
      </c>
      <c r="M14" t="s">
        <v>768</v>
      </c>
      <c r="N14">
        <v>0</v>
      </c>
      <c r="P14" s="27">
        <v>46080</v>
      </c>
      <c r="Q14">
        <v>0</v>
      </c>
      <c r="S14">
        <v>1000</v>
      </c>
      <c r="T14" s="3">
        <v>3.2500000000000001E-2</v>
      </c>
      <c r="U14" s="31">
        <f t="shared" si="0"/>
        <v>8125</v>
      </c>
    </row>
    <row r="15" spans="2:21" x14ac:dyDescent="0.3">
      <c r="B15">
        <v>41072</v>
      </c>
      <c r="C15" t="s">
        <v>193</v>
      </c>
      <c r="D15">
        <v>11876950</v>
      </c>
      <c r="E15" t="s">
        <v>780</v>
      </c>
      <c r="F15" s="2">
        <v>200000</v>
      </c>
      <c r="G15">
        <v>10</v>
      </c>
      <c r="H15" t="s">
        <v>767</v>
      </c>
      <c r="I15" t="s">
        <v>148</v>
      </c>
      <c r="J15" t="s">
        <v>147</v>
      </c>
      <c r="K15" t="s">
        <v>774</v>
      </c>
      <c r="M15" t="s">
        <v>768</v>
      </c>
      <c r="N15">
        <v>0</v>
      </c>
      <c r="P15" s="27">
        <v>46080</v>
      </c>
      <c r="Q15">
        <v>0</v>
      </c>
      <c r="S15">
        <v>1000</v>
      </c>
      <c r="T15" s="3">
        <v>3.2500000000000001E-2</v>
      </c>
      <c r="U15" s="31">
        <f t="shared" si="0"/>
        <v>6500</v>
      </c>
    </row>
    <row r="16" spans="2:21" x14ac:dyDescent="0.3">
      <c r="B16">
        <v>38517</v>
      </c>
      <c r="C16" t="s">
        <v>187</v>
      </c>
      <c r="D16">
        <v>346710</v>
      </c>
      <c r="E16" t="s">
        <v>781</v>
      </c>
      <c r="F16" s="2">
        <v>170000</v>
      </c>
      <c r="G16">
        <v>10</v>
      </c>
      <c r="H16" t="s">
        <v>767</v>
      </c>
      <c r="I16" t="s">
        <v>148</v>
      </c>
      <c r="J16" t="s">
        <v>147</v>
      </c>
      <c r="K16" t="s">
        <v>774</v>
      </c>
      <c r="M16" t="s">
        <v>768</v>
      </c>
      <c r="N16">
        <v>0</v>
      </c>
      <c r="P16" s="27">
        <v>46080</v>
      </c>
      <c r="Q16">
        <v>0</v>
      </c>
      <c r="S16">
        <v>1000</v>
      </c>
      <c r="T16" s="3">
        <v>3.2500000000000001E-2</v>
      </c>
      <c r="U16" s="31">
        <f t="shared" si="0"/>
        <v>5525</v>
      </c>
    </row>
    <row r="17" spans="2:21" x14ac:dyDescent="0.3">
      <c r="B17">
        <v>69519</v>
      </c>
      <c r="C17" t="s">
        <v>174</v>
      </c>
      <c r="D17">
        <v>434667</v>
      </c>
      <c r="E17" t="s">
        <v>782</v>
      </c>
      <c r="F17" s="2">
        <v>150000</v>
      </c>
      <c r="G17">
        <v>10</v>
      </c>
      <c r="H17" t="s">
        <v>767</v>
      </c>
      <c r="I17" t="s">
        <v>148</v>
      </c>
      <c r="J17" t="s">
        <v>147</v>
      </c>
      <c r="K17" t="s">
        <v>774</v>
      </c>
      <c r="M17" t="s">
        <v>768</v>
      </c>
      <c r="N17">
        <v>0</v>
      </c>
      <c r="P17" s="27">
        <v>46080</v>
      </c>
      <c r="Q17">
        <v>0</v>
      </c>
      <c r="S17">
        <v>1000</v>
      </c>
      <c r="T17" s="3">
        <v>3.2500000000000001E-2</v>
      </c>
      <c r="U17" s="31">
        <f t="shared" si="0"/>
        <v>4875</v>
      </c>
    </row>
    <row r="18" spans="2:21" x14ac:dyDescent="0.3">
      <c r="B18">
        <v>49894</v>
      </c>
      <c r="C18" t="s">
        <v>176</v>
      </c>
      <c r="D18">
        <v>16699650</v>
      </c>
      <c r="E18" t="s">
        <v>783</v>
      </c>
      <c r="F18" s="2">
        <v>150000</v>
      </c>
      <c r="G18">
        <v>10</v>
      </c>
      <c r="H18" t="s">
        <v>767</v>
      </c>
      <c r="I18" t="s">
        <v>148</v>
      </c>
      <c r="J18" t="s">
        <v>147</v>
      </c>
      <c r="K18" t="s">
        <v>774</v>
      </c>
      <c r="M18" t="s">
        <v>768</v>
      </c>
      <c r="N18">
        <v>0</v>
      </c>
      <c r="P18" s="27">
        <v>46080</v>
      </c>
      <c r="Q18">
        <v>0</v>
      </c>
      <c r="S18">
        <v>1000</v>
      </c>
      <c r="T18" s="3">
        <v>3.2500000000000001E-2</v>
      </c>
      <c r="U18" s="31">
        <f t="shared" si="0"/>
        <v>4875</v>
      </c>
    </row>
    <row r="19" spans="2:21" x14ac:dyDescent="0.3">
      <c r="B19">
        <v>22103</v>
      </c>
      <c r="C19" t="s">
        <v>183</v>
      </c>
      <c r="D19">
        <v>2286973</v>
      </c>
      <c r="E19" t="s">
        <v>784</v>
      </c>
      <c r="F19" s="2">
        <v>150000</v>
      </c>
      <c r="G19">
        <v>10</v>
      </c>
      <c r="H19" t="s">
        <v>767</v>
      </c>
      <c r="I19" t="s">
        <v>148</v>
      </c>
      <c r="J19" t="s">
        <v>147</v>
      </c>
      <c r="K19" t="s">
        <v>774</v>
      </c>
      <c r="M19" t="s">
        <v>768</v>
      </c>
      <c r="N19">
        <v>0</v>
      </c>
      <c r="P19" s="27">
        <v>46080</v>
      </c>
      <c r="Q19">
        <v>0</v>
      </c>
      <c r="S19">
        <v>1000</v>
      </c>
      <c r="T19" s="3">
        <v>3.2500000000000001E-2</v>
      </c>
      <c r="U19" s="31">
        <f t="shared" si="0"/>
        <v>4875</v>
      </c>
    </row>
    <row r="20" spans="2:21" x14ac:dyDescent="0.3">
      <c r="B20">
        <v>21559</v>
      </c>
      <c r="C20" t="s">
        <v>192</v>
      </c>
      <c r="D20">
        <v>2623188</v>
      </c>
      <c r="E20" t="s">
        <v>785</v>
      </c>
      <c r="F20" s="2">
        <v>100000</v>
      </c>
      <c r="G20">
        <v>10</v>
      </c>
      <c r="H20" t="s">
        <v>767</v>
      </c>
      <c r="I20" t="s">
        <v>786</v>
      </c>
      <c r="J20" t="s">
        <v>147</v>
      </c>
      <c r="K20" t="s">
        <v>774</v>
      </c>
      <c r="M20" t="s">
        <v>768</v>
      </c>
      <c r="N20">
        <v>0</v>
      </c>
      <c r="P20" s="27">
        <v>46080</v>
      </c>
      <c r="Q20">
        <v>0</v>
      </c>
      <c r="S20">
        <v>1000</v>
      </c>
      <c r="T20" s="3">
        <v>3.2500000000000001E-2</v>
      </c>
      <c r="U20" s="31">
        <f t="shared" si="0"/>
        <v>3250</v>
      </c>
    </row>
    <row r="21" spans="2:21" x14ac:dyDescent="0.3">
      <c r="B21">
        <v>49894</v>
      </c>
      <c r="C21" t="s">
        <v>176</v>
      </c>
      <c r="D21">
        <v>15974810</v>
      </c>
      <c r="E21" t="s">
        <v>787</v>
      </c>
      <c r="F21" s="2">
        <v>100000</v>
      </c>
      <c r="G21">
        <v>10</v>
      </c>
      <c r="H21" t="s">
        <v>767</v>
      </c>
      <c r="I21" t="s">
        <v>148</v>
      </c>
      <c r="J21" t="s">
        <v>147</v>
      </c>
      <c r="K21" t="s">
        <v>774</v>
      </c>
      <c r="M21" t="s">
        <v>768</v>
      </c>
      <c r="N21">
        <v>0</v>
      </c>
      <c r="P21" s="27">
        <v>46080</v>
      </c>
      <c r="Q21">
        <v>0</v>
      </c>
      <c r="S21">
        <v>1000</v>
      </c>
      <c r="T21" s="3">
        <v>3.2500000000000001E-2</v>
      </c>
      <c r="U21" s="31">
        <f t="shared" si="0"/>
        <v>3250</v>
      </c>
    </row>
    <row r="22" spans="2:21" x14ac:dyDescent="0.3">
      <c r="B22">
        <v>21559</v>
      </c>
      <c r="C22" t="s">
        <v>192</v>
      </c>
      <c r="D22">
        <v>2410665</v>
      </c>
      <c r="E22" t="s">
        <v>788</v>
      </c>
      <c r="F22" s="2">
        <v>100000</v>
      </c>
      <c r="G22">
        <v>10</v>
      </c>
      <c r="H22" t="s">
        <v>767</v>
      </c>
      <c r="I22" t="s">
        <v>148</v>
      </c>
      <c r="J22" t="s">
        <v>147</v>
      </c>
      <c r="K22" t="s">
        <v>774</v>
      </c>
      <c r="M22" t="s">
        <v>768</v>
      </c>
      <c r="N22">
        <v>0</v>
      </c>
      <c r="P22" s="27">
        <v>46080</v>
      </c>
      <c r="Q22">
        <v>0</v>
      </c>
      <c r="S22">
        <v>1000</v>
      </c>
      <c r="T22" s="3">
        <v>3.2500000000000001E-2</v>
      </c>
      <c r="U22" s="31">
        <f t="shared" si="0"/>
        <v>3250</v>
      </c>
    </row>
    <row r="23" spans="2:21" x14ac:dyDescent="0.3">
      <c r="B23">
        <v>71997</v>
      </c>
      <c r="C23" t="s">
        <v>197</v>
      </c>
      <c r="D23">
        <v>3639320</v>
      </c>
      <c r="E23" t="s">
        <v>789</v>
      </c>
      <c r="F23" s="2">
        <v>100000</v>
      </c>
      <c r="G23">
        <v>10</v>
      </c>
      <c r="H23" t="s">
        <v>767</v>
      </c>
      <c r="I23" t="s">
        <v>148</v>
      </c>
      <c r="J23" t="s">
        <v>147</v>
      </c>
      <c r="K23" t="s">
        <v>147</v>
      </c>
      <c r="M23" t="s">
        <v>768</v>
      </c>
      <c r="N23">
        <v>0</v>
      </c>
      <c r="P23" s="27">
        <v>46080</v>
      </c>
      <c r="Q23">
        <v>0</v>
      </c>
      <c r="S23">
        <v>1000</v>
      </c>
      <c r="T23" s="3">
        <v>3.2500000000000001E-2</v>
      </c>
      <c r="U23" s="31">
        <f t="shared" si="0"/>
        <v>3250</v>
      </c>
    </row>
    <row r="24" spans="2:21" x14ac:dyDescent="0.3">
      <c r="B24">
        <v>49894</v>
      </c>
      <c r="C24" t="s">
        <v>176</v>
      </c>
      <c r="D24">
        <v>16951165</v>
      </c>
      <c r="E24" t="s">
        <v>476</v>
      </c>
      <c r="F24" s="2">
        <v>100000</v>
      </c>
      <c r="G24">
        <v>10</v>
      </c>
      <c r="H24" t="s">
        <v>767</v>
      </c>
      <c r="I24" t="s">
        <v>148</v>
      </c>
      <c r="J24" t="s">
        <v>147</v>
      </c>
      <c r="K24" t="s">
        <v>774</v>
      </c>
      <c r="M24" t="s">
        <v>768</v>
      </c>
      <c r="N24">
        <v>0</v>
      </c>
      <c r="P24" s="27">
        <v>46080</v>
      </c>
      <c r="Q24">
        <v>0</v>
      </c>
      <c r="S24">
        <v>1000</v>
      </c>
      <c r="T24" s="3">
        <v>3.2500000000000001E-2</v>
      </c>
      <c r="U24" s="31">
        <f t="shared" si="0"/>
        <v>3250</v>
      </c>
    </row>
    <row r="25" spans="2:21" x14ac:dyDescent="0.3">
      <c r="B25">
        <v>21559</v>
      </c>
      <c r="C25" t="s">
        <v>192</v>
      </c>
      <c r="D25">
        <v>6113991</v>
      </c>
      <c r="E25" t="s">
        <v>790</v>
      </c>
      <c r="F25" s="2">
        <v>95000</v>
      </c>
      <c r="G25">
        <v>10</v>
      </c>
      <c r="H25" t="s">
        <v>767</v>
      </c>
      <c r="I25" t="s">
        <v>148</v>
      </c>
      <c r="J25" t="s">
        <v>147</v>
      </c>
      <c r="K25" t="s">
        <v>774</v>
      </c>
      <c r="M25" t="s">
        <v>768</v>
      </c>
      <c r="N25">
        <v>0</v>
      </c>
      <c r="P25" s="27">
        <v>46080</v>
      </c>
      <c r="Q25">
        <v>0</v>
      </c>
      <c r="S25">
        <v>1000</v>
      </c>
      <c r="T25" s="3">
        <v>3.2500000000000001E-2</v>
      </c>
      <c r="U25" s="31">
        <f t="shared" si="0"/>
        <v>3087.5</v>
      </c>
    </row>
    <row r="26" spans="2:21" x14ac:dyDescent="0.3">
      <c r="B26">
        <v>49894</v>
      </c>
      <c r="C26" t="s">
        <v>176</v>
      </c>
      <c r="D26">
        <v>2191869</v>
      </c>
      <c r="E26" t="s">
        <v>484</v>
      </c>
      <c r="F26" s="2">
        <v>80000</v>
      </c>
      <c r="G26">
        <v>10</v>
      </c>
      <c r="H26" t="s">
        <v>767</v>
      </c>
      <c r="I26" t="s">
        <v>148</v>
      </c>
      <c r="J26" t="s">
        <v>147</v>
      </c>
      <c r="K26" t="s">
        <v>147</v>
      </c>
      <c r="M26" t="s">
        <v>768</v>
      </c>
      <c r="N26">
        <v>0</v>
      </c>
      <c r="P26" s="27">
        <v>46080</v>
      </c>
      <c r="Q26">
        <v>0</v>
      </c>
      <c r="S26">
        <v>1000</v>
      </c>
      <c r="T26" s="3">
        <v>3.2500000000000001E-2</v>
      </c>
      <c r="U26" s="31">
        <f t="shared" si="0"/>
        <v>2600</v>
      </c>
    </row>
    <row r="27" spans="2:21" x14ac:dyDescent="0.3">
      <c r="B27">
        <v>22674</v>
      </c>
      <c r="C27" t="s">
        <v>186</v>
      </c>
      <c r="D27">
        <v>2270272</v>
      </c>
      <c r="E27" t="s">
        <v>791</v>
      </c>
      <c r="F27" s="2">
        <v>50000</v>
      </c>
      <c r="G27">
        <v>10</v>
      </c>
      <c r="H27" t="s">
        <v>767</v>
      </c>
      <c r="I27" t="s">
        <v>148</v>
      </c>
      <c r="J27" t="s">
        <v>147</v>
      </c>
      <c r="K27" t="s">
        <v>774</v>
      </c>
      <c r="M27" t="s">
        <v>768</v>
      </c>
      <c r="N27">
        <v>0</v>
      </c>
      <c r="P27" s="27">
        <v>46080</v>
      </c>
      <c r="Q27">
        <v>0</v>
      </c>
      <c r="S27">
        <v>1000</v>
      </c>
      <c r="T27" s="3">
        <v>3.2500000000000001E-2</v>
      </c>
      <c r="U27" s="31">
        <f t="shared" si="0"/>
        <v>1625</v>
      </c>
    </row>
    <row r="28" spans="2:21" x14ac:dyDescent="0.3">
      <c r="B28">
        <v>22674</v>
      </c>
      <c r="C28" t="s">
        <v>186</v>
      </c>
      <c r="D28">
        <v>3065087</v>
      </c>
      <c r="E28" t="s">
        <v>792</v>
      </c>
      <c r="F28" s="2">
        <v>50000</v>
      </c>
      <c r="G28">
        <v>10</v>
      </c>
      <c r="H28" t="s">
        <v>767</v>
      </c>
      <c r="I28" t="s">
        <v>148</v>
      </c>
      <c r="J28" t="s">
        <v>147</v>
      </c>
      <c r="K28" t="s">
        <v>774</v>
      </c>
      <c r="M28" t="s">
        <v>768</v>
      </c>
      <c r="N28">
        <v>0</v>
      </c>
      <c r="P28" s="27">
        <v>46080</v>
      </c>
      <c r="Q28">
        <v>0</v>
      </c>
      <c r="S28">
        <v>1000</v>
      </c>
      <c r="T28" s="3">
        <v>3.2500000000000001E-2</v>
      </c>
      <c r="U28" s="31">
        <f t="shared" si="0"/>
        <v>1625</v>
      </c>
    </row>
    <row r="29" spans="2:21" x14ac:dyDescent="0.3">
      <c r="B29">
        <v>49894</v>
      </c>
      <c r="C29" t="s">
        <v>176</v>
      </c>
      <c r="D29">
        <v>4382412</v>
      </c>
      <c r="E29" t="s">
        <v>793</v>
      </c>
      <c r="F29" s="2">
        <v>50000</v>
      </c>
      <c r="G29">
        <v>10</v>
      </c>
      <c r="H29" t="s">
        <v>767</v>
      </c>
      <c r="I29" t="s">
        <v>148</v>
      </c>
      <c r="J29" t="s">
        <v>147</v>
      </c>
      <c r="K29" t="s">
        <v>774</v>
      </c>
      <c r="M29" t="s">
        <v>768</v>
      </c>
      <c r="N29">
        <v>0</v>
      </c>
      <c r="P29" s="27">
        <v>46080</v>
      </c>
      <c r="Q29">
        <v>0</v>
      </c>
      <c r="S29">
        <v>1000</v>
      </c>
      <c r="T29" s="3">
        <v>3.2500000000000001E-2</v>
      </c>
      <c r="U29" s="31">
        <f t="shared" si="0"/>
        <v>1625</v>
      </c>
    </row>
    <row r="30" spans="2:21" x14ac:dyDescent="0.3">
      <c r="B30">
        <v>22674</v>
      </c>
      <c r="C30" t="s">
        <v>186</v>
      </c>
      <c r="D30">
        <v>3344305</v>
      </c>
      <c r="E30" t="s">
        <v>794</v>
      </c>
      <c r="F30" s="2">
        <v>50000</v>
      </c>
      <c r="G30">
        <v>10</v>
      </c>
      <c r="H30" t="s">
        <v>767</v>
      </c>
      <c r="I30" t="s">
        <v>148</v>
      </c>
      <c r="J30" t="s">
        <v>147</v>
      </c>
      <c r="K30" t="s">
        <v>774</v>
      </c>
      <c r="M30" t="s">
        <v>768</v>
      </c>
      <c r="N30">
        <v>0</v>
      </c>
      <c r="P30" s="27">
        <v>46080</v>
      </c>
      <c r="Q30">
        <v>0</v>
      </c>
      <c r="S30">
        <v>1000</v>
      </c>
      <c r="T30" s="3">
        <v>3.2500000000000001E-2</v>
      </c>
      <c r="U30" s="31">
        <f t="shared" si="0"/>
        <v>1625</v>
      </c>
    </row>
    <row r="31" spans="2:21" x14ac:dyDescent="0.3">
      <c r="B31">
        <v>22674</v>
      </c>
      <c r="C31" t="s">
        <v>186</v>
      </c>
      <c r="D31">
        <v>4892093</v>
      </c>
      <c r="E31" t="s">
        <v>795</v>
      </c>
      <c r="F31" s="2">
        <v>50000</v>
      </c>
      <c r="G31">
        <v>10</v>
      </c>
      <c r="H31" t="s">
        <v>767</v>
      </c>
      <c r="I31" t="s">
        <v>148</v>
      </c>
      <c r="J31" t="s">
        <v>147</v>
      </c>
      <c r="K31" t="s">
        <v>774</v>
      </c>
      <c r="M31" t="s">
        <v>768</v>
      </c>
      <c r="N31">
        <v>0</v>
      </c>
      <c r="P31" s="27">
        <v>46080</v>
      </c>
      <c r="Q31">
        <v>0</v>
      </c>
      <c r="S31">
        <v>1000</v>
      </c>
      <c r="T31" s="3">
        <v>3.2500000000000001E-2</v>
      </c>
      <c r="U31" s="31">
        <f t="shared" si="0"/>
        <v>1625</v>
      </c>
    </row>
    <row r="32" spans="2:21" x14ac:dyDescent="0.3">
      <c r="B32">
        <v>22674</v>
      </c>
      <c r="C32" t="s">
        <v>186</v>
      </c>
      <c r="D32">
        <v>3217075</v>
      </c>
      <c r="E32" t="s">
        <v>796</v>
      </c>
      <c r="F32" s="2">
        <v>50000</v>
      </c>
      <c r="G32">
        <v>10</v>
      </c>
      <c r="H32" t="s">
        <v>767</v>
      </c>
      <c r="I32" t="s">
        <v>148</v>
      </c>
      <c r="J32" t="s">
        <v>147</v>
      </c>
      <c r="K32" t="s">
        <v>774</v>
      </c>
      <c r="M32" t="s">
        <v>768</v>
      </c>
      <c r="N32">
        <v>0</v>
      </c>
      <c r="P32" s="27">
        <v>46080</v>
      </c>
      <c r="Q32">
        <v>0</v>
      </c>
      <c r="S32">
        <v>1000</v>
      </c>
      <c r="T32" s="3">
        <v>3.2500000000000001E-2</v>
      </c>
      <c r="U32" s="31">
        <f t="shared" si="0"/>
        <v>1625</v>
      </c>
    </row>
    <row r="33" spans="2:21" x14ac:dyDescent="0.3">
      <c r="B33">
        <v>22674</v>
      </c>
      <c r="C33" t="s">
        <v>186</v>
      </c>
      <c r="D33">
        <v>5585054</v>
      </c>
      <c r="E33" t="s">
        <v>797</v>
      </c>
      <c r="F33" s="2">
        <v>50000</v>
      </c>
      <c r="G33">
        <v>10</v>
      </c>
      <c r="H33" t="s">
        <v>767</v>
      </c>
      <c r="I33" t="s">
        <v>148</v>
      </c>
      <c r="J33" t="s">
        <v>147</v>
      </c>
      <c r="K33" t="s">
        <v>774</v>
      </c>
      <c r="M33" t="s">
        <v>768</v>
      </c>
      <c r="N33">
        <v>0</v>
      </c>
      <c r="P33" s="27">
        <v>46080</v>
      </c>
      <c r="Q33">
        <v>0</v>
      </c>
      <c r="S33">
        <v>1000</v>
      </c>
      <c r="T33" s="3">
        <v>3.2500000000000001E-2</v>
      </c>
      <c r="U33" s="31">
        <f t="shared" si="0"/>
        <v>1625</v>
      </c>
    </row>
    <row r="34" spans="2:21" x14ac:dyDescent="0.3">
      <c r="B34">
        <v>38517</v>
      </c>
      <c r="C34" t="s">
        <v>187</v>
      </c>
      <c r="D34">
        <v>4238598</v>
      </c>
      <c r="E34" t="s">
        <v>798</v>
      </c>
      <c r="F34" s="2">
        <v>50000</v>
      </c>
      <c r="G34">
        <v>10</v>
      </c>
      <c r="H34" t="s">
        <v>767</v>
      </c>
      <c r="I34" t="s">
        <v>148</v>
      </c>
      <c r="J34" t="s">
        <v>147</v>
      </c>
      <c r="K34" t="s">
        <v>774</v>
      </c>
      <c r="M34" t="s">
        <v>768</v>
      </c>
      <c r="N34">
        <v>0</v>
      </c>
      <c r="P34" s="27">
        <v>46080</v>
      </c>
      <c r="Q34">
        <v>0</v>
      </c>
      <c r="S34">
        <v>1000</v>
      </c>
      <c r="T34" s="3">
        <v>3.2500000000000001E-2</v>
      </c>
      <c r="U34" s="31">
        <f t="shared" si="0"/>
        <v>1625</v>
      </c>
    </row>
    <row r="35" spans="2:21" x14ac:dyDescent="0.3">
      <c r="B35">
        <v>49894</v>
      </c>
      <c r="C35" t="s">
        <v>176</v>
      </c>
      <c r="D35">
        <v>2735150</v>
      </c>
      <c r="E35" t="s">
        <v>499</v>
      </c>
      <c r="F35" s="2">
        <v>50000</v>
      </c>
      <c r="G35">
        <v>10</v>
      </c>
      <c r="H35" t="s">
        <v>767</v>
      </c>
      <c r="I35" t="s">
        <v>148</v>
      </c>
      <c r="J35" t="s">
        <v>147</v>
      </c>
      <c r="K35" t="s">
        <v>774</v>
      </c>
      <c r="M35" t="s">
        <v>768</v>
      </c>
      <c r="N35">
        <v>0</v>
      </c>
      <c r="P35" s="27">
        <v>46080</v>
      </c>
      <c r="Q35">
        <v>0</v>
      </c>
      <c r="S35">
        <v>1000</v>
      </c>
      <c r="T35" s="3">
        <v>3.2500000000000001E-2</v>
      </c>
      <c r="U35" s="31">
        <f t="shared" si="0"/>
        <v>1625</v>
      </c>
    </row>
    <row r="36" spans="2:21" x14ac:dyDescent="0.3">
      <c r="B36">
        <v>49894</v>
      </c>
      <c r="C36" t="s">
        <v>176</v>
      </c>
      <c r="D36">
        <v>4771010</v>
      </c>
      <c r="E36" t="s">
        <v>799</v>
      </c>
      <c r="F36" s="2">
        <v>50000</v>
      </c>
      <c r="G36">
        <v>10</v>
      </c>
      <c r="H36" t="s">
        <v>767</v>
      </c>
      <c r="I36" t="s">
        <v>148</v>
      </c>
      <c r="J36" t="s">
        <v>147</v>
      </c>
      <c r="K36" t="s">
        <v>774</v>
      </c>
      <c r="M36" t="s">
        <v>768</v>
      </c>
      <c r="N36">
        <v>0</v>
      </c>
      <c r="P36" s="27">
        <v>46080</v>
      </c>
      <c r="Q36">
        <v>0</v>
      </c>
      <c r="S36">
        <v>1000</v>
      </c>
      <c r="T36" s="3">
        <v>3.2500000000000001E-2</v>
      </c>
      <c r="U36" s="31">
        <f t="shared" si="0"/>
        <v>1625</v>
      </c>
    </row>
    <row r="37" spans="2:21" x14ac:dyDescent="0.3">
      <c r="B37">
        <v>49894</v>
      </c>
      <c r="C37" t="s">
        <v>176</v>
      </c>
      <c r="D37">
        <v>16951176</v>
      </c>
      <c r="E37" t="s">
        <v>800</v>
      </c>
      <c r="F37" s="2">
        <v>50000</v>
      </c>
      <c r="G37">
        <v>10</v>
      </c>
      <c r="H37" t="s">
        <v>767</v>
      </c>
      <c r="I37" t="s">
        <v>148</v>
      </c>
      <c r="J37" t="s">
        <v>147</v>
      </c>
      <c r="K37" t="s">
        <v>774</v>
      </c>
      <c r="M37" t="s">
        <v>768</v>
      </c>
      <c r="N37">
        <v>0</v>
      </c>
      <c r="P37" s="27">
        <v>46080</v>
      </c>
      <c r="Q37">
        <v>0</v>
      </c>
      <c r="S37">
        <v>1000</v>
      </c>
      <c r="T37" s="3">
        <v>3.2500000000000001E-2</v>
      </c>
      <c r="U37" s="31">
        <f t="shared" si="0"/>
        <v>1625</v>
      </c>
    </row>
    <row r="38" spans="2:21" x14ac:dyDescent="0.3">
      <c r="B38">
        <v>23648</v>
      </c>
      <c r="C38" t="s">
        <v>194</v>
      </c>
      <c r="D38">
        <v>4472249</v>
      </c>
      <c r="E38" t="s">
        <v>801</v>
      </c>
      <c r="F38" s="2">
        <v>50000</v>
      </c>
      <c r="G38">
        <v>10</v>
      </c>
      <c r="H38" t="s">
        <v>767</v>
      </c>
      <c r="I38" t="s">
        <v>148</v>
      </c>
      <c r="J38" t="s">
        <v>147</v>
      </c>
      <c r="K38" t="s">
        <v>774</v>
      </c>
      <c r="M38" t="s">
        <v>768</v>
      </c>
      <c r="N38">
        <v>0</v>
      </c>
      <c r="P38" s="27">
        <v>46080</v>
      </c>
      <c r="Q38">
        <v>0</v>
      </c>
      <c r="S38">
        <v>1000</v>
      </c>
      <c r="T38" s="3">
        <v>3.2500000000000001E-2</v>
      </c>
      <c r="U38" s="31">
        <f t="shared" si="0"/>
        <v>1625</v>
      </c>
    </row>
    <row r="39" spans="2:21" x14ac:dyDescent="0.3">
      <c r="B39">
        <v>22674</v>
      </c>
      <c r="C39" t="s">
        <v>186</v>
      </c>
      <c r="D39">
        <v>325473</v>
      </c>
      <c r="E39" t="s">
        <v>802</v>
      </c>
      <c r="F39" s="2">
        <v>40000</v>
      </c>
      <c r="G39">
        <v>10</v>
      </c>
      <c r="H39" t="s">
        <v>767</v>
      </c>
      <c r="I39" t="s">
        <v>148</v>
      </c>
      <c r="J39" t="s">
        <v>147</v>
      </c>
      <c r="K39" t="s">
        <v>774</v>
      </c>
      <c r="M39" t="s">
        <v>768</v>
      </c>
      <c r="N39">
        <v>0</v>
      </c>
      <c r="P39" s="27">
        <v>46080</v>
      </c>
      <c r="Q39">
        <v>0</v>
      </c>
      <c r="S39">
        <v>1000</v>
      </c>
      <c r="T39" s="3">
        <v>3.2500000000000001E-2</v>
      </c>
      <c r="U39" s="31">
        <f t="shared" si="0"/>
        <v>1300</v>
      </c>
    </row>
    <row r="40" spans="2:21" x14ac:dyDescent="0.3">
      <c r="B40">
        <v>74304</v>
      </c>
      <c r="C40" t="s">
        <v>195</v>
      </c>
      <c r="D40">
        <v>18872460</v>
      </c>
      <c r="E40" t="s">
        <v>477</v>
      </c>
      <c r="F40" s="2">
        <v>38000</v>
      </c>
      <c r="G40">
        <v>10</v>
      </c>
      <c r="H40" t="s">
        <v>767</v>
      </c>
      <c r="I40" t="s">
        <v>148</v>
      </c>
      <c r="J40" t="s">
        <v>147</v>
      </c>
      <c r="K40" t="s">
        <v>774</v>
      </c>
      <c r="M40" t="s">
        <v>768</v>
      </c>
      <c r="N40">
        <v>0</v>
      </c>
      <c r="P40" s="27">
        <v>46080</v>
      </c>
      <c r="Q40">
        <v>0</v>
      </c>
      <c r="S40">
        <v>1000</v>
      </c>
      <c r="T40" s="3">
        <v>3.2500000000000001E-2</v>
      </c>
      <c r="U40" s="31">
        <f t="shared" si="0"/>
        <v>1235</v>
      </c>
    </row>
    <row r="41" spans="2:21" x14ac:dyDescent="0.3">
      <c r="B41">
        <v>22674</v>
      </c>
      <c r="C41" t="s">
        <v>186</v>
      </c>
      <c r="D41">
        <v>11712495</v>
      </c>
      <c r="E41" t="s">
        <v>803</v>
      </c>
      <c r="F41" s="2">
        <v>35000</v>
      </c>
      <c r="G41">
        <v>10</v>
      </c>
      <c r="H41" t="s">
        <v>767</v>
      </c>
      <c r="I41" t="s">
        <v>148</v>
      </c>
      <c r="J41" t="s">
        <v>147</v>
      </c>
      <c r="K41" t="s">
        <v>774</v>
      </c>
      <c r="M41" t="s">
        <v>768</v>
      </c>
      <c r="N41">
        <v>0</v>
      </c>
      <c r="P41" s="27">
        <v>46080</v>
      </c>
      <c r="Q41">
        <v>0</v>
      </c>
      <c r="S41">
        <v>1000</v>
      </c>
      <c r="T41" s="3">
        <v>3.2500000000000001E-2</v>
      </c>
      <c r="U41" s="31">
        <f t="shared" si="0"/>
        <v>1137.5</v>
      </c>
    </row>
    <row r="42" spans="2:21" x14ac:dyDescent="0.3">
      <c r="B42">
        <v>21468</v>
      </c>
      <c r="C42" t="s">
        <v>205</v>
      </c>
      <c r="D42">
        <v>238658</v>
      </c>
      <c r="E42" t="s">
        <v>804</v>
      </c>
      <c r="F42" s="2">
        <v>32000</v>
      </c>
      <c r="G42">
        <v>10</v>
      </c>
      <c r="H42" t="s">
        <v>767</v>
      </c>
      <c r="I42" t="s">
        <v>148</v>
      </c>
      <c r="J42" t="s">
        <v>147</v>
      </c>
      <c r="K42" t="s">
        <v>774</v>
      </c>
      <c r="M42" t="s">
        <v>768</v>
      </c>
      <c r="N42">
        <v>0</v>
      </c>
      <c r="P42" s="27">
        <v>46080</v>
      </c>
      <c r="Q42">
        <v>0</v>
      </c>
      <c r="S42">
        <v>1000</v>
      </c>
      <c r="T42" s="3">
        <v>3.2500000000000001E-2</v>
      </c>
      <c r="U42" s="31">
        <f t="shared" si="0"/>
        <v>1040</v>
      </c>
    </row>
    <row r="43" spans="2:21" x14ac:dyDescent="0.3">
      <c r="B43">
        <v>38517</v>
      </c>
      <c r="C43" t="s">
        <v>187</v>
      </c>
      <c r="D43">
        <v>6978173</v>
      </c>
      <c r="E43" t="s">
        <v>805</v>
      </c>
      <c r="F43" s="2">
        <v>30000</v>
      </c>
      <c r="G43">
        <v>10</v>
      </c>
      <c r="H43" t="s">
        <v>767</v>
      </c>
      <c r="I43" t="s">
        <v>148</v>
      </c>
      <c r="J43" t="s">
        <v>147</v>
      </c>
      <c r="K43" t="s">
        <v>774</v>
      </c>
      <c r="M43" t="s">
        <v>768</v>
      </c>
      <c r="N43">
        <v>0</v>
      </c>
      <c r="P43" s="27">
        <v>46080</v>
      </c>
      <c r="Q43">
        <v>0</v>
      </c>
      <c r="S43">
        <v>1000</v>
      </c>
      <c r="T43" s="3">
        <v>3.2500000000000001E-2</v>
      </c>
      <c r="U43" s="31">
        <f t="shared" si="0"/>
        <v>975</v>
      </c>
    </row>
    <row r="44" spans="2:21" x14ac:dyDescent="0.3">
      <c r="B44">
        <v>38517</v>
      </c>
      <c r="C44" t="s">
        <v>187</v>
      </c>
      <c r="D44">
        <v>11493548</v>
      </c>
      <c r="E44" t="s">
        <v>806</v>
      </c>
      <c r="F44" s="2">
        <v>30000</v>
      </c>
      <c r="G44">
        <v>10</v>
      </c>
      <c r="H44" t="s">
        <v>767</v>
      </c>
      <c r="I44" t="s">
        <v>148</v>
      </c>
      <c r="J44" t="s">
        <v>147</v>
      </c>
      <c r="K44" t="s">
        <v>774</v>
      </c>
      <c r="M44" t="s">
        <v>768</v>
      </c>
      <c r="N44">
        <v>0</v>
      </c>
      <c r="P44" s="27">
        <v>46080</v>
      </c>
      <c r="Q44">
        <v>0</v>
      </c>
      <c r="S44">
        <v>1000</v>
      </c>
      <c r="T44" s="3">
        <v>3.2500000000000001E-2</v>
      </c>
      <c r="U44" s="31">
        <f t="shared" si="0"/>
        <v>975</v>
      </c>
    </row>
    <row r="45" spans="2:21" x14ac:dyDescent="0.3">
      <c r="B45">
        <v>22674</v>
      </c>
      <c r="C45" t="s">
        <v>186</v>
      </c>
      <c r="D45">
        <v>3630378</v>
      </c>
      <c r="E45" t="s">
        <v>807</v>
      </c>
      <c r="F45" s="2">
        <v>30000</v>
      </c>
      <c r="G45">
        <v>10</v>
      </c>
      <c r="H45" t="s">
        <v>767</v>
      </c>
      <c r="I45" t="s">
        <v>148</v>
      </c>
      <c r="J45" t="s">
        <v>147</v>
      </c>
      <c r="K45" t="s">
        <v>774</v>
      </c>
      <c r="M45" t="s">
        <v>768</v>
      </c>
      <c r="N45">
        <v>0</v>
      </c>
      <c r="P45" s="27">
        <v>46080</v>
      </c>
      <c r="Q45">
        <v>0</v>
      </c>
      <c r="S45">
        <v>1000</v>
      </c>
      <c r="T45" s="3">
        <v>3.2500000000000001E-2</v>
      </c>
      <c r="U45" s="31">
        <f t="shared" si="0"/>
        <v>975</v>
      </c>
    </row>
    <row r="46" spans="2:21" x14ac:dyDescent="0.3">
      <c r="B46">
        <v>22674</v>
      </c>
      <c r="C46" t="s">
        <v>186</v>
      </c>
      <c r="D46">
        <v>6954762</v>
      </c>
      <c r="E46" t="s">
        <v>808</v>
      </c>
      <c r="F46" s="2">
        <v>30000</v>
      </c>
      <c r="G46">
        <v>10</v>
      </c>
      <c r="H46" t="s">
        <v>767</v>
      </c>
      <c r="I46" t="s">
        <v>786</v>
      </c>
      <c r="J46" t="s">
        <v>147</v>
      </c>
      <c r="K46" t="s">
        <v>774</v>
      </c>
      <c r="M46" t="s">
        <v>768</v>
      </c>
      <c r="N46">
        <v>0</v>
      </c>
      <c r="P46" s="27">
        <v>46080</v>
      </c>
      <c r="Q46">
        <v>0</v>
      </c>
      <c r="S46">
        <v>1000</v>
      </c>
      <c r="T46" s="3">
        <v>3.2500000000000001E-2</v>
      </c>
      <c r="U46" s="31">
        <f t="shared" si="0"/>
        <v>975</v>
      </c>
    </row>
    <row r="47" spans="2:21" x14ac:dyDescent="0.3">
      <c r="B47">
        <v>23648</v>
      </c>
      <c r="C47" t="s">
        <v>194</v>
      </c>
      <c r="D47">
        <v>2403987</v>
      </c>
      <c r="E47" t="s">
        <v>809</v>
      </c>
      <c r="F47" s="2">
        <v>30000</v>
      </c>
      <c r="G47">
        <v>10</v>
      </c>
      <c r="H47" t="s">
        <v>767</v>
      </c>
      <c r="I47" t="s">
        <v>148</v>
      </c>
      <c r="J47" t="s">
        <v>147</v>
      </c>
      <c r="K47" t="s">
        <v>774</v>
      </c>
      <c r="M47" t="s">
        <v>768</v>
      </c>
      <c r="N47">
        <v>0</v>
      </c>
      <c r="P47" s="27">
        <v>46080</v>
      </c>
      <c r="Q47">
        <v>0</v>
      </c>
      <c r="S47">
        <v>1000</v>
      </c>
      <c r="T47" s="3">
        <v>3.2500000000000001E-2</v>
      </c>
      <c r="U47" s="31">
        <f t="shared" si="0"/>
        <v>975</v>
      </c>
    </row>
    <row r="48" spans="2:21" x14ac:dyDescent="0.3">
      <c r="B48">
        <v>23648</v>
      </c>
      <c r="C48" t="s">
        <v>194</v>
      </c>
      <c r="D48">
        <v>5263260</v>
      </c>
      <c r="E48" t="s">
        <v>810</v>
      </c>
      <c r="F48" s="2">
        <v>30000</v>
      </c>
      <c r="G48">
        <v>10</v>
      </c>
      <c r="H48" t="s">
        <v>767</v>
      </c>
      <c r="I48" t="s">
        <v>148</v>
      </c>
      <c r="J48" t="s">
        <v>147</v>
      </c>
      <c r="K48" t="s">
        <v>774</v>
      </c>
      <c r="M48" t="s">
        <v>768</v>
      </c>
      <c r="N48">
        <v>0</v>
      </c>
      <c r="P48" s="27">
        <v>46080</v>
      </c>
      <c r="Q48">
        <v>0</v>
      </c>
      <c r="S48">
        <v>1000</v>
      </c>
      <c r="T48" s="3">
        <v>3.2500000000000001E-2</v>
      </c>
      <c r="U48" s="31">
        <f t="shared" si="0"/>
        <v>975</v>
      </c>
    </row>
    <row r="49" spans="2:21" x14ac:dyDescent="0.3">
      <c r="B49">
        <v>38517</v>
      </c>
      <c r="C49" t="s">
        <v>187</v>
      </c>
      <c r="D49">
        <v>590816</v>
      </c>
      <c r="E49" t="s">
        <v>811</v>
      </c>
      <c r="F49" s="2">
        <v>30000</v>
      </c>
      <c r="G49">
        <v>10</v>
      </c>
      <c r="H49" t="s">
        <v>767</v>
      </c>
      <c r="I49" t="s">
        <v>148</v>
      </c>
      <c r="J49" t="s">
        <v>147</v>
      </c>
      <c r="K49" t="s">
        <v>774</v>
      </c>
      <c r="M49" t="s">
        <v>768</v>
      </c>
      <c r="N49">
        <v>0</v>
      </c>
      <c r="P49" s="27">
        <v>46080</v>
      </c>
      <c r="Q49">
        <v>0</v>
      </c>
      <c r="S49">
        <v>1000</v>
      </c>
      <c r="T49" s="3">
        <v>3.2500000000000001E-2</v>
      </c>
      <c r="U49" s="31">
        <f t="shared" si="0"/>
        <v>975</v>
      </c>
    </row>
    <row r="50" spans="2:21" x14ac:dyDescent="0.3">
      <c r="B50">
        <v>22674</v>
      </c>
      <c r="C50" t="s">
        <v>186</v>
      </c>
      <c r="D50">
        <v>13031819</v>
      </c>
      <c r="E50" t="s">
        <v>812</v>
      </c>
      <c r="F50" s="2">
        <v>30000</v>
      </c>
      <c r="G50">
        <v>10</v>
      </c>
      <c r="H50" t="s">
        <v>767</v>
      </c>
      <c r="I50" t="s">
        <v>148</v>
      </c>
      <c r="J50" t="s">
        <v>147</v>
      </c>
      <c r="K50" t="s">
        <v>774</v>
      </c>
      <c r="M50" t="s">
        <v>768</v>
      </c>
      <c r="N50">
        <v>0</v>
      </c>
      <c r="P50" s="27">
        <v>46080</v>
      </c>
      <c r="Q50">
        <v>0</v>
      </c>
      <c r="S50">
        <v>1000</v>
      </c>
      <c r="T50" s="3">
        <v>3.2500000000000001E-2</v>
      </c>
      <c r="U50" s="31">
        <f t="shared" si="0"/>
        <v>975</v>
      </c>
    </row>
    <row r="51" spans="2:21" x14ac:dyDescent="0.3">
      <c r="B51">
        <v>23648</v>
      </c>
      <c r="C51" t="s">
        <v>194</v>
      </c>
      <c r="D51">
        <v>195750</v>
      </c>
      <c r="E51" t="s">
        <v>813</v>
      </c>
      <c r="F51" s="2">
        <v>30000</v>
      </c>
      <c r="G51">
        <v>10</v>
      </c>
      <c r="H51" t="s">
        <v>767</v>
      </c>
      <c r="I51" t="s">
        <v>148</v>
      </c>
      <c r="J51" t="s">
        <v>147</v>
      </c>
      <c r="K51" t="s">
        <v>774</v>
      </c>
      <c r="M51" t="s">
        <v>768</v>
      </c>
      <c r="N51">
        <v>0</v>
      </c>
      <c r="P51" s="27">
        <v>46080</v>
      </c>
      <c r="Q51">
        <v>0</v>
      </c>
      <c r="S51">
        <v>1000</v>
      </c>
      <c r="T51" s="3">
        <v>3.2500000000000001E-2</v>
      </c>
      <c r="U51" s="31">
        <f t="shared" si="0"/>
        <v>975</v>
      </c>
    </row>
    <row r="52" spans="2:21" x14ac:dyDescent="0.3">
      <c r="B52">
        <v>38517</v>
      </c>
      <c r="C52" t="s">
        <v>187</v>
      </c>
      <c r="D52">
        <v>3684655</v>
      </c>
      <c r="E52" t="s">
        <v>814</v>
      </c>
      <c r="F52" s="2">
        <v>30000</v>
      </c>
      <c r="G52">
        <v>10</v>
      </c>
      <c r="H52" t="s">
        <v>767</v>
      </c>
      <c r="I52" t="s">
        <v>148</v>
      </c>
      <c r="J52" t="s">
        <v>147</v>
      </c>
      <c r="K52" t="s">
        <v>774</v>
      </c>
      <c r="M52" t="s">
        <v>768</v>
      </c>
      <c r="N52">
        <v>0</v>
      </c>
      <c r="P52" s="27">
        <v>46080</v>
      </c>
      <c r="Q52">
        <v>0</v>
      </c>
      <c r="S52">
        <v>1000</v>
      </c>
      <c r="T52" s="3">
        <v>3.2500000000000001E-2</v>
      </c>
      <c r="U52" s="31">
        <f t="shared" si="0"/>
        <v>975</v>
      </c>
    </row>
    <row r="53" spans="2:21" x14ac:dyDescent="0.3">
      <c r="B53">
        <v>21468</v>
      </c>
      <c r="C53" t="s">
        <v>205</v>
      </c>
      <c r="D53">
        <v>3355626</v>
      </c>
      <c r="E53" t="s">
        <v>815</v>
      </c>
      <c r="F53" s="2">
        <v>30000</v>
      </c>
      <c r="G53">
        <v>10</v>
      </c>
      <c r="H53" t="s">
        <v>767</v>
      </c>
      <c r="I53" t="s">
        <v>148</v>
      </c>
      <c r="J53" t="s">
        <v>147</v>
      </c>
      <c r="K53" t="s">
        <v>774</v>
      </c>
      <c r="M53" t="s">
        <v>768</v>
      </c>
      <c r="N53">
        <v>0</v>
      </c>
      <c r="P53" s="27">
        <v>46080</v>
      </c>
      <c r="Q53">
        <v>0</v>
      </c>
      <c r="S53">
        <v>1000</v>
      </c>
      <c r="T53" s="3">
        <v>3.2500000000000001E-2</v>
      </c>
      <c r="U53" s="31">
        <f t="shared" si="0"/>
        <v>975</v>
      </c>
    </row>
    <row r="54" spans="2:21" x14ac:dyDescent="0.3">
      <c r="B54">
        <v>38517</v>
      </c>
      <c r="C54" t="s">
        <v>187</v>
      </c>
      <c r="D54">
        <v>18547873</v>
      </c>
      <c r="E54" t="s">
        <v>816</v>
      </c>
      <c r="F54" s="2">
        <v>30000</v>
      </c>
      <c r="G54">
        <v>10</v>
      </c>
      <c r="H54" t="s">
        <v>767</v>
      </c>
      <c r="I54" t="s">
        <v>148</v>
      </c>
      <c r="J54" t="s">
        <v>147</v>
      </c>
      <c r="K54" t="s">
        <v>774</v>
      </c>
      <c r="M54" t="s">
        <v>768</v>
      </c>
      <c r="N54">
        <v>0</v>
      </c>
      <c r="P54" s="27">
        <v>46080</v>
      </c>
      <c r="Q54">
        <v>0</v>
      </c>
      <c r="S54">
        <v>1000</v>
      </c>
      <c r="T54" s="3">
        <v>3.2500000000000001E-2</v>
      </c>
      <c r="U54" s="31">
        <f t="shared" si="0"/>
        <v>975</v>
      </c>
    </row>
    <row r="55" spans="2:21" x14ac:dyDescent="0.3">
      <c r="B55">
        <v>22674</v>
      </c>
      <c r="C55" t="s">
        <v>186</v>
      </c>
      <c r="D55">
        <v>15518055</v>
      </c>
      <c r="E55" t="s">
        <v>817</v>
      </c>
      <c r="F55" s="2">
        <v>30000</v>
      </c>
      <c r="G55">
        <v>10</v>
      </c>
      <c r="H55" t="s">
        <v>767</v>
      </c>
      <c r="I55" t="s">
        <v>148</v>
      </c>
      <c r="J55" t="s">
        <v>147</v>
      </c>
      <c r="K55" t="s">
        <v>774</v>
      </c>
      <c r="M55" t="s">
        <v>768</v>
      </c>
      <c r="N55">
        <v>0</v>
      </c>
      <c r="P55" s="27">
        <v>46080</v>
      </c>
      <c r="Q55">
        <v>0</v>
      </c>
      <c r="S55">
        <v>1000</v>
      </c>
      <c r="T55" s="3">
        <v>3.2500000000000001E-2</v>
      </c>
      <c r="U55" s="31">
        <f t="shared" si="0"/>
        <v>975</v>
      </c>
    </row>
    <row r="56" spans="2:21" x14ac:dyDescent="0.3">
      <c r="B56">
        <v>69519</v>
      </c>
      <c r="C56" t="s">
        <v>174</v>
      </c>
      <c r="D56">
        <v>425403</v>
      </c>
      <c r="E56" t="s">
        <v>818</v>
      </c>
      <c r="F56" s="2">
        <v>30000</v>
      </c>
      <c r="G56">
        <v>10</v>
      </c>
      <c r="H56" t="s">
        <v>767</v>
      </c>
      <c r="I56" t="s">
        <v>148</v>
      </c>
      <c r="J56" t="s">
        <v>147</v>
      </c>
      <c r="K56" t="s">
        <v>774</v>
      </c>
      <c r="M56" t="s">
        <v>768</v>
      </c>
      <c r="N56">
        <v>0</v>
      </c>
      <c r="P56" s="27">
        <v>46080</v>
      </c>
      <c r="Q56">
        <v>0</v>
      </c>
      <c r="S56">
        <v>1000</v>
      </c>
      <c r="T56" s="3">
        <v>3.2500000000000001E-2</v>
      </c>
      <c r="U56" s="31">
        <f t="shared" si="0"/>
        <v>975</v>
      </c>
    </row>
    <row r="57" spans="2:21" x14ac:dyDescent="0.3">
      <c r="B57">
        <v>21559</v>
      </c>
      <c r="C57" t="s">
        <v>192</v>
      </c>
      <c r="D57">
        <v>5377617</v>
      </c>
      <c r="E57" t="s">
        <v>819</v>
      </c>
      <c r="F57" s="2">
        <v>27000</v>
      </c>
      <c r="G57">
        <v>10</v>
      </c>
      <c r="H57" t="s">
        <v>767</v>
      </c>
      <c r="I57" t="s">
        <v>148</v>
      </c>
      <c r="J57" t="s">
        <v>147</v>
      </c>
      <c r="K57" t="s">
        <v>774</v>
      </c>
      <c r="M57" t="s">
        <v>768</v>
      </c>
      <c r="N57">
        <v>0</v>
      </c>
      <c r="P57" s="27">
        <v>46080</v>
      </c>
      <c r="Q57">
        <v>0</v>
      </c>
      <c r="S57">
        <v>1000</v>
      </c>
      <c r="T57" s="3">
        <v>3.2500000000000001E-2</v>
      </c>
      <c r="U57" s="31">
        <f t="shared" si="0"/>
        <v>877.5</v>
      </c>
    </row>
    <row r="58" spans="2:21" x14ac:dyDescent="0.3">
      <c r="B58">
        <v>23648</v>
      </c>
      <c r="C58" t="s">
        <v>194</v>
      </c>
      <c r="D58">
        <v>4415437</v>
      </c>
      <c r="E58" t="s">
        <v>820</v>
      </c>
      <c r="F58" s="2">
        <v>25000</v>
      </c>
      <c r="G58">
        <v>10</v>
      </c>
      <c r="H58" t="s">
        <v>767</v>
      </c>
      <c r="I58" t="s">
        <v>148</v>
      </c>
      <c r="J58" t="s">
        <v>147</v>
      </c>
      <c r="K58" t="s">
        <v>774</v>
      </c>
      <c r="M58" t="s">
        <v>768</v>
      </c>
      <c r="N58">
        <v>0</v>
      </c>
      <c r="P58" s="27">
        <v>46080</v>
      </c>
      <c r="Q58">
        <v>0</v>
      </c>
      <c r="S58">
        <v>1000</v>
      </c>
      <c r="T58" s="3">
        <v>3.2500000000000001E-2</v>
      </c>
      <c r="U58" s="31">
        <f t="shared" si="0"/>
        <v>812.5</v>
      </c>
    </row>
    <row r="59" spans="2:21" x14ac:dyDescent="0.3">
      <c r="B59">
        <v>49894</v>
      </c>
      <c r="C59" t="s">
        <v>176</v>
      </c>
      <c r="D59">
        <v>3669630</v>
      </c>
      <c r="E59" t="s">
        <v>493</v>
      </c>
      <c r="F59" s="2">
        <v>25000</v>
      </c>
      <c r="G59">
        <v>10</v>
      </c>
      <c r="H59" t="s">
        <v>767</v>
      </c>
      <c r="I59" t="s">
        <v>148</v>
      </c>
      <c r="J59" t="s">
        <v>147</v>
      </c>
      <c r="K59" t="s">
        <v>774</v>
      </c>
      <c r="M59" t="s">
        <v>768</v>
      </c>
      <c r="N59">
        <v>0</v>
      </c>
      <c r="P59" s="27">
        <v>46080</v>
      </c>
      <c r="Q59">
        <v>0</v>
      </c>
      <c r="S59">
        <v>1000</v>
      </c>
      <c r="T59" s="3">
        <v>3.2500000000000001E-2</v>
      </c>
      <c r="U59" s="31">
        <f t="shared" si="0"/>
        <v>812.5</v>
      </c>
    </row>
    <row r="60" spans="2:21" x14ac:dyDescent="0.3">
      <c r="B60">
        <v>21468</v>
      </c>
      <c r="C60" t="s">
        <v>205</v>
      </c>
      <c r="D60">
        <v>560966</v>
      </c>
      <c r="E60" t="s">
        <v>821</v>
      </c>
      <c r="F60" s="2">
        <v>20000</v>
      </c>
      <c r="G60">
        <v>10</v>
      </c>
      <c r="H60" t="s">
        <v>767</v>
      </c>
      <c r="I60" t="s">
        <v>148</v>
      </c>
      <c r="J60" t="s">
        <v>147</v>
      </c>
      <c r="K60" t="s">
        <v>774</v>
      </c>
      <c r="M60" t="s">
        <v>768</v>
      </c>
      <c r="N60">
        <v>0</v>
      </c>
      <c r="P60" s="27">
        <v>46080</v>
      </c>
      <c r="Q60">
        <v>0</v>
      </c>
      <c r="S60">
        <v>1000</v>
      </c>
      <c r="T60" s="3">
        <v>3.2500000000000001E-2</v>
      </c>
      <c r="U60" s="31">
        <f t="shared" si="0"/>
        <v>650</v>
      </c>
    </row>
    <row r="61" spans="2:21" x14ac:dyDescent="0.3">
      <c r="B61">
        <v>23648</v>
      </c>
      <c r="C61" t="s">
        <v>194</v>
      </c>
      <c r="D61">
        <v>15255517</v>
      </c>
      <c r="E61" t="s">
        <v>822</v>
      </c>
      <c r="F61" s="2">
        <v>20000</v>
      </c>
      <c r="G61">
        <v>10</v>
      </c>
      <c r="H61" t="s">
        <v>767</v>
      </c>
      <c r="I61" t="s">
        <v>148</v>
      </c>
      <c r="J61" t="s">
        <v>147</v>
      </c>
      <c r="K61" t="s">
        <v>774</v>
      </c>
      <c r="M61" t="s">
        <v>768</v>
      </c>
      <c r="N61">
        <v>0</v>
      </c>
      <c r="P61" s="27">
        <v>46080</v>
      </c>
      <c r="Q61">
        <v>0</v>
      </c>
      <c r="S61">
        <v>1000</v>
      </c>
      <c r="T61" s="3">
        <v>3.2500000000000001E-2</v>
      </c>
      <c r="U61" s="31">
        <f t="shared" si="0"/>
        <v>650</v>
      </c>
    </row>
    <row r="62" spans="2:21" x14ac:dyDescent="0.3">
      <c r="B62">
        <v>23648</v>
      </c>
      <c r="C62" t="s">
        <v>194</v>
      </c>
      <c r="D62">
        <v>2987541</v>
      </c>
      <c r="E62" t="s">
        <v>823</v>
      </c>
      <c r="F62" s="2">
        <v>20000</v>
      </c>
      <c r="G62">
        <v>10</v>
      </c>
      <c r="H62" t="s">
        <v>767</v>
      </c>
      <c r="I62" t="s">
        <v>148</v>
      </c>
      <c r="J62" t="s">
        <v>147</v>
      </c>
      <c r="K62" t="s">
        <v>774</v>
      </c>
      <c r="M62" t="s">
        <v>768</v>
      </c>
      <c r="N62">
        <v>0</v>
      </c>
      <c r="P62" s="27">
        <v>46080</v>
      </c>
      <c r="Q62">
        <v>0</v>
      </c>
      <c r="S62">
        <v>1000</v>
      </c>
      <c r="T62" s="3">
        <v>3.2500000000000001E-2</v>
      </c>
      <c r="U62" s="31">
        <f t="shared" si="0"/>
        <v>650</v>
      </c>
    </row>
    <row r="63" spans="2:21" x14ac:dyDescent="0.3">
      <c r="B63">
        <v>22674</v>
      </c>
      <c r="C63" t="s">
        <v>186</v>
      </c>
      <c r="D63">
        <v>4072213</v>
      </c>
      <c r="E63" t="s">
        <v>824</v>
      </c>
      <c r="F63" s="2">
        <v>20000</v>
      </c>
      <c r="G63">
        <v>10</v>
      </c>
      <c r="H63" t="s">
        <v>767</v>
      </c>
      <c r="I63" t="s">
        <v>148</v>
      </c>
      <c r="J63" t="s">
        <v>147</v>
      </c>
      <c r="K63" t="s">
        <v>774</v>
      </c>
      <c r="M63" t="s">
        <v>768</v>
      </c>
      <c r="N63">
        <v>0</v>
      </c>
      <c r="P63" s="27">
        <v>46080</v>
      </c>
      <c r="Q63">
        <v>0</v>
      </c>
      <c r="S63">
        <v>1000</v>
      </c>
      <c r="T63" s="3">
        <v>3.2500000000000001E-2</v>
      </c>
      <c r="U63" s="31">
        <f t="shared" si="0"/>
        <v>650</v>
      </c>
    </row>
    <row r="64" spans="2:21" x14ac:dyDescent="0.3">
      <c r="B64">
        <v>23648</v>
      </c>
      <c r="C64" t="s">
        <v>194</v>
      </c>
      <c r="D64">
        <v>12011258</v>
      </c>
      <c r="E64" t="s">
        <v>825</v>
      </c>
      <c r="F64" s="2">
        <v>20000</v>
      </c>
      <c r="G64">
        <v>10</v>
      </c>
      <c r="H64" t="s">
        <v>767</v>
      </c>
      <c r="I64" t="s">
        <v>148</v>
      </c>
      <c r="J64" t="s">
        <v>147</v>
      </c>
      <c r="K64" t="s">
        <v>774</v>
      </c>
      <c r="M64" t="s">
        <v>768</v>
      </c>
      <c r="N64">
        <v>0</v>
      </c>
      <c r="P64" s="27">
        <v>46080</v>
      </c>
      <c r="Q64">
        <v>0</v>
      </c>
      <c r="S64">
        <v>1000</v>
      </c>
      <c r="T64" s="3">
        <v>3.2500000000000001E-2</v>
      </c>
      <c r="U64" s="31">
        <f t="shared" si="0"/>
        <v>650</v>
      </c>
    </row>
    <row r="65" spans="2:21" x14ac:dyDescent="0.3">
      <c r="B65">
        <v>22674</v>
      </c>
      <c r="C65" t="s">
        <v>186</v>
      </c>
      <c r="D65">
        <v>4253052</v>
      </c>
      <c r="E65" t="s">
        <v>826</v>
      </c>
      <c r="F65" s="2">
        <v>20000</v>
      </c>
      <c r="G65">
        <v>10</v>
      </c>
      <c r="H65" t="s">
        <v>767</v>
      </c>
      <c r="I65" t="s">
        <v>148</v>
      </c>
      <c r="J65" t="s">
        <v>147</v>
      </c>
      <c r="K65" t="s">
        <v>774</v>
      </c>
      <c r="M65" t="s">
        <v>768</v>
      </c>
      <c r="N65">
        <v>0</v>
      </c>
      <c r="P65" s="27">
        <v>46080</v>
      </c>
      <c r="Q65">
        <v>0</v>
      </c>
      <c r="S65">
        <v>1000</v>
      </c>
      <c r="T65" s="3">
        <v>3.2500000000000001E-2</v>
      </c>
      <c r="U65" s="31">
        <f t="shared" si="0"/>
        <v>650</v>
      </c>
    </row>
    <row r="66" spans="2:21" x14ac:dyDescent="0.3">
      <c r="B66">
        <v>96553</v>
      </c>
      <c r="C66" t="s">
        <v>177</v>
      </c>
      <c r="D66">
        <v>231234</v>
      </c>
      <c r="E66" t="s">
        <v>827</v>
      </c>
      <c r="F66" s="2">
        <v>16000</v>
      </c>
      <c r="G66">
        <v>10</v>
      </c>
      <c r="H66" t="s">
        <v>767</v>
      </c>
      <c r="I66" t="s">
        <v>148</v>
      </c>
      <c r="J66" t="s">
        <v>147</v>
      </c>
      <c r="K66" t="s">
        <v>774</v>
      </c>
      <c r="M66" t="s">
        <v>768</v>
      </c>
      <c r="N66">
        <v>0</v>
      </c>
      <c r="P66">
        <v>46080</v>
      </c>
      <c r="Q66">
        <v>0</v>
      </c>
      <c r="S66">
        <v>1000</v>
      </c>
      <c r="T66" s="3">
        <v>3.2500000000000001E-2</v>
      </c>
      <c r="U66" s="31">
        <f t="shared" si="0"/>
        <v>520</v>
      </c>
    </row>
    <row r="67" spans="2:21" x14ac:dyDescent="0.3">
      <c r="B67">
        <v>40901</v>
      </c>
      <c r="C67" t="s">
        <v>191</v>
      </c>
      <c r="D67">
        <v>18533421</v>
      </c>
      <c r="E67" t="s">
        <v>828</v>
      </c>
      <c r="F67" s="2">
        <v>15000</v>
      </c>
      <c r="G67">
        <v>10</v>
      </c>
      <c r="H67" t="s">
        <v>767</v>
      </c>
      <c r="I67" t="s">
        <v>786</v>
      </c>
      <c r="J67" t="s">
        <v>147</v>
      </c>
      <c r="K67" t="s">
        <v>774</v>
      </c>
      <c r="M67" t="s">
        <v>768</v>
      </c>
      <c r="N67">
        <v>0</v>
      </c>
      <c r="P67" s="27">
        <v>46080</v>
      </c>
      <c r="Q67">
        <v>0</v>
      </c>
      <c r="S67">
        <v>1000</v>
      </c>
      <c r="T67" s="3">
        <v>3.2500000000000001E-2</v>
      </c>
      <c r="U67" s="31">
        <f t="shared" si="0"/>
        <v>487.5</v>
      </c>
    </row>
    <row r="68" spans="2:21" x14ac:dyDescent="0.3">
      <c r="B68">
        <v>40901</v>
      </c>
      <c r="C68" t="s">
        <v>191</v>
      </c>
      <c r="D68">
        <v>11610966</v>
      </c>
      <c r="E68" t="s">
        <v>829</v>
      </c>
      <c r="F68" s="2">
        <v>10000</v>
      </c>
      <c r="G68">
        <v>10</v>
      </c>
      <c r="H68" t="s">
        <v>767</v>
      </c>
      <c r="I68" t="s">
        <v>148</v>
      </c>
      <c r="J68" t="s">
        <v>147</v>
      </c>
      <c r="K68" t="s">
        <v>774</v>
      </c>
      <c r="M68" t="s">
        <v>768</v>
      </c>
      <c r="N68">
        <v>0</v>
      </c>
      <c r="P68" s="27">
        <v>46080</v>
      </c>
      <c r="Q68">
        <v>0</v>
      </c>
      <c r="S68">
        <v>1000</v>
      </c>
      <c r="T68" s="3">
        <v>3.2500000000000001E-2</v>
      </c>
      <c r="U68" s="31">
        <f t="shared" ref="U68" si="1">T68*F68</f>
        <v>325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F6DE-3BAA-4AFA-AB49-0E477DE94A98}">
  <sheetPr codeName="Planilha4" filterMode="1"/>
  <dimension ref="B2:O3040"/>
  <sheetViews>
    <sheetView showGridLines="0" workbookViewId="0">
      <selection activeCell="H1" sqref="H1"/>
    </sheetView>
  </sheetViews>
  <sheetFormatPr defaultRowHeight="14.4" x14ac:dyDescent="0.3"/>
  <cols>
    <col min="2" max="2" width="9" bestFit="1" customWidth="1"/>
    <col min="3" max="3" width="11" bestFit="1" customWidth="1"/>
    <col min="4" max="4" width="7.109375" bestFit="1" customWidth="1"/>
    <col min="5" max="5" width="14.44140625" bestFit="1" customWidth="1"/>
    <col min="6" max="6" width="10.44140625" bestFit="1" customWidth="1"/>
    <col min="7" max="7" width="6" bestFit="1" customWidth="1"/>
    <col min="8" max="8" width="10.5546875" bestFit="1" customWidth="1"/>
    <col min="9" max="9" width="14.21875" style="21" bestFit="1" customWidth="1"/>
    <col min="10" max="10" width="11.88671875" bestFit="1" customWidth="1"/>
    <col min="11" max="11" width="17.6640625" bestFit="1" customWidth="1"/>
    <col min="12" max="12" width="7.88671875" bestFit="1" customWidth="1"/>
    <col min="13" max="13" width="4.5546875" bestFit="1" customWidth="1"/>
    <col min="14" max="14" width="7.77734375" bestFit="1" customWidth="1"/>
    <col min="15" max="15" width="10.33203125" bestFit="1" customWidth="1"/>
  </cols>
  <sheetData>
    <row r="2" spans="2:15" x14ac:dyDescent="0.3">
      <c r="B2" s="19" t="s">
        <v>221</v>
      </c>
      <c r="C2" s="19" t="s">
        <v>222</v>
      </c>
      <c r="D2" s="19" t="s">
        <v>427</v>
      </c>
      <c r="E2" s="19" t="s">
        <v>223</v>
      </c>
      <c r="F2" s="19" t="s">
        <v>132</v>
      </c>
      <c r="G2" s="19" t="s">
        <v>224</v>
      </c>
      <c r="H2" s="19" t="s">
        <v>225</v>
      </c>
      <c r="I2" s="19" t="s">
        <v>226</v>
      </c>
      <c r="J2" s="19" t="s">
        <v>227</v>
      </c>
      <c r="K2" s="19" t="s">
        <v>155</v>
      </c>
      <c r="L2" s="19" t="s">
        <v>228</v>
      </c>
      <c r="M2" s="19" t="s">
        <v>229</v>
      </c>
      <c r="N2" s="19" t="s">
        <v>230</v>
      </c>
      <c r="O2" s="19" t="s">
        <v>0</v>
      </c>
    </row>
    <row r="3" spans="2:15" x14ac:dyDescent="0.3">
      <c r="B3">
        <v>3178778</v>
      </c>
      <c r="C3" t="s">
        <v>231</v>
      </c>
      <c r="D3">
        <v>22103</v>
      </c>
      <c r="E3" t="s">
        <v>150</v>
      </c>
      <c r="F3" t="s">
        <v>457</v>
      </c>
      <c r="G3" s="28">
        <v>37200</v>
      </c>
      <c r="H3" s="32">
        <v>5034.1899999999996</v>
      </c>
      <c r="I3" s="32">
        <v>1001796</v>
      </c>
      <c r="J3" t="s">
        <v>239</v>
      </c>
      <c r="K3" t="s">
        <v>245</v>
      </c>
      <c r="L3" t="s">
        <v>235</v>
      </c>
      <c r="M3" t="s">
        <v>236</v>
      </c>
      <c r="N3" t="s">
        <v>240</v>
      </c>
      <c r="O3" s="27">
        <v>46062</v>
      </c>
    </row>
    <row r="4" spans="2:15" hidden="1" x14ac:dyDescent="0.3">
      <c r="B4">
        <v>11733006</v>
      </c>
      <c r="C4" t="s">
        <v>231</v>
      </c>
      <c r="D4">
        <v>41072</v>
      </c>
      <c r="E4" t="s">
        <v>150</v>
      </c>
      <c r="F4" t="s">
        <v>254</v>
      </c>
      <c r="G4" s="28">
        <v>40000</v>
      </c>
      <c r="H4" s="32">
        <v>3154.78</v>
      </c>
      <c r="I4" s="32">
        <v>757000</v>
      </c>
      <c r="J4" t="s">
        <v>239</v>
      </c>
      <c r="K4" t="s">
        <v>234</v>
      </c>
      <c r="L4" t="s">
        <v>235</v>
      </c>
      <c r="M4" t="s">
        <v>236</v>
      </c>
      <c r="N4" t="s">
        <v>240</v>
      </c>
      <c r="O4" s="27">
        <v>46063</v>
      </c>
    </row>
    <row r="5" spans="2:15" hidden="1" x14ac:dyDescent="0.3">
      <c r="B5">
        <v>11733006</v>
      </c>
      <c r="C5" t="s">
        <v>231</v>
      </c>
      <c r="D5">
        <v>41072</v>
      </c>
      <c r="E5" t="s">
        <v>150</v>
      </c>
      <c r="F5" t="s">
        <v>409</v>
      </c>
      <c r="G5" s="28">
        <v>14400</v>
      </c>
      <c r="H5" s="32">
        <v>3085.2</v>
      </c>
      <c r="I5" s="32">
        <v>740304</v>
      </c>
      <c r="J5" t="s">
        <v>239</v>
      </c>
      <c r="K5" t="s">
        <v>234</v>
      </c>
      <c r="L5" t="s">
        <v>235</v>
      </c>
      <c r="M5" t="s">
        <v>236</v>
      </c>
      <c r="N5" t="s">
        <v>237</v>
      </c>
      <c r="O5" s="27">
        <v>46063</v>
      </c>
    </row>
    <row r="6" spans="2:15" hidden="1" x14ac:dyDescent="0.3">
      <c r="B6">
        <v>11733006</v>
      </c>
      <c r="C6" t="s">
        <v>231</v>
      </c>
      <c r="D6">
        <v>41072</v>
      </c>
      <c r="E6" t="s">
        <v>150</v>
      </c>
      <c r="F6" t="s">
        <v>409</v>
      </c>
      <c r="G6" s="28">
        <v>14400</v>
      </c>
      <c r="H6" s="32">
        <v>3085.15</v>
      </c>
      <c r="I6" s="32">
        <v>740293</v>
      </c>
      <c r="J6" t="s">
        <v>239</v>
      </c>
      <c r="K6" t="s">
        <v>234</v>
      </c>
      <c r="L6" t="s">
        <v>235</v>
      </c>
      <c r="M6" t="s">
        <v>236</v>
      </c>
      <c r="N6" t="s">
        <v>240</v>
      </c>
      <c r="O6" s="27">
        <v>46063</v>
      </c>
    </row>
    <row r="7" spans="2:15" hidden="1" x14ac:dyDescent="0.3">
      <c r="B7">
        <v>11733006</v>
      </c>
      <c r="C7" t="s">
        <v>231</v>
      </c>
      <c r="D7">
        <v>41072</v>
      </c>
      <c r="E7" t="s">
        <v>150</v>
      </c>
      <c r="F7" t="s">
        <v>254</v>
      </c>
      <c r="G7" s="28">
        <v>40000</v>
      </c>
      <c r="H7" s="32">
        <v>3037.87</v>
      </c>
      <c r="I7" s="32">
        <v>728952</v>
      </c>
      <c r="J7" t="s">
        <v>239</v>
      </c>
      <c r="K7" t="s">
        <v>234</v>
      </c>
      <c r="L7" t="s">
        <v>235</v>
      </c>
      <c r="M7" t="s">
        <v>236</v>
      </c>
      <c r="N7" t="s">
        <v>237</v>
      </c>
      <c r="O7" s="27">
        <v>46063</v>
      </c>
    </row>
    <row r="8" spans="2:15" hidden="1" x14ac:dyDescent="0.3">
      <c r="B8">
        <v>16469589</v>
      </c>
      <c r="C8" t="s">
        <v>231</v>
      </c>
      <c r="D8">
        <v>41072</v>
      </c>
      <c r="E8" t="s">
        <v>150</v>
      </c>
      <c r="F8" t="s">
        <v>285</v>
      </c>
      <c r="G8" s="28">
        <v>9200</v>
      </c>
      <c r="H8" s="32">
        <v>2760.6</v>
      </c>
      <c r="I8" s="32">
        <v>548858</v>
      </c>
      <c r="J8" t="s">
        <v>239</v>
      </c>
      <c r="K8" t="s">
        <v>234</v>
      </c>
      <c r="L8" t="s">
        <v>235</v>
      </c>
      <c r="M8" t="s">
        <v>236</v>
      </c>
      <c r="N8" t="s">
        <v>237</v>
      </c>
      <c r="O8" s="27">
        <v>46063</v>
      </c>
    </row>
    <row r="9" spans="2:15" hidden="1" x14ac:dyDescent="0.3">
      <c r="B9">
        <v>11733006</v>
      </c>
      <c r="C9" t="s">
        <v>231</v>
      </c>
      <c r="D9">
        <v>41072</v>
      </c>
      <c r="E9" t="s">
        <v>150</v>
      </c>
      <c r="F9" t="s">
        <v>157</v>
      </c>
      <c r="G9" s="28">
        <v>6000</v>
      </c>
      <c r="H9" s="32">
        <v>2676.18</v>
      </c>
      <c r="I9" s="32">
        <v>531900</v>
      </c>
      <c r="J9" t="s">
        <v>256</v>
      </c>
      <c r="K9" t="s">
        <v>234</v>
      </c>
      <c r="L9" t="s">
        <v>235</v>
      </c>
      <c r="M9" t="s">
        <v>236</v>
      </c>
      <c r="N9" t="s">
        <v>237</v>
      </c>
      <c r="O9" s="27">
        <v>46065</v>
      </c>
    </row>
    <row r="10" spans="2:15" hidden="1" x14ac:dyDescent="0.3">
      <c r="B10">
        <v>11733006</v>
      </c>
      <c r="C10" t="s">
        <v>231</v>
      </c>
      <c r="D10">
        <v>41072</v>
      </c>
      <c r="E10" t="s">
        <v>150</v>
      </c>
      <c r="F10" t="s">
        <v>157</v>
      </c>
      <c r="G10" s="28">
        <v>6000</v>
      </c>
      <c r="H10" s="32">
        <v>2635.39</v>
      </c>
      <c r="I10" s="32">
        <v>522036.87</v>
      </c>
      <c r="J10" t="s">
        <v>256</v>
      </c>
      <c r="K10" t="s">
        <v>234</v>
      </c>
      <c r="L10" t="s">
        <v>235</v>
      </c>
      <c r="M10" t="s">
        <v>236</v>
      </c>
      <c r="N10" t="s">
        <v>240</v>
      </c>
      <c r="O10" s="27">
        <v>46071</v>
      </c>
    </row>
    <row r="11" spans="2:15" hidden="1" x14ac:dyDescent="0.3">
      <c r="B11">
        <v>16469589</v>
      </c>
      <c r="C11" t="s">
        <v>231</v>
      </c>
      <c r="D11">
        <v>41072</v>
      </c>
      <c r="E11" t="s">
        <v>150</v>
      </c>
      <c r="F11" t="s">
        <v>157</v>
      </c>
      <c r="G11" s="28">
        <v>4000</v>
      </c>
      <c r="H11" s="32">
        <v>1795.96</v>
      </c>
      <c r="I11" s="32">
        <v>356000</v>
      </c>
      <c r="J11" t="s">
        <v>256</v>
      </c>
      <c r="K11" t="s">
        <v>234</v>
      </c>
      <c r="L11" t="s">
        <v>235</v>
      </c>
      <c r="M11" t="s">
        <v>236</v>
      </c>
      <c r="N11" t="s">
        <v>237</v>
      </c>
      <c r="O11" s="27">
        <v>46065</v>
      </c>
    </row>
    <row r="12" spans="2:15" hidden="1" x14ac:dyDescent="0.3">
      <c r="B12">
        <v>16777030</v>
      </c>
      <c r="C12" t="s">
        <v>231</v>
      </c>
      <c r="D12">
        <v>27086</v>
      </c>
      <c r="E12" t="s">
        <v>150</v>
      </c>
      <c r="F12" t="s">
        <v>288</v>
      </c>
      <c r="G12" s="28">
        <v>16100</v>
      </c>
      <c r="H12" s="32">
        <v>1628.42</v>
      </c>
      <c r="I12" s="32">
        <v>320641</v>
      </c>
      <c r="J12" t="s">
        <v>239</v>
      </c>
      <c r="K12" t="s">
        <v>234</v>
      </c>
      <c r="L12" t="s">
        <v>235</v>
      </c>
      <c r="M12" t="s">
        <v>236</v>
      </c>
      <c r="N12" t="s">
        <v>240</v>
      </c>
      <c r="O12" s="27">
        <v>46062</v>
      </c>
    </row>
    <row r="13" spans="2:15" hidden="1" x14ac:dyDescent="0.3">
      <c r="B13">
        <v>16469589</v>
      </c>
      <c r="C13" t="s">
        <v>231</v>
      </c>
      <c r="D13">
        <v>41072</v>
      </c>
      <c r="E13" t="s">
        <v>150</v>
      </c>
      <c r="F13" t="s">
        <v>278</v>
      </c>
      <c r="G13" s="28">
        <v>5800</v>
      </c>
      <c r="H13" s="32">
        <v>1489.92</v>
      </c>
      <c r="I13" s="32">
        <v>296225</v>
      </c>
      <c r="J13" t="s">
        <v>239</v>
      </c>
      <c r="K13" t="s">
        <v>234</v>
      </c>
      <c r="L13" t="s">
        <v>235</v>
      </c>
      <c r="M13" t="s">
        <v>236</v>
      </c>
      <c r="N13" t="s">
        <v>240</v>
      </c>
      <c r="O13" s="27">
        <v>46063</v>
      </c>
    </row>
    <row r="14" spans="2:15" hidden="1" x14ac:dyDescent="0.3">
      <c r="B14">
        <v>11733006</v>
      </c>
      <c r="C14" t="s">
        <v>231</v>
      </c>
      <c r="D14">
        <v>41072</v>
      </c>
      <c r="E14" t="s">
        <v>150</v>
      </c>
      <c r="F14" t="s">
        <v>157</v>
      </c>
      <c r="G14" s="28">
        <v>3100</v>
      </c>
      <c r="H14" s="32">
        <v>1368.5</v>
      </c>
      <c r="I14" s="32">
        <v>271994</v>
      </c>
      <c r="J14" t="s">
        <v>249</v>
      </c>
      <c r="K14" t="s">
        <v>249</v>
      </c>
      <c r="L14" t="s">
        <v>235</v>
      </c>
      <c r="M14" t="s">
        <v>236</v>
      </c>
      <c r="N14" t="s">
        <v>237</v>
      </c>
      <c r="O14" s="27">
        <v>46065</v>
      </c>
    </row>
    <row r="15" spans="2:15" hidden="1" x14ac:dyDescent="0.3">
      <c r="B15">
        <v>16469589</v>
      </c>
      <c r="C15" t="s">
        <v>231</v>
      </c>
      <c r="D15">
        <v>41072</v>
      </c>
      <c r="E15" t="s">
        <v>150</v>
      </c>
      <c r="F15" t="s">
        <v>298</v>
      </c>
      <c r="G15" s="28">
        <v>15000</v>
      </c>
      <c r="H15" s="32">
        <v>1300.21</v>
      </c>
      <c r="I15" s="32">
        <v>255000</v>
      </c>
      <c r="J15" t="s">
        <v>239</v>
      </c>
      <c r="K15" t="s">
        <v>234</v>
      </c>
      <c r="L15" t="s">
        <v>235</v>
      </c>
      <c r="M15" t="s">
        <v>236</v>
      </c>
      <c r="N15" t="s">
        <v>240</v>
      </c>
      <c r="O15" s="27">
        <v>46059</v>
      </c>
    </row>
    <row r="16" spans="2:15" hidden="1" x14ac:dyDescent="0.3">
      <c r="B16">
        <v>4504860</v>
      </c>
      <c r="C16" t="s">
        <v>231</v>
      </c>
      <c r="D16">
        <v>23410</v>
      </c>
      <c r="E16" t="s">
        <v>150</v>
      </c>
      <c r="F16" t="s">
        <v>462</v>
      </c>
      <c r="G16" s="28">
        <v>6000</v>
      </c>
      <c r="H16" s="32">
        <v>1296.6099999999999</v>
      </c>
      <c r="I16" s="32">
        <v>254280</v>
      </c>
      <c r="J16" t="s">
        <v>241</v>
      </c>
      <c r="K16" t="s">
        <v>242</v>
      </c>
      <c r="L16" t="s">
        <v>235</v>
      </c>
      <c r="M16" t="s">
        <v>236</v>
      </c>
      <c r="N16" t="s">
        <v>240</v>
      </c>
      <c r="O16" s="27">
        <v>46073</v>
      </c>
    </row>
    <row r="17" spans="2:15" hidden="1" x14ac:dyDescent="0.3">
      <c r="B17">
        <v>11733006</v>
      </c>
      <c r="C17" t="s">
        <v>231</v>
      </c>
      <c r="D17">
        <v>41072</v>
      </c>
      <c r="E17" t="s">
        <v>150</v>
      </c>
      <c r="F17" t="s">
        <v>248</v>
      </c>
      <c r="G17" s="28">
        <v>20000</v>
      </c>
      <c r="H17" s="32">
        <v>1294.6600000000001</v>
      </c>
      <c r="I17" s="32">
        <v>257635</v>
      </c>
      <c r="J17" t="s">
        <v>239</v>
      </c>
      <c r="K17" t="s">
        <v>234</v>
      </c>
      <c r="L17" t="s">
        <v>235</v>
      </c>
      <c r="M17" t="s">
        <v>236</v>
      </c>
      <c r="N17" t="s">
        <v>240</v>
      </c>
      <c r="O17" s="27">
        <v>46059</v>
      </c>
    </row>
    <row r="18" spans="2:15" hidden="1" x14ac:dyDescent="0.3">
      <c r="B18">
        <v>11733006</v>
      </c>
      <c r="C18" t="s">
        <v>231</v>
      </c>
      <c r="D18">
        <v>41072</v>
      </c>
      <c r="E18" t="s">
        <v>150</v>
      </c>
      <c r="F18" t="s">
        <v>248</v>
      </c>
      <c r="G18" s="28">
        <v>20000</v>
      </c>
      <c r="H18" s="32">
        <v>1282.42</v>
      </c>
      <c r="I18" s="32">
        <v>255200</v>
      </c>
      <c r="J18" t="s">
        <v>239</v>
      </c>
      <c r="K18" t="s">
        <v>234</v>
      </c>
      <c r="L18" t="s">
        <v>235</v>
      </c>
      <c r="M18" t="s">
        <v>236</v>
      </c>
      <c r="N18" t="s">
        <v>237</v>
      </c>
      <c r="O18" s="27">
        <v>46059</v>
      </c>
    </row>
    <row r="19" spans="2:15" hidden="1" x14ac:dyDescent="0.3">
      <c r="B19">
        <v>4504860</v>
      </c>
      <c r="C19" t="s">
        <v>231</v>
      </c>
      <c r="D19">
        <v>23410</v>
      </c>
      <c r="E19" t="s">
        <v>150</v>
      </c>
      <c r="F19" t="s">
        <v>164</v>
      </c>
      <c r="G19" s="28">
        <v>5200</v>
      </c>
      <c r="H19" s="32">
        <v>1256.83</v>
      </c>
      <c r="I19" s="32">
        <v>246324</v>
      </c>
      <c r="J19" t="s">
        <v>239</v>
      </c>
      <c r="K19" t="s">
        <v>234</v>
      </c>
      <c r="L19" t="s">
        <v>235</v>
      </c>
      <c r="M19" t="s">
        <v>236</v>
      </c>
      <c r="N19" t="s">
        <v>237</v>
      </c>
      <c r="O19" s="27">
        <v>46076</v>
      </c>
    </row>
    <row r="20" spans="2:15" hidden="1" x14ac:dyDescent="0.3">
      <c r="B20">
        <v>11733006</v>
      </c>
      <c r="C20" t="s">
        <v>231</v>
      </c>
      <c r="D20">
        <v>41072</v>
      </c>
      <c r="E20" t="s">
        <v>150</v>
      </c>
      <c r="F20" t="s">
        <v>289</v>
      </c>
      <c r="G20" s="28">
        <v>12100</v>
      </c>
      <c r="H20" s="32">
        <v>1240.4100000000001</v>
      </c>
      <c r="I20" s="32">
        <v>246840</v>
      </c>
      <c r="J20" t="s">
        <v>239</v>
      </c>
      <c r="K20" t="s">
        <v>234</v>
      </c>
      <c r="L20" t="s">
        <v>235</v>
      </c>
      <c r="M20" t="s">
        <v>236</v>
      </c>
      <c r="N20" t="s">
        <v>240</v>
      </c>
      <c r="O20" s="27">
        <v>46059</v>
      </c>
    </row>
    <row r="21" spans="2:15" hidden="1" x14ac:dyDescent="0.3">
      <c r="B21">
        <v>11733006</v>
      </c>
      <c r="C21" t="s">
        <v>231</v>
      </c>
      <c r="D21">
        <v>41072</v>
      </c>
      <c r="E21" t="s">
        <v>150</v>
      </c>
      <c r="F21" t="s">
        <v>289</v>
      </c>
      <c r="G21" s="28">
        <v>12100</v>
      </c>
      <c r="H21" s="32">
        <v>1216.0899999999999</v>
      </c>
      <c r="I21" s="32">
        <v>242000</v>
      </c>
      <c r="J21" t="s">
        <v>239</v>
      </c>
      <c r="K21" t="s">
        <v>234</v>
      </c>
      <c r="L21" t="s">
        <v>235</v>
      </c>
      <c r="M21" t="s">
        <v>236</v>
      </c>
      <c r="N21" t="s">
        <v>237</v>
      </c>
      <c r="O21" s="27">
        <v>46059</v>
      </c>
    </row>
    <row r="22" spans="2:15" hidden="1" x14ac:dyDescent="0.3">
      <c r="B22">
        <v>11733006</v>
      </c>
      <c r="C22" t="s">
        <v>231</v>
      </c>
      <c r="D22">
        <v>41072</v>
      </c>
      <c r="E22" t="s">
        <v>150</v>
      </c>
      <c r="F22" t="s">
        <v>159</v>
      </c>
      <c r="G22" s="28">
        <v>5000</v>
      </c>
      <c r="H22" s="32">
        <v>1187.6199999999999</v>
      </c>
      <c r="I22" s="32">
        <v>235000</v>
      </c>
      <c r="J22" t="s">
        <v>256</v>
      </c>
      <c r="K22" t="s">
        <v>234</v>
      </c>
      <c r="L22" t="s">
        <v>235</v>
      </c>
      <c r="M22" t="s">
        <v>236</v>
      </c>
      <c r="N22" t="s">
        <v>237</v>
      </c>
      <c r="O22" s="27">
        <v>46064</v>
      </c>
    </row>
    <row r="23" spans="2:15" hidden="1" x14ac:dyDescent="0.3">
      <c r="B23">
        <v>11733006</v>
      </c>
      <c r="C23" t="s">
        <v>231</v>
      </c>
      <c r="D23">
        <v>41072</v>
      </c>
      <c r="E23" t="s">
        <v>150</v>
      </c>
      <c r="F23" t="s">
        <v>290</v>
      </c>
      <c r="G23" s="28">
        <v>14800</v>
      </c>
      <c r="H23" s="32">
        <v>1184.01</v>
      </c>
      <c r="I23" s="32">
        <v>234284</v>
      </c>
      <c r="J23" t="s">
        <v>239</v>
      </c>
      <c r="K23" t="s">
        <v>234</v>
      </c>
      <c r="L23" t="s">
        <v>235</v>
      </c>
      <c r="M23" t="s">
        <v>236</v>
      </c>
      <c r="N23" t="s">
        <v>240</v>
      </c>
      <c r="O23" s="27">
        <v>46064</v>
      </c>
    </row>
    <row r="24" spans="2:15" hidden="1" x14ac:dyDescent="0.3">
      <c r="B24">
        <v>15156272</v>
      </c>
      <c r="C24" t="s">
        <v>231</v>
      </c>
      <c r="D24">
        <v>25619</v>
      </c>
      <c r="E24" t="s">
        <v>150</v>
      </c>
      <c r="F24" t="s">
        <v>252</v>
      </c>
      <c r="G24" s="28">
        <v>2097</v>
      </c>
      <c r="H24" s="32">
        <v>1177.97</v>
      </c>
      <c r="I24" s="32">
        <v>232903.3</v>
      </c>
      <c r="J24" t="s">
        <v>253</v>
      </c>
      <c r="K24" t="s">
        <v>253</v>
      </c>
      <c r="L24" t="s">
        <v>235</v>
      </c>
      <c r="M24" t="s">
        <v>236</v>
      </c>
      <c r="N24" t="s">
        <v>237</v>
      </c>
      <c r="O24" s="27">
        <v>46065</v>
      </c>
    </row>
    <row r="25" spans="2:15" hidden="1" x14ac:dyDescent="0.3">
      <c r="B25">
        <v>3548394</v>
      </c>
      <c r="C25" t="s">
        <v>260</v>
      </c>
      <c r="D25">
        <v>25104</v>
      </c>
      <c r="E25" t="s">
        <v>150</v>
      </c>
      <c r="F25" t="s">
        <v>463</v>
      </c>
      <c r="G25" s="28">
        <v>6500</v>
      </c>
      <c r="H25" s="32">
        <v>1102.5899999999999</v>
      </c>
      <c r="I25" s="32">
        <v>215475</v>
      </c>
      <c r="J25" t="s">
        <v>241</v>
      </c>
      <c r="K25" t="s">
        <v>242</v>
      </c>
      <c r="L25" t="s">
        <v>235</v>
      </c>
      <c r="M25" t="s">
        <v>236</v>
      </c>
      <c r="N25" t="s">
        <v>240</v>
      </c>
      <c r="O25" s="27">
        <v>46073</v>
      </c>
    </row>
    <row r="26" spans="2:15" hidden="1" x14ac:dyDescent="0.3">
      <c r="B26">
        <v>11733006</v>
      </c>
      <c r="C26" t="s">
        <v>231</v>
      </c>
      <c r="D26">
        <v>41072</v>
      </c>
      <c r="E26" t="s">
        <v>150</v>
      </c>
      <c r="F26" t="s">
        <v>261</v>
      </c>
      <c r="G26" s="28">
        <v>3000</v>
      </c>
      <c r="H26" s="32">
        <v>1100.0999999999999</v>
      </c>
      <c r="I26" s="32">
        <v>217417.02</v>
      </c>
      <c r="J26" t="s">
        <v>256</v>
      </c>
      <c r="K26" t="s">
        <v>234</v>
      </c>
      <c r="L26" t="s">
        <v>235</v>
      </c>
      <c r="M26" t="s">
        <v>236</v>
      </c>
      <c r="N26" t="s">
        <v>240</v>
      </c>
      <c r="O26" s="27">
        <v>46057</v>
      </c>
    </row>
    <row r="27" spans="2:15" hidden="1" x14ac:dyDescent="0.3">
      <c r="B27">
        <v>16469589</v>
      </c>
      <c r="C27" t="s">
        <v>231</v>
      </c>
      <c r="D27">
        <v>41072</v>
      </c>
      <c r="E27" t="s">
        <v>150</v>
      </c>
      <c r="F27" t="s">
        <v>258</v>
      </c>
      <c r="G27" s="28">
        <v>20000</v>
      </c>
      <c r="H27" s="32">
        <v>1095.21</v>
      </c>
      <c r="I27" s="32">
        <v>214000</v>
      </c>
      <c r="J27" t="s">
        <v>239</v>
      </c>
      <c r="K27" t="s">
        <v>234</v>
      </c>
      <c r="L27" t="s">
        <v>235</v>
      </c>
      <c r="M27" t="s">
        <v>236</v>
      </c>
      <c r="N27" t="s">
        <v>237</v>
      </c>
      <c r="O27" s="27">
        <v>46058</v>
      </c>
    </row>
    <row r="28" spans="2:15" hidden="1" x14ac:dyDescent="0.3">
      <c r="B28">
        <v>3548394</v>
      </c>
      <c r="C28" t="s">
        <v>260</v>
      </c>
      <c r="D28">
        <v>25104</v>
      </c>
      <c r="E28" t="s">
        <v>150</v>
      </c>
      <c r="F28" t="s">
        <v>246</v>
      </c>
      <c r="G28" s="28">
        <v>5500</v>
      </c>
      <c r="H28" s="32">
        <v>1088.5</v>
      </c>
      <c r="I28" s="32">
        <v>212761</v>
      </c>
      <c r="J28" t="s">
        <v>239</v>
      </c>
      <c r="K28" t="s">
        <v>234</v>
      </c>
      <c r="L28" t="s">
        <v>235</v>
      </c>
      <c r="M28" t="s">
        <v>236</v>
      </c>
      <c r="N28" t="s">
        <v>237</v>
      </c>
      <c r="O28" s="27">
        <v>46076</v>
      </c>
    </row>
    <row r="29" spans="2:15" hidden="1" x14ac:dyDescent="0.3">
      <c r="B29">
        <v>11733006</v>
      </c>
      <c r="C29" t="s">
        <v>231</v>
      </c>
      <c r="D29">
        <v>41072</v>
      </c>
      <c r="E29" t="s">
        <v>150</v>
      </c>
      <c r="F29" t="s">
        <v>369</v>
      </c>
      <c r="G29" s="28">
        <v>4000</v>
      </c>
      <c r="H29" s="32">
        <v>1085.21</v>
      </c>
      <c r="I29" s="32">
        <v>212000</v>
      </c>
      <c r="J29" t="s">
        <v>239</v>
      </c>
      <c r="K29" t="s">
        <v>234</v>
      </c>
      <c r="L29" t="s">
        <v>235</v>
      </c>
      <c r="M29" t="s">
        <v>236</v>
      </c>
      <c r="N29" t="s">
        <v>240</v>
      </c>
      <c r="O29" s="27">
        <v>46056</v>
      </c>
    </row>
    <row r="30" spans="2:15" hidden="1" x14ac:dyDescent="0.3">
      <c r="B30">
        <v>11733006</v>
      </c>
      <c r="C30" t="s">
        <v>231</v>
      </c>
      <c r="D30">
        <v>41072</v>
      </c>
      <c r="E30" t="s">
        <v>150</v>
      </c>
      <c r="F30" t="s">
        <v>369</v>
      </c>
      <c r="G30" s="28">
        <v>4000</v>
      </c>
      <c r="H30" s="32">
        <v>1051.21</v>
      </c>
      <c r="I30" s="32">
        <v>205200</v>
      </c>
      <c r="J30" t="s">
        <v>239</v>
      </c>
      <c r="K30" t="s">
        <v>234</v>
      </c>
      <c r="L30" t="s">
        <v>235</v>
      </c>
      <c r="M30" t="s">
        <v>236</v>
      </c>
      <c r="N30" t="s">
        <v>237</v>
      </c>
      <c r="O30" s="27">
        <v>46055</v>
      </c>
    </row>
    <row r="31" spans="2:15" hidden="1" x14ac:dyDescent="0.3">
      <c r="B31">
        <v>16469589</v>
      </c>
      <c r="C31" t="s">
        <v>231</v>
      </c>
      <c r="D31">
        <v>41072</v>
      </c>
      <c r="E31" t="s">
        <v>150</v>
      </c>
      <c r="F31" t="s">
        <v>278</v>
      </c>
      <c r="G31" s="28">
        <v>4000</v>
      </c>
      <c r="H31" s="32">
        <v>1040.53</v>
      </c>
      <c r="I31" s="32">
        <v>206256</v>
      </c>
      <c r="J31" t="s">
        <v>239</v>
      </c>
      <c r="K31" t="s">
        <v>234</v>
      </c>
      <c r="L31" t="s">
        <v>235</v>
      </c>
      <c r="M31" t="s">
        <v>236</v>
      </c>
      <c r="N31" t="s">
        <v>240</v>
      </c>
      <c r="O31" s="27">
        <v>46065</v>
      </c>
    </row>
    <row r="32" spans="2:15" hidden="1" x14ac:dyDescent="0.3">
      <c r="B32">
        <v>11733006</v>
      </c>
      <c r="C32" t="s">
        <v>231</v>
      </c>
      <c r="D32">
        <v>41072</v>
      </c>
      <c r="E32" t="s">
        <v>150</v>
      </c>
      <c r="F32" t="s">
        <v>262</v>
      </c>
      <c r="G32" s="28">
        <v>1400</v>
      </c>
      <c r="H32" s="32">
        <v>1031.27</v>
      </c>
      <c r="I32" s="32">
        <v>203813.56</v>
      </c>
      <c r="J32" t="s">
        <v>256</v>
      </c>
      <c r="K32" t="s">
        <v>234</v>
      </c>
      <c r="L32" t="s">
        <v>235</v>
      </c>
      <c r="M32" t="s">
        <v>236</v>
      </c>
      <c r="N32" t="s">
        <v>237</v>
      </c>
      <c r="O32" s="27">
        <v>46057</v>
      </c>
    </row>
    <row r="33" spans="2:15" hidden="1" x14ac:dyDescent="0.3">
      <c r="B33">
        <v>15156272</v>
      </c>
      <c r="C33" t="s">
        <v>231</v>
      </c>
      <c r="D33">
        <v>25619</v>
      </c>
      <c r="E33" t="s">
        <v>150</v>
      </c>
      <c r="F33" t="s">
        <v>257</v>
      </c>
      <c r="G33" s="28">
        <v>2097</v>
      </c>
      <c r="H33" s="32">
        <v>1028.8</v>
      </c>
      <c r="I33" s="32">
        <v>203409</v>
      </c>
      <c r="J33" t="s">
        <v>239</v>
      </c>
      <c r="K33" t="s">
        <v>245</v>
      </c>
      <c r="L33" t="s">
        <v>235</v>
      </c>
      <c r="M33" t="s">
        <v>236</v>
      </c>
      <c r="N33" t="s">
        <v>240</v>
      </c>
      <c r="O33" s="27">
        <v>46065</v>
      </c>
    </row>
    <row r="34" spans="2:15" hidden="1" x14ac:dyDescent="0.3">
      <c r="B34">
        <v>2973255</v>
      </c>
      <c r="C34" t="s">
        <v>260</v>
      </c>
      <c r="D34">
        <v>69519</v>
      </c>
      <c r="E34" t="s">
        <v>150</v>
      </c>
      <c r="F34" t="s">
        <v>166</v>
      </c>
      <c r="G34" s="28">
        <v>9000</v>
      </c>
      <c r="H34" s="32">
        <v>859.06</v>
      </c>
      <c r="I34" s="32">
        <v>166770</v>
      </c>
      <c r="J34" t="s">
        <v>249</v>
      </c>
      <c r="K34" t="s">
        <v>249</v>
      </c>
      <c r="L34" t="s">
        <v>235</v>
      </c>
      <c r="M34" t="s">
        <v>236</v>
      </c>
      <c r="N34" t="s">
        <v>237</v>
      </c>
      <c r="O34" s="27">
        <v>46071</v>
      </c>
    </row>
    <row r="35" spans="2:15" hidden="1" x14ac:dyDescent="0.3">
      <c r="B35">
        <v>542586</v>
      </c>
      <c r="C35" t="s">
        <v>260</v>
      </c>
      <c r="D35">
        <v>21468</v>
      </c>
      <c r="E35" t="s">
        <v>150</v>
      </c>
      <c r="F35" t="s">
        <v>232</v>
      </c>
      <c r="G35" s="28">
        <v>1270</v>
      </c>
      <c r="H35" s="32">
        <v>755.07</v>
      </c>
      <c r="I35" s="32">
        <v>148848.92000000001</v>
      </c>
      <c r="J35" t="s">
        <v>233</v>
      </c>
      <c r="K35" t="s">
        <v>234</v>
      </c>
      <c r="L35" t="s">
        <v>235</v>
      </c>
      <c r="M35" t="s">
        <v>236</v>
      </c>
      <c r="N35" t="s">
        <v>237</v>
      </c>
      <c r="O35" s="27">
        <v>46058</v>
      </c>
    </row>
    <row r="36" spans="2:15" hidden="1" x14ac:dyDescent="0.3">
      <c r="B36">
        <v>2973255</v>
      </c>
      <c r="C36" t="s">
        <v>260</v>
      </c>
      <c r="D36">
        <v>69519</v>
      </c>
      <c r="E36" t="s">
        <v>150</v>
      </c>
      <c r="F36" t="s">
        <v>166</v>
      </c>
      <c r="G36" s="28">
        <v>7600</v>
      </c>
      <c r="H36" s="32">
        <v>732.57</v>
      </c>
      <c r="I36" s="32">
        <v>141968</v>
      </c>
      <c r="J36" t="s">
        <v>249</v>
      </c>
      <c r="K36" t="s">
        <v>249</v>
      </c>
      <c r="L36" t="s">
        <v>235</v>
      </c>
      <c r="M36" t="s">
        <v>236</v>
      </c>
      <c r="N36" t="s">
        <v>240</v>
      </c>
      <c r="O36" s="27">
        <v>46063</v>
      </c>
    </row>
    <row r="37" spans="2:15" hidden="1" x14ac:dyDescent="0.3">
      <c r="B37">
        <v>16951165</v>
      </c>
      <c r="C37" t="s">
        <v>231</v>
      </c>
      <c r="D37">
        <v>49894</v>
      </c>
      <c r="E37" t="s">
        <v>150</v>
      </c>
      <c r="F37" t="s">
        <v>262</v>
      </c>
      <c r="G37" s="28">
        <v>900</v>
      </c>
      <c r="H37" s="32">
        <v>671.96</v>
      </c>
      <c r="I37" s="32">
        <v>131841</v>
      </c>
      <c r="J37" t="s">
        <v>256</v>
      </c>
      <c r="K37" t="s">
        <v>245</v>
      </c>
      <c r="L37" t="s">
        <v>235</v>
      </c>
      <c r="M37" t="s">
        <v>236</v>
      </c>
      <c r="N37" t="s">
        <v>237</v>
      </c>
      <c r="O37" s="27">
        <v>46057</v>
      </c>
    </row>
    <row r="38" spans="2:15" hidden="1" x14ac:dyDescent="0.3">
      <c r="B38">
        <v>16951176</v>
      </c>
      <c r="C38" t="s">
        <v>231</v>
      </c>
      <c r="D38">
        <v>49894</v>
      </c>
      <c r="E38" t="s">
        <v>150</v>
      </c>
      <c r="F38" t="s">
        <v>262</v>
      </c>
      <c r="G38" s="28">
        <v>900</v>
      </c>
      <c r="H38" s="32">
        <v>668.73</v>
      </c>
      <c r="I38" s="32">
        <v>131832</v>
      </c>
      <c r="J38" t="s">
        <v>256</v>
      </c>
      <c r="K38" t="s">
        <v>245</v>
      </c>
      <c r="L38" t="s">
        <v>235</v>
      </c>
      <c r="M38" t="s">
        <v>236</v>
      </c>
      <c r="N38" t="s">
        <v>237</v>
      </c>
      <c r="O38" s="27">
        <v>46057</v>
      </c>
    </row>
    <row r="39" spans="2:15" hidden="1" x14ac:dyDescent="0.3">
      <c r="B39">
        <v>366105</v>
      </c>
      <c r="C39" t="s">
        <v>231</v>
      </c>
      <c r="D39">
        <v>69519</v>
      </c>
      <c r="E39" t="s">
        <v>150</v>
      </c>
      <c r="F39" t="s">
        <v>166</v>
      </c>
      <c r="G39" s="28">
        <v>6600</v>
      </c>
      <c r="H39" s="32">
        <v>649.57000000000005</v>
      </c>
      <c r="I39" s="32">
        <v>124872</v>
      </c>
      <c r="J39" t="s">
        <v>249</v>
      </c>
      <c r="K39" t="s">
        <v>249</v>
      </c>
      <c r="L39" t="s">
        <v>235</v>
      </c>
      <c r="M39" t="s">
        <v>236</v>
      </c>
      <c r="N39" t="s">
        <v>237</v>
      </c>
      <c r="O39" s="27">
        <v>46065</v>
      </c>
    </row>
    <row r="40" spans="2:15" hidden="1" x14ac:dyDescent="0.3">
      <c r="B40">
        <v>2483386</v>
      </c>
      <c r="C40" t="s">
        <v>231</v>
      </c>
      <c r="D40">
        <v>38517</v>
      </c>
      <c r="E40" t="s">
        <v>150</v>
      </c>
      <c r="F40" t="s">
        <v>275</v>
      </c>
      <c r="G40" s="28">
        <v>4900</v>
      </c>
      <c r="H40" s="32">
        <v>634.08000000000004</v>
      </c>
      <c r="I40" s="32">
        <v>121774</v>
      </c>
      <c r="J40" t="s">
        <v>239</v>
      </c>
      <c r="K40" t="s">
        <v>234</v>
      </c>
      <c r="L40" t="s">
        <v>235</v>
      </c>
      <c r="M40" t="s">
        <v>236</v>
      </c>
      <c r="N40" t="s">
        <v>240</v>
      </c>
      <c r="O40" s="27">
        <v>46064</v>
      </c>
    </row>
    <row r="41" spans="2:15" hidden="1" x14ac:dyDescent="0.3">
      <c r="B41">
        <v>366105</v>
      </c>
      <c r="C41" t="s">
        <v>231</v>
      </c>
      <c r="D41">
        <v>69519</v>
      </c>
      <c r="E41" t="s">
        <v>150</v>
      </c>
      <c r="F41" t="s">
        <v>166</v>
      </c>
      <c r="G41" s="28">
        <v>5800</v>
      </c>
      <c r="H41" s="32">
        <v>563.73</v>
      </c>
      <c r="I41" s="32">
        <v>108344</v>
      </c>
      <c r="J41" t="s">
        <v>249</v>
      </c>
      <c r="K41" t="s">
        <v>249</v>
      </c>
      <c r="L41" t="s">
        <v>235</v>
      </c>
      <c r="M41" t="s">
        <v>236</v>
      </c>
      <c r="N41" t="s">
        <v>240</v>
      </c>
      <c r="O41" s="27">
        <v>46063</v>
      </c>
    </row>
    <row r="42" spans="2:15" hidden="1" x14ac:dyDescent="0.3">
      <c r="B42">
        <v>6113991</v>
      </c>
      <c r="C42" t="s">
        <v>231</v>
      </c>
      <c r="D42">
        <v>21559</v>
      </c>
      <c r="E42" t="s">
        <v>150</v>
      </c>
      <c r="F42" t="s">
        <v>266</v>
      </c>
      <c r="G42" s="28">
        <v>900</v>
      </c>
      <c r="H42" s="32">
        <v>503.97</v>
      </c>
      <c r="I42" s="32">
        <v>95752.83</v>
      </c>
      <c r="J42" t="s">
        <v>267</v>
      </c>
      <c r="K42" t="s">
        <v>234</v>
      </c>
      <c r="L42" t="s">
        <v>235</v>
      </c>
      <c r="M42" t="s">
        <v>236</v>
      </c>
      <c r="N42" t="s">
        <v>240</v>
      </c>
      <c r="O42" s="27">
        <v>46073</v>
      </c>
    </row>
    <row r="43" spans="2:15" hidden="1" x14ac:dyDescent="0.3">
      <c r="B43">
        <v>5602517</v>
      </c>
      <c r="C43" t="s">
        <v>260</v>
      </c>
      <c r="D43">
        <v>71997</v>
      </c>
      <c r="E43" t="s">
        <v>150</v>
      </c>
      <c r="F43" t="s">
        <v>312</v>
      </c>
      <c r="G43" s="28">
        <v>1385</v>
      </c>
      <c r="H43" s="32">
        <v>404.66</v>
      </c>
      <c r="I43" s="32">
        <v>78393.149999999994</v>
      </c>
      <c r="J43" t="s">
        <v>267</v>
      </c>
      <c r="K43" t="s">
        <v>234</v>
      </c>
      <c r="L43" t="s">
        <v>235</v>
      </c>
      <c r="M43" t="s">
        <v>236</v>
      </c>
      <c r="N43" t="s">
        <v>240</v>
      </c>
      <c r="O43" s="27">
        <v>46066</v>
      </c>
    </row>
    <row r="44" spans="2:15" x14ac:dyDescent="0.3">
      <c r="B44">
        <v>5658854</v>
      </c>
      <c r="C44" t="s">
        <v>231</v>
      </c>
      <c r="D44">
        <v>22103</v>
      </c>
      <c r="E44" t="s">
        <v>150</v>
      </c>
      <c r="F44" t="s">
        <v>319</v>
      </c>
      <c r="G44" s="28">
        <v>1900</v>
      </c>
      <c r="H44" s="32">
        <v>398.91</v>
      </c>
      <c r="I44" s="32">
        <v>79395</v>
      </c>
      <c r="J44" t="s">
        <v>239</v>
      </c>
      <c r="K44" t="s">
        <v>234</v>
      </c>
      <c r="L44" t="s">
        <v>235</v>
      </c>
      <c r="M44" t="s">
        <v>236</v>
      </c>
      <c r="N44" t="s">
        <v>240</v>
      </c>
      <c r="O44" s="27">
        <v>46076</v>
      </c>
    </row>
    <row r="45" spans="2:15" hidden="1" x14ac:dyDescent="0.3">
      <c r="B45">
        <v>5602517</v>
      </c>
      <c r="C45" t="s">
        <v>260</v>
      </c>
      <c r="D45">
        <v>71997</v>
      </c>
      <c r="E45" t="s">
        <v>150</v>
      </c>
      <c r="F45" t="s">
        <v>266</v>
      </c>
      <c r="G45" s="28">
        <v>730</v>
      </c>
      <c r="H45" s="32">
        <v>398.89</v>
      </c>
      <c r="I45" s="32">
        <v>77275.94</v>
      </c>
      <c r="J45" t="s">
        <v>267</v>
      </c>
      <c r="K45" t="s">
        <v>234</v>
      </c>
      <c r="L45" t="s">
        <v>235</v>
      </c>
      <c r="M45" t="s">
        <v>236</v>
      </c>
      <c r="N45" t="s">
        <v>237</v>
      </c>
      <c r="O45" s="27">
        <v>46066</v>
      </c>
    </row>
    <row r="46" spans="2:15" x14ac:dyDescent="0.3">
      <c r="B46">
        <v>5658854</v>
      </c>
      <c r="C46" t="s">
        <v>231</v>
      </c>
      <c r="D46">
        <v>22103</v>
      </c>
      <c r="E46" t="s">
        <v>150</v>
      </c>
      <c r="F46" t="s">
        <v>276</v>
      </c>
      <c r="G46" s="28">
        <v>2400</v>
      </c>
      <c r="H46" s="32">
        <v>378.28</v>
      </c>
      <c r="I46" s="32">
        <v>75288</v>
      </c>
      <c r="J46" t="s">
        <v>239</v>
      </c>
      <c r="K46" t="s">
        <v>234</v>
      </c>
      <c r="L46" t="s">
        <v>235</v>
      </c>
      <c r="M46" t="s">
        <v>236</v>
      </c>
      <c r="N46" t="s">
        <v>237</v>
      </c>
      <c r="O46" s="27">
        <v>46076</v>
      </c>
    </row>
    <row r="47" spans="2:15" x14ac:dyDescent="0.3">
      <c r="B47">
        <v>5658854</v>
      </c>
      <c r="C47" t="s">
        <v>231</v>
      </c>
      <c r="D47">
        <v>22103</v>
      </c>
      <c r="E47" t="s">
        <v>150</v>
      </c>
      <c r="F47" t="s">
        <v>272</v>
      </c>
      <c r="G47" s="28">
        <v>11400</v>
      </c>
      <c r="H47" s="32">
        <v>378.04</v>
      </c>
      <c r="I47" s="32">
        <v>75240</v>
      </c>
      <c r="J47" t="s">
        <v>239</v>
      </c>
      <c r="K47" t="s">
        <v>234</v>
      </c>
      <c r="L47" t="s">
        <v>235</v>
      </c>
      <c r="M47" t="s">
        <v>236</v>
      </c>
      <c r="N47" t="s">
        <v>237</v>
      </c>
      <c r="O47" s="27">
        <v>46076</v>
      </c>
    </row>
    <row r="48" spans="2:15" x14ac:dyDescent="0.3">
      <c r="B48">
        <v>5658854</v>
      </c>
      <c r="C48" t="s">
        <v>231</v>
      </c>
      <c r="D48">
        <v>22103</v>
      </c>
      <c r="E48" t="s">
        <v>150</v>
      </c>
      <c r="F48" t="s">
        <v>263</v>
      </c>
      <c r="G48" s="28">
        <v>5100</v>
      </c>
      <c r="H48" s="32">
        <v>375.91</v>
      </c>
      <c r="I48" s="32">
        <v>74817</v>
      </c>
      <c r="J48" t="s">
        <v>239</v>
      </c>
      <c r="K48" t="s">
        <v>234</v>
      </c>
      <c r="L48" t="s">
        <v>235</v>
      </c>
      <c r="M48" t="s">
        <v>236</v>
      </c>
      <c r="N48" t="s">
        <v>237</v>
      </c>
      <c r="O48" s="27">
        <v>46076</v>
      </c>
    </row>
    <row r="49" spans="2:15" x14ac:dyDescent="0.3">
      <c r="B49">
        <v>5658854</v>
      </c>
      <c r="C49" t="s">
        <v>231</v>
      </c>
      <c r="D49">
        <v>22103</v>
      </c>
      <c r="E49" t="s">
        <v>150</v>
      </c>
      <c r="F49" t="s">
        <v>289</v>
      </c>
      <c r="G49" s="28">
        <v>3500</v>
      </c>
      <c r="H49" s="32">
        <v>374.22</v>
      </c>
      <c r="I49" s="32">
        <v>74480</v>
      </c>
      <c r="J49" t="s">
        <v>239</v>
      </c>
      <c r="K49" t="s">
        <v>234</v>
      </c>
      <c r="L49" t="s">
        <v>235</v>
      </c>
      <c r="M49" t="s">
        <v>236</v>
      </c>
      <c r="N49" t="s">
        <v>237</v>
      </c>
      <c r="O49" s="27">
        <v>46076</v>
      </c>
    </row>
    <row r="50" spans="2:15" x14ac:dyDescent="0.3">
      <c r="B50">
        <v>5658854</v>
      </c>
      <c r="C50" t="s">
        <v>231</v>
      </c>
      <c r="D50">
        <v>22103</v>
      </c>
      <c r="E50" t="s">
        <v>150</v>
      </c>
      <c r="F50" t="s">
        <v>274</v>
      </c>
      <c r="G50" s="28">
        <v>4500</v>
      </c>
      <c r="H50" s="32">
        <v>373.51</v>
      </c>
      <c r="I50" s="32">
        <v>74340</v>
      </c>
      <c r="J50" t="s">
        <v>239</v>
      </c>
      <c r="K50" t="s">
        <v>234</v>
      </c>
      <c r="L50" t="s">
        <v>235</v>
      </c>
      <c r="M50" t="s">
        <v>236</v>
      </c>
      <c r="N50" t="s">
        <v>237</v>
      </c>
      <c r="O50" s="27">
        <v>46076</v>
      </c>
    </row>
    <row r="51" spans="2:15" x14ac:dyDescent="0.3">
      <c r="B51">
        <v>5658854</v>
      </c>
      <c r="C51" t="s">
        <v>231</v>
      </c>
      <c r="D51">
        <v>22103</v>
      </c>
      <c r="E51" t="s">
        <v>150</v>
      </c>
      <c r="F51" t="s">
        <v>277</v>
      </c>
      <c r="G51" s="28">
        <v>1800</v>
      </c>
      <c r="H51" s="32">
        <v>369.04</v>
      </c>
      <c r="I51" s="32">
        <v>73449</v>
      </c>
      <c r="J51" t="s">
        <v>239</v>
      </c>
      <c r="K51" t="s">
        <v>234</v>
      </c>
      <c r="L51" t="s">
        <v>235</v>
      </c>
      <c r="M51" t="s">
        <v>236</v>
      </c>
      <c r="N51" t="s">
        <v>237</v>
      </c>
      <c r="O51" s="27">
        <v>46076</v>
      </c>
    </row>
    <row r="52" spans="2:15" x14ac:dyDescent="0.3">
      <c r="B52">
        <v>5658854</v>
      </c>
      <c r="C52" t="s">
        <v>231</v>
      </c>
      <c r="D52">
        <v>22103</v>
      </c>
      <c r="E52" t="s">
        <v>150</v>
      </c>
      <c r="F52" t="s">
        <v>162</v>
      </c>
      <c r="G52" s="28">
        <v>1200</v>
      </c>
      <c r="H52" s="32">
        <v>363.81</v>
      </c>
      <c r="I52" s="32">
        <v>72408</v>
      </c>
      <c r="J52" t="s">
        <v>239</v>
      </c>
      <c r="K52" t="s">
        <v>234</v>
      </c>
      <c r="L52" t="s">
        <v>235</v>
      </c>
      <c r="M52" t="s">
        <v>236</v>
      </c>
      <c r="N52" t="s">
        <v>240</v>
      </c>
      <c r="O52" s="27">
        <v>46076</v>
      </c>
    </row>
    <row r="53" spans="2:15" hidden="1" x14ac:dyDescent="0.3">
      <c r="B53">
        <v>2166206</v>
      </c>
      <c r="C53" t="s">
        <v>231</v>
      </c>
      <c r="D53">
        <v>24415</v>
      </c>
      <c r="E53" t="s">
        <v>150</v>
      </c>
      <c r="F53" t="s">
        <v>292</v>
      </c>
      <c r="G53" s="28">
        <v>1200</v>
      </c>
      <c r="H53" s="32">
        <v>355.21</v>
      </c>
      <c r="I53" s="32">
        <v>66000</v>
      </c>
      <c r="J53" t="s">
        <v>249</v>
      </c>
      <c r="K53" t="s">
        <v>249</v>
      </c>
      <c r="L53" t="s">
        <v>235</v>
      </c>
      <c r="M53" t="s">
        <v>236</v>
      </c>
      <c r="N53" t="s">
        <v>240</v>
      </c>
      <c r="O53" s="27">
        <v>46055</v>
      </c>
    </row>
    <row r="54" spans="2:15" hidden="1" x14ac:dyDescent="0.3">
      <c r="B54">
        <v>18342071</v>
      </c>
      <c r="C54" t="s">
        <v>231</v>
      </c>
      <c r="D54">
        <v>71997</v>
      </c>
      <c r="E54" t="s">
        <v>150</v>
      </c>
      <c r="F54" t="s">
        <v>266</v>
      </c>
      <c r="G54" s="28">
        <v>600</v>
      </c>
      <c r="H54" s="32">
        <v>337.37</v>
      </c>
      <c r="I54" s="32">
        <v>64935.16</v>
      </c>
      <c r="J54" t="s">
        <v>267</v>
      </c>
      <c r="K54" t="s">
        <v>234</v>
      </c>
      <c r="L54" t="s">
        <v>235</v>
      </c>
      <c r="M54" t="s">
        <v>236</v>
      </c>
      <c r="N54" t="s">
        <v>240</v>
      </c>
      <c r="O54" s="27">
        <v>46056</v>
      </c>
    </row>
    <row r="55" spans="2:15" hidden="1" x14ac:dyDescent="0.3">
      <c r="B55">
        <v>18342071</v>
      </c>
      <c r="C55" t="s">
        <v>231</v>
      </c>
      <c r="D55">
        <v>71997</v>
      </c>
      <c r="E55" t="s">
        <v>150</v>
      </c>
      <c r="F55" t="s">
        <v>436</v>
      </c>
      <c r="G55" s="28">
        <v>614</v>
      </c>
      <c r="H55" s="32">
        <v>332.72</v>
      </c>
      <c r="I55" s="32">
        <v>64040.2</v>
      </c>
      <c r="J55" t="s">
        <v>267</v>
      </c>
      <c r="K55" t="s">
        <v>234</v>
      </c>
      <c r="L55" t="s">
        <v>235</v>
      </c>
      <c r="M55" t="s">
        <v>236</v>
      </c>
      <c r="N55" t="s">
        <v>237</v>
      </c>
      <c r="O55" s="27">
        <v>46056</v>
      </c>
    </row>
    <row r="56" spans="2:15" hidden="1" x14ac:dyDescent="0.3">
      <c r="B56">
        <v>4610798</v>
      </c>
      <c r="C56" t="s">
        <v>231</v>
      </c>
      <c r="D56">
        <v>24415</v>
      </c>
      <c r="E56" t="s">
        <v>150</v>
      </c>
      <c r="F56" t="s">
        <v>264</v>
      </c>
      <c r="G56" s="28">
        <v>9700</v>
      </c>
      <c r="H56" s="32">
        <v>328.24</v>
      </c>
      <c r="I56" s="32">
        <v>0</v>
      </c>
      <c r="J56" t="s">
        <v>233</v>
      </c>
      <c r="K56" t="s">
        <v>245</v>
      </c>
      <c r="L56" t="s">
        <v>235</v>
      </c>
      <c r="M56" t="s">
        <v>265</v>
      </c>
      <c r="N56" t="s">
        <v>237</v>
      </c>
      <c r="O56" s="27">
        <v>46056</v>
      </c>
    </row>
    <row r="57" spans="2:15" x14ac:dyDescent="0.3">
      <c r="B57">
        <v>5658854</v>
      </c>
      <c r="C57" t="s">
        <v>231</v>
      </c>
      <c r="D57">
        <v>22103</v>
      </c>
      <c r="E57" t="s">
        <v>150</v>
      </c>
      <c r="F57" t="s">
        <v>271</v>
      </c>
      <c r="G57" s="28">
        <v>3600</v>
      </c>
      <c r="H57" s="32">
        <v>325.27</v>
      </c>
      <c r="I57" s="32">
        <v>64738</v>
      </c>
      <c r="J57" t="s">
        <v>239</v>
      </c>
      <c r="K57" t="s">
        <v>234</v>
      </c>
      <c r="L57" t="s">
        <v>235</v>
      </c>
      <c r="M57" t="s">
        <v>236</v>
      </c>
      <c r="N57" t="s">
        <v>237</v>
      </c>
      <c r="O57" s="27">
        <v>46076</v>
      </c>
    </row>
    <row r="58" spans="2:15" hidden="1" x14ac:dyDescent="0.3">
      <c r="B58">
        <v>310157</v>
      </c>
      <c r="C58" t="s">
        <v>231</v>
      </c>
      <c r="D58">
        <v>68542</v>
      </c>
      <c r="E58" t="s">
        <v>150</v>
      </c>
      <c r="F58" t="s">
        <v>293</v>
      </c>
      <c r="G58" s="28">
        <v>3489</v>
      </c>
      <c r="H58" s="32">
        <v>316.35000000000002</v>
      </c>
      <c r="I58" s="32">
        <v>30001.03</v>
      </c>
      <c r="J58" t="s">
        <v>267</v>
      </c>
      <c r="K58" t="s">
        <v>245</v>
      </c>
      <c r="L58" t="s">
        <v>235</v>
      </c>
      <c r="M58" t="s">
        <v>236</v>
      </c>
      <c r="N58" t="s">
        <v>240</v>
      </c>
      <c r="O58" s="27">
        <v>46057</v>
      </c>
    </row>
    <row r="59" spans="2:15" x14ac:dyDescent="0.3">
      <c r="B59">
        <v>5658854</v>
      </c>
      <c r="C59" t="s">
        <v>231</v>
      </c>
      <c r="D59">
        <v>22103</v>
      </c>
      <c r="E59" t="s">
        <v>150</v>
      </c>
      <c r="F59" t="s">
        <v>163</v>
      </c>
      <c r="G59" s="28">
        <v>4300</v>
      </c>
      <c r="H59" s="32">
        <v>309.81</v>
      </c>
      <c r="I59" s="32">
        <v>61662</v>
      </c>
      <c r="J59" t="s">
        <v>239</v>
      </c>
      <c r="K59" t="s">
        <v>234</v>
      </c>
      <c r="L59" t="s">
        <v>235</v>
      </c>
      <c r="M59" t="s">
        <v>236</v>
      </c>
      <c r="N59" t="s">
        <v>240</v>
      </c>
      <c r="O59" s="27">
        <v>46076</v>
      </c>
    </row>
    <row r="60" spans="2:15" x14ac:dyDescent="0.3">
      <c r="B60">
        <v>7397602</v>
      </c>
      <c r="C60" t="s">
        <v>231</v>
      </c>
      <c r="D60">
        <v>22103</v>
      </c>
      <c r="E60" t="s">
        <v>150</v>
      </c>
      <c r="F60" t="s">
        <v>298</v>
      </c>
      <c r="G60" s="28">
        <v>2005</v>
      </c>
      <c r="H60" s="32">
        <v>307.85000000000002</v>
      </c>
      <c r="I60" s="32">
        <v>34910.74</v>
      </c>
      <c r="J60" t="s">
        <v>239</v>
      </c>
      <c r="K60" t="s">
        <v>245</v>
      </c>
      <c r="L60" t="s">
        <v>235</v>
      </c>
      <c r="M60" t="s">
        <v>236</v>
      </c>
      <c r="N60" t="s">
        <v>237</v>
      </c>
      <c r="O60" s="27">
        <v>46063</v>
      </c>
    </row>
    <row r="61" spans="2:15" hidden="1" x14ac:dyDescent="0.3">
      <c r="B61">
        <v>4358018</v>
      </c>
      <c r="C61" t="s">
        <v>231</v>
      </c>
      <c r="D61">
        <v>23410</v>
      </c>
      <c r="E61" t="s">
        <v>150</v>
      </c>
      <c r="F61" t="s">
        <v>166</v>
      </c>
      <c r="G61" s="28">
        <v>3100</v>
      </c>
      <c r="H61" s="32">
        <v>305.12</v>
      </c>
      <c r="I61" s="32">
        <v>58280</v>
      </c>
      <c r="J61" t="s">
        <v>249</v>
      </c>
      <c r="K61" t="s">
        <v>249</v>
      </c>
      <c r="L61" t="s">
        <v>235</v>
      </c>
      <c r="M61" t="s">
        <v>236</v>
      </c>
      <c r="N61" t="s">
        <v>237</v>
      </c>
      <c r="O61" s="27">
        <v>46073</v>
      </c>
    </row>
    <row r="62" spans="2:15" hidden="1" x14ac:dyDescent="0.3">
      <c r="B62">
        <v>12617133</v>
      </c>
      <c r="C62" t="s">
        <v>231</v>
      </c>
      <c r="D62">
        <v>69519</v>
      </c>
      <c r="E62" t="s">
        <v>150</v>
      </c>
      <c r="F62" t="s">
        <v>266</v>
      </c>
      <c r="G62" s="28">
        <v>520</v>
      </c>
      <c r="H62" s="32">
        <v>301.68</v>
      </c>
      <c r="I62" s="32">
        <v>55294.67</v>
      </c>
      <c r="J62" t="s">
        <v>267</v>
      </c>
      <c r="K62" t="s">
        <v>234</v>
      </c>
      <c r="L62" t="s">
        <v>235</v>
      </c>
      <c r="M62" t="s">
        <v>236</v>
      </c>
      <c r="N62" t="s">
        <v>240</v>
      </c>
      <c r="O62" s="27">
        <v>46062</v>
      </c>
    </row>
    <row r="63" spans="2:15" hidden="1" x14ac:dyDescent="0.3">
      <c r="B63">
        <v>5567161</v>
      </c>
      <c r="C63" t="s">
        <v>231</v>
      </c>
      <c r="D63">
        <v>24415</v>
      </c>
      <c r="E63" t="s">
        <v>150</v>
      </c>
      <c r="F63" t="s">
        <v>274</v>
      </c>
      <c r="G63" s="28">
        <v>3500</v>
      </c>
      <c r="H63" s="32">
        <v>284.01</v>
      </c>
      <c r="I63" s="32">
        <v>55230</v>
      </c>
      <c r="J63" t="s">
        <v>239</v>
      </c>
      <c r="K63" t="s">
        <v>245</v>
      </c>
      <c r="L63" t="s">
        <v>235</v>
      </c>
      <c r="M63" t="s">
        <v>236</v>
      </c>
      <c r="N63" t="s">
        <v>240</v>
      </c>
      <c r="O63" s="27">
        <v>46063</v>
      </c>
    </row>
    <row r="64" spans="2:15" hidden="1" x14ac:dyDescent="0.3">
      <c r="B64">
        <v>4051319</v>
      </c>
      <c r="C64" t="s">
        <v>231</v>
      </c>
      <c r="D64">
        <v>22674</v>
      </c>
      <c r="E64" t="s">
        <v>150</v>
      </c>
      <c r="F64" t="s">
        <v>254</v>
      </c>
      <c r="G64" s="28">
        <v>2400</v>
      </c>
      <c r="H64" s="32">
        <v>279.25</v>
      </c>
      <c r="I64" s="32">
        <v>50808</v>
      </c>
      <c r="J64" t="s">
        <v>249</v>
      </c>
      <c r="K64" t="s">
        <v>249</v>
      </c>
      <c r="L64" t="s">
        <v>235</v>
      </c>
      <c r="M64" t="s">
        <v>236</v>
      </c>
      <c r="N64" t="s">
        <v>237</v>
      </c>
      <c r="O64" s="27">
        <v>46056</v>
      </c>
    </row>
    <row r="65" spans="2:15" x14ac:dyDescent="0.3">
      <c r="B65">
        <v>5658854</v>
      </c>
      <c r="C65" t="s">
        <v>231</v>
      </c>
      <c r="D65">
        <v>22103</v>
      </c>
      <c r="E65" t="s">
        <v>150</v>
      </c>
      <c r="F65" t="s">
        <v>283</v>
      </c>
      <c r="G65" s="28">
        <v>4600</v>
      </c>
      <c r="H65" s="32">
        <v>273.88</v>
      </c>
      <c r="I65" s="32">
        <v>54510</v>
      </c>
      <c r="J65" t="s">
        <v>239</v>
      </c>
      <c r="K65" t="s">
        <v>234</v>
      </c>
      <c r="L65" t="s">
        <v>235</v>
      </c>
      <c r="M65" t="s">
        <v>236</v>
      </c>
      <c r="N65" t="s">
        <v>240</v>
      </c>
      <c r="O65" s="27">
        <v>46076</v>
      </c>
    </row>
    <row r="66" spans="2:15" hidden="1" x14ac:dyDescent="0.3">
      <c r="B66">
        <v>18872460</v>
      </c>
      <c r="C66" t="s">
        <v>231</v>
      </c>
      <c r="D66">
        <v>74304</v>
      </c>
      <c r="E66" t="s">
        <v>150</v>
      </c>
      <c r="F66" t="s">
        <v>289</v>
      </c>
      <c r="G66" s="28">
        <v>2366</v>
      </c>
      <c r="H66" s="32">
        <v>264.77</v>
      </c>
      <c r="I66" s="32">
        <v>50836</v>
      </c>
      <c r="J66" t="s">
        <v>239</v>
      </c>
      <c r="K66" t="s">
        <v>245</v>
      </c>
      <c r="L66" t="s">
        <v>235</v>
      </c>
      <c r="M66" t="s">
        <v>236</v>
      </c>
      <c r="N66" t="s">
        <v>237</v>
      </c>
      <c r="O66" s="27">
        <v>46055</v>
      </c>
    </row>
    <row r="67" spans="2:15" hidden="1" x14ac:dyDescent="0.3">
      <c r="B67">
        <v>331071</v>
      </c>
      <c r="C67" t="s">
        <v>231</v>
      </c>
      <c r="D67">
        <v>69519</v>
      </c>
      <c r="E67" t="s">
        <v>150</v>
      </c>
      <c r="F67" t="s">
        <v>167</v>
      </c>
      <c r="G67" s="28">
        <v>5000</v>
      </c>
      <c r="H67" s="32">
        <v>263.70999999999998</v>
      </c>
      <c r="I67" s="32">
        <v>47700</v>
      </c>
      <c r="J67" t="s">
        <v>249</v>
      </c>
      <c r="K67" t="s">
        <v>249</v>
      </c>
      <c r="L67" t="s">
        <v>235</v>
      </c>
      <c r="M67" t="s">
        <v>236</v>
      </c>
      <c r="N67" t="s">
        <v>240</v>
      </c>
      <c r="O67" s="27">
        <v>46064</v>
      </c>
    </row>
    <row r="68" spans="2:15" hidden="1" x14ac:dyDescent="0.3">
      <c r="B68">
        <v>357627</v>
      </c>
      <c r="C68" t="s">
        <v>231</v>
      </c>
      <c r="D68">
        <v>72444</v>
      </c>
      <c r="E68" t="s">
        <v>150</v>
      </c>
      <c r="F68" t="s">
        <v>161</v>
      </c>
      <c r="G68" s="28">
        <v>1800</v>
      </c>
      <c r="H68" s="32">
        <v>262.55</v>
      </c>
      <c r="I68" s="32">
        <v>48564</v>
      </c>
      <c r="J68" t="s">
        <v>249</v>
      </c>
      <c r="K68" t="s">
        <v>249</v>
      </c>
      <c r="L68" t="s">
        <v>235</v>
      </c>
      <c r="M68" t="s">
        <v>236</v>
      </c>
      <c r="N68" t="s">
        <v>237</v>
      </c>
      <c r="O68" s="27">
        <v>46056</v>
      </c>
    </row>
    <row r="69" spans="2:15" hidden="1" x14ac:dyDescent="0.3">
      <c r="B69">
        <v>16951165</v>
      </c>
      <c r="C69" t="s">
        <v>231</v>
      </c>
      <c r="D69">
        <v>49894</v>
      </c>
      <c r="E69" t="s">
        <v>150</v>
      </c>
      <c r="F69" t="s">
        <v>261</v>
      </c>
      <c r="G69" s="28">
        <v>700</v>
      </c>
      <c r="H69" s="32">
        <v>257.87</v>
      </c>
      <c r="I69" s="32">
        <v>50596</v>
      </c>
      <c r="J69" t="s">
        <v>256</v>
      </c>
      <c r="K69" t="s">
        <v>245</v>
      </c>
      <c r="L69" t="s">
        <v>235</v>
      </c>
      <c r="M69" t="s">
        <v>236</v>
      </c>
      <c r="N69" t="s">
        <v>240</v>
      </c>
      <c r="O69" s="27">
        <v>46057</v>
      </c>
    </row>
    <row r="70" spans="2:15" hidden="1" x14ac:dyDescent="0.3">
      <c r="B70">
        <v>18872460</v>
      </c>
      <c r="C70" t="s">
        <v>231</v>
      </c>
      <c r="D70">
        <v>74304</v>
      </c>
      <c r="E70" t="s">
        <v>150</v>
      </c>
      <c r="F70" t="s">
        <v>258</v>
      </c>
      <c r="G70" s="28">
        <v>4578</v>
      </c>
      <c r="H70" s="32">
        <v>257.77</v>
      </c>
      <c r="I70" s="32">
        <v>49505.75</v>
      </c>
      <c r="J70" t="s">
        <v>239</v>
      </c>
      <c r="K70" t="s">
        <v>245</v>
      </c>
      <c r="L70" t="s">
        <v>235</v>
      </c>
      <c r="M70" t="s">
        <v>236</v>
      </c>
      <c r="N70" t="s">
        <v>240</v>
      </c>
      <c r="O70" s="27">
        <v>46055</v>
      </c>
    </row>
    <row r="71" spans="2:15" hidden="1" x14ac:dyDescent="0.3">
      <c r="B71">
        <v>16951176</v>
      </c>
      <c r="C71" t="s">
        <v>231</v>
      </c>
      <c r="D71">
        <v>49894</v>
      </c>
      <c r="E71" t="s">
        <v>150</v>
      </c>
      <c r="F71" t="s">
        <v>261</v>
      </c>
      <c r="G71" s="28">
        <v>700</v>
      </c>
      <c r="H71" s="32">
        <v>256.69</v>
      </c>
      <c r="I71" s="32">
        <v>50603</v>
      </c>
      <c r="J71" t="s">
        <v>256</v>
      </c>
      <c r="K71" t="s">
        <v>245</v>
      </c>
      <c r="L71" t="s">
        <v>235</v>
      </c>
      <c r="M71" t="s">
        <v>236</v>
      </c>
      <c r="N71" t="s">
        <v>240</v>
      </c>
      <c r="O71" s="27">
        <v>46057</v>
      </c>
    </row>
    <row r="72" spans="2:15" hidden="1" x14ac:dyDescent="0.3">
      <c r="B72">
        <v>4358018</v>
      </c>
      <c r="C72" t="s">
        <v>231</v>
      </c>
      <c r="D72">
        <v>23410</v>
      </c>
      <c r="E72" t="s">
        <v>150</v>
      </c>
      <c r="F72" t="s">
        <v>157</v>
      </c>
      <c r="G72" s="28">
        <v>560</v>
      </c>
      <c r="H72" s="32">
        <v>255.48</v>
      </c>
      <c r="I72" s="32">
        <v>48798.400000000001</v>
      </c>
      <c r="J72" t="s">
        <v>249</v>
      </c>
      <c r="K72" t="s">
        <v>249</v>
      </c>
      <c r="L72" t="s">
        <v>235</v>
      </c>
      <c r="M72" t="s">
        <v>236</v>
      </c>
      <c r="N72" t="s">
        <v>237</v>
      </c>
      <c r="O72" s="27">
        <v>46073</v>
      </c>
    </row>
    <row r="73" spans="2:15" hidden="1" x14ac:dyDescent="0.3">
      <c r="B73">
        <v>4535206</v>
      </c>
      <c r="C73" t="s">
        <v>231</v>
      </c>
      <c r="D73">
        <v>68542</v>
      </c>
      <c r="E73" t="s">
        <v>150</v>
      </c>
      <c r="F73" t="s">
        <v>293</v>
      </c>
      <c r="G73" s="28">
        <v>2774</v>
      </c>
      <c r="H73" s="32">
        <v>250.5</v>
      </c>
      <c r="I73" s="32">
        <v>23852.93</v>
      </c>
      <c r="J73" t="s">
        <v>267</v>
      </c>
      <c r="K73" t="s">
        <v>245</v>
      </c>
      <c r="L73" t="s">
        <v>235</v>
      </c>
      <c r="M73" t="s">
        <v>236</v>
      </c>
      <c r="N73" t="s">
        <v>240</v>
      </c>
      <c r="O73" s="27">
        <v>46057</v>
      </c>
    </row>
    <row r="74" spans="2:15" hidden="1" x14ac:dyDescent="0.3">
      <c r="B74">
        <v>6859448</v>
      </c>
      <c r="C74" t="s">
        <v>231</v>
      </c>
      <c r="D74">
        <v>25619</v>
      </c>
      <c r="E74" t="s">
        <v>150</v>
      </c>
      <c r="F74" t="s">
        <v>285</v>
      </c>
      <c r="G74" s="28">
        <v>800</v>
      </c>
      <c r="H74" s="32">
        <v>249.03</v>
      </c>
      <c r="I74" s="32">
        <v>47400</v>
      </c>
      <c r="J74" t="s">
        <v>239</v>
      </c>
      <c r="K74" t="s">
        <v>234</v>
      </c>
      <c r="L74" t="s">
        <v>235</v>
      </c>
      <c r="M74" t="s">
        <v>236</v>
      </c>
      <c r="N74" t="s">
        <v>237</v>
      </c>
      <c r="O74" s="27">
        <v>46064</v>
      </c>
    </row>
    <row r="75" spans="2:15" hidden="1" x14ac:dyDescent="0.3">
      <c r="B75">
        <v>542586</v>
      </c>
      <c r="C75" t="s">
        <v>260</v>
      </c>
      <c r="D75">
        <v>21468</v>
      </c>
      <c r="E75" t="s">
        <v>150</v>
      </c>
      <c r="F75" t="s">
        <v>166</v>
      </c>
      <c r="G75" s="28">
        <v>2600</v>
      </c>
      <c r="H75" s="32">
        <v>249.01</v>
      </c>
      <c r="I75" s="32">
        <v>49088</v>
      </c>
      <c r="J75" t="s">
        <v>249</v>
      </c>
      <c r="K75" t="s">
        <v>249</v>
      </c>
      <c r="L75" t="s">
        <v>235</v>
      </c>
      <c r="M75" t="s">
        <v>236</v>
      </c>
      <c r="N75" t="s">
        <v>237</v>
      </c>
      <c r="O75" s="27">
        <v>46058</v>
      </c>
    </row>
    <row r="76" spans="2:15" hidden="1" x14ac:dyDescent="0.3">
      <c r="B76">
        <v>12918550</v>
      </c>
      <c r="C76" t="s">
        <v>231</v>
      </c>
      <c r="D76">
        <v>25619</v>
      </c>
      <c r="E76" t="s">
        <v>150</v>
      </c>
      <c r="F76" t="s">
        <v>285</v>
      </c>
      <c r="G76" s="28">
        <v>800</v>
      </c>
      <c r="H76" s="32">
        <v>247.31</v>
      </c>
      <c r="I76" s="32">
        <v>47072</v>
      </c>
      <c r="J76" t="s">
        <v>239</v>
      </c>
      <c r="K76" t="s">
        <v>234</v>
      </c>
      <c r="L76" t="s">
        <v>235</v>
      </c>
      <c r="M76" t="s">
        <v>236</v>
      </c>
      <c r="N76" t="s">
        <v>237</v>
      </c>
      <c r="O76" s="27">
        <v>46064</v>
      </c>
    </row>
    <row r="77" spans="2:15" hidden="1" x14ac:dyDescent="0.3">
      <c r="B77">
        <v>4610798</v>
      </c>
      <c r="C77" t="s">
        <v>231</v>
      </c>
      <c r="D77">
        <v>24415</v>
      </c>
      <c r="E77" t="s">
        <v>150</v>
      </c>
      <c r="F77" t="s">
        <v>160</v>
      </c>
      <c r="G77" s="28">
        <v>500</v>
      </c>
      <c r="H77" s="32">
        <v>244.16</v>
      </c>
      <c r="I77" s="32">
        <v>43790</v>
      </c>
      <c r="J77" t="s">
        <v>239</v>
      </c>
      <c r="K77" t="s">
        <v>234</v>
      </c>
      <c r="L77" t="s">
        <v>235</v>
      </c>
      <c r="M77" t="s">
        <v>236</v>
      </c>
      <c r="N77" t="s">
        <v>240</v>
      </c>
      <c r="O77" s="27">
        <v>46056</v>
      </c>
    </row>
    <row r="78" spans="2:15" hidden="1" x14ac:dyDescent="0.3">
      <c r="B78">
        <v>9797588</v>
      </c>
      <c r="C78" t="s">
        <v>231</v>
      </c>
      <c r="D78">
        <v>24415</v>
      </c>
      <c r="E78" t="s">
        <v>150</v>
      </c>
      <c r="F78" t="s">
        <v>301</v>
      </c>
      <c r="G78" s="28">
        <v>5656</v>
      </c>
      <c r="H78" s="32">
        <v>244.07</v>
      </c>
      <c r="I78" s="32">
        <v>46142.32</v>
      </c>
      <c r="J78" t="s">
        <v>267</v>
      </c>
      <c r="K78" t="s">
        <v>234</v>
      </c>
      <c r="L78" t="s">
        <v>235</v>
      </c>
      <c r="M78" t="s">
        <v>236</v>
      </c>
      <c r="N78" t="s">
        <v>240</v>
      </c>
      <c r="O78" s="27">
        <v>46063</v>
      </c>
    </row>
    <row r="79" spans="2:15" hidden="1" x14ac:dyDescent="0.3">
      <c r="B79">
        <v>6859448</v>
      </c>
      <c r="C79" t="s">
        <v>231</v>
      </c>
      <c r="D79">
        <v>25619</v>
      </c>
      <c r="E79" t="s">
        <v>150</v>
      </c>
      <c r="F79" t="s">
        <v>278</v>
      </c>
      <c r="G79" s="28">
        <v>900</v>
      </c>
      <c r="H79" s="32">
        <v>241.14</v>
      </c>
      <c r="I79" s="32">
        <v>45904</v>
      </c>
      <c r="J79" t="s">
        <v>239</v>
      </c>
      <c r="K79" t="s">
        <v>234</v>
      </c>
      <c r="L79" t="s">
        <v>235</v>
      </c>
      <c r="M79" t="s">
        <v>236</v>
      </c>
      <c r="N79" t="s">
        <v>240</v>
      </c>
      <c r="O79" s="27">
        <v>46064</v>
      </c>
    </row>
    <row r="80" spans="2:15" hidden="1" x14ac:dyDescent="0.3">
      <c r="B80">
        <v>12918550</v>
      </c>
      <c r="C80" t="s">
        <v>231</v>
      </c>
      <c r="D80">
        <v>25619</v>
      </c>
      <c r="E80" t="s">
        <v>150</v>
      </c>
      <c r="F80" t="s">
        <v>278</v>
      </c>
      <c r="G80" s="28">
        <v>900</v>
      </c>
      <c r="H80" s="32">
        <v>240.11</v>
      </c>
      <c r="I80" s="32">
        <v>45708</v>
      </c>
      <c r="J80" t="s">
        <v>239</v>
      </c>
      <c r="K80" t="s">
        <v>234</v>
      </c>
      <c r="L80" t="s">
        <v>235</v>
      </c>
      <c r="M80" t="s">
        <v>236</v>
      </c>
      <c r="N80" t="s">
        <v>240</v>
      </c>
      <c r="O80" s="27">
        <v>46064</v>
      </c>
    </row>
    <row r="81" spans="2:15" hidden="1" x14ac:dyDescent="0.3">
      <c r="B81">
        <v>2786896</v>
      </c>
      <c r="C81" t="s">
        <v>231</v>
      </c>
      <c r="D81">
        <v>69519</v>
      </c>
      <c r="E81" t="s">
        <v>150</v>
      </c>
      <c r="F81" t="s">
        <v>166</v>
      </c>
      <c r="G81" s="28">
        <v>2300</v>
      </c>
      <c r="H81" s="32">
        <v>238.31</v>
      </c>
      <c r="I81" s="32">
        <v>42619</v>
      </c>
      <c r="J81" t="s">
        <v>249</v>
      </c>
      <c r="K81" t="s">
        <v>249</v>
      </c>
      <c r="L81" t="s">
        <v>235</v>
      </c>
      <c r="M81" t="s">
        <v>236</v>
      </c>
      <c r="N81" t="s">
        <v>240</v>
      </c>
      <c r="O81" s="27">
        <v>46071</v>
      </c>
    </row>
    <row r="82" spans="2:15" hidden="1" x14ac:dyDescent="0.3">
      <c r="B82">
        <v>5934364</v>
      </c>
      <c r="C82" t="s">
        <v>231</v>
      </c>
      <c r="D82">
        <v>72444</v>
      </c>
      <c r="E82" t="s">
        <v>150</v>
      </c>
      <c r="F82" t="s">
        <v>161</v>
      </c>
      <c r="G82" s="28">
        <v>1550</v>
      </c>
      <c r="H82" s="32">
        <v>234.31</v>
      </c>
      <c r="I82" s="32">
        <v>41819</v>
      </c>
      <c r="J82" t="s">
        <v>249</v>
      </c>
      <c r="K82" t="s">
        <v>249</v>
      </c>
      <c r="L82" t="s">
        <v>235</v>
      </c>
      <c r="M82" t="s">
        <v>236</v>
      </c>
      <c r="N82" t="s">
        <v>237</v>
      </c>
      <c r="O82" s="27">
        <v>46056</v>
      </c>
    </row>
    <row r="83" spans="2:15" x14ac:dyDescent="0.3">
      <c r="B83">
        <v>5658854</v>
      </c>
      <c r="C83" t="s">
        <v>231</v>
      </c>
      <c r="D83">
        <v>22103</v>
      </c>
      <c r="E83" t="s">
        <v>150</v>
      </c>
      <c r="F83" t="s">
        <v>298</v>
      </c>
      <c r="G83" s="28">
        <v>2600</v>
      </c>
      <c r="H83" s="32">
        <v>232.79</v>
      </c>
      <c r="I83" s="32">
        <v>46332</v>
      </c>
      <c r="J83" t="s">
        <v>239</v>
      </c>
      <c r="K83" t="s">
        <v>234</v>
      </c>
      <c r="L83" t="s">
        <v>235</v>
      </c>
      <c r="M83" t="s">
        <v>236</v>
      </c>
      <c r="N83" t="s">
        <v>240</v>
      </c>
      <c r="O83" s="27">
        <v>46076</v>
      </c>
    </row>
    <row r="84" spans="2:15" hidden="1" x14ac:dyDescent="0.3">
      <c r="B84">
        <v>331071</v>
      </c>
      <c r="C84" t="s">
        <v>231</v>
      </c>
      <c r="D84">
        <v>69519</v>
      </c>
      <c r="E84" t="s">
        <v>150</v>
      </c>
      <c r="F84" t="s">
        <v>166</v>
      </c>
      <c r="G84" s="28">
        <v>2100</v>
      </c>
      <c r="H84" s="32">
        <v>223.87</v>
      </c>
      <c r="I84" s="32">
        <v>39732</v>
      </c>
      <c r="J84" t="s">
        <v>249</v>
      </c>
      <c r="K84" t="s">
        <v>249</v>
      </c>
      <c r="L84" t="s">
        <v>235</v>
      </c>
      <c r="M84" t="s">
        <v>236</v>
      </c>
      <c r="N84" t="s">
        <v>237</v>
      </c>
      <c r="O84" s="27">
        <v>46065</v>
      </c>
    </row>
    <row r="85" spans="2:15" hidden="1" x14ac:dyDescent="0.3">
      <c r="B85">
        <v>5263260</v>
      </c>
      <c r="C85" t="s">
        <v>231</v>
      </c>
      <c r="D85">
        <v>23648</v>
      </c>
      <c r="E85" t="s">
        <v>150</v>
      </c>
      <c r="F85" t="s">
        <v>232</v>
      </c>
      <c r="G85" s="28">
        <v>338</v>
      </c>
      <c r="H85" s="32">
        <v>223.09</v>
      </c>
      <c r="I85" s="32">
        <v>39575.379999999997</v>
      </c>
      <c r="J85" t="s">
        <v>233</v>
      </c>
      <c r="K85" t="s">
        <v>234</v>
      </c>
      <c r="L85" t="s">
        <v>235</v>
      </c>
      <c r="M85" t="s">
        <v>236</v>
      </c>
      <c r="N85" t="s">
        <v>237</v>
      </c>
      <c r="O85" s="27">
        <v>46056</v>
      </c>
    </row>
    <row r="86" spans="2:15" hidden="1" x14ac:dyDescent="0.3">
      <c r="B86">
        <v>6463394</v>
      </c>
      <c r="C86" t="s">
        <v>231</v>
      </c>
      <c r="D86">
        <v>23648</v>
      </c>
      <c r="E86" t="s">
        <v>150</v>
      </c>
      <c r="F86" t="s">
        <v>232</v>
      </c>
      <c r="G86" s="28">
        <v>338</v>
      </c>
      <c r="H86" s="32">
        <v>223.08</v>
      </c>
      <c r="I86" s="32">
        <v>39573.46</v>
      </c>
      <c r="J86" t="s">
        <v>233</v>
      </c>
      <c r="K86" t="s">
        <v>234</v>
      </c>
      <c r="L86" t="s">
        <v>235</v>
      </c>
      <c r="M86" t="s">
        <v>236</v>
      </c>
      <c r="N86" t="s">
        <v>237</v>
      </c>
      <c r="O86" s="27">
        <v>46056</v>
      </c>
    </row>
    <row r="87" spans="2:15" hidden="1" x14ac:dyDescent="0.3">
      <c r="B87">
        <v>2786896</v>
      </c>
      <c r="C87" t="s">
        <v>231</v>
      </c>
      <c r="D87">
        <v>69519</v>
      </c>
      <c r="E87" t="s">
        <v>150</v>
      </c>
      <c r="F87" t="s">
        <v>166</v>
      </c>
      <c r="G87" s="28">
        <v>2100</v>
      </c>
      <c r="H87" s="32">
        <v>222.61</v>
      </c>
      <c r="I87" s="32">
        <v>39480</v>
      </c>
      <c r="J87" t="s">
        <v>249</v>
      </c>
      <c r="K87" t="s">
        <v>249</v>
      </c>
      <c r="L87" t="s">
        <v>235</v>
      </c>
      <c r="M87" t="s">
        <v>236</v>
      </c>
      <c r="N87" t="s">
        <v>237</v>
      </c>
      <c r="O87" s="27">
        <v>46073</v>
      </c>
    </row>
    <row r="88" spans="2:15" hidden="1" x14ac:dyDescent="0.3">
      <c r="B88">
        <v>272204</v>
      </c>
      <c r="C88" t="s">
        <v>231</v>
      </c>
      <c r="D88">
        <v>23648</v>
      </c>
      <c r="E88" t="s">
        <v>150</v>
      </c>
      <c r="F88" t="s">
        <v>298</v>
      </c>
      <c r="G88" s="28">
        <v>1431</v>
      </c>
      <c r="H88" s="32">
        <v>220.93</v>
      </c>
      <c r="I88" s="32">
        <v>24916.400000000001</v>
      </c>
      <c r="J88" t="s">
        <v>239</v>
      </c>
      <c r="K88" t="s">
        <v>245</v>
      </c>
      <c r="L88" t="s">
        <v>235</v>
      </c>
      <c r="M88" t="s">
        <v>236</v>
      </c>
      <c r="N88" t="s">
        <v>237</v>
      </c>
      <c r="O88" s="27">
        <v>46063</v>
      </c>
    </row>
    <row r="89" spans="2:15" x14ac:dyDescent="0.3">
      <c r="B89">
        <v>7397602</v>
      </c>
      <c r="C89" t="s">
        <v>231</v>
      </c>
      <c r="D89">
        <v>22103</v>
      </c>
      <c r="E89" t="s">
        <v>150</v>
      </c>
      <c r="F89" t="s">
        <v>407</v>
      </c>
      <c r="G89" s="28">
        <v>938</v>
      </c>
      <c r="H89" s="32">
        <v>220.7</v>
      </c>
      <c r="I89" s="32">
        <v>48337.94</v>
      </c>
      <c r="J89" t="s">
        <v>239</v>
      </c>
      <c r="K89" t="s">
        <v>245</v>
      </c>
      <c r="L89" t="s">
        <v>235</v>
      </c>
      <c r="M89" t="s">
        <v>236</v>
      </c>
      <c r="N89" t="s">
        <v>237</v>
      </c>
      <c r="O89" s="27">
        <v>46072</v>
      </c>
    </row>
    <row r="90" spans="2:15" hidden="1" x14ac:dyDescent="0.3">
      <c r="B90">
        <v>3590034</v>
      </c>
      <c r="C90" t="s">
        <v>231</v>
      </c>
      <c r="D90">
        <v>25104</v>
      </c>
      <c r="E90" t="s">
        <v>150</v>
      </c>
      <c r="F90" t="s">
        <v>833</v>
      </c>
      <c r="G90" s="28">
        <v>210</v>
      </c>
      <c r="H90" s="32">
        <v>220.56</v>
      </c>
      <c r="I90" s="32">
        <v>39070.5</v>
      </c>
      <c r="J90" t="s">
        <v>239</v>
      </c>
      <c r="K90" t="s">
        <v>245</v>
      </c>
      <c r="L90" t="s">
        <v>235</v>
      </c>
      <c r="M90" t="s">
        <v>236</v>
      </c>
      <c r="N90" t="s">
        <v>237</v>
      </c>
      <c r="O90" s="27">
        <v>46076</v>
      </c>
    </row>
    <row r="91" spans="2:15" hidden="1" x14ac:dyDescent="0.3">
      <c r="B91">
        <v>331071</v>
      </c>
      <c r="C91" t="s">
        <v>231</v>
      </c>
      <c r="D91">
        <v>69519</v>
      </c>
      <c r="E91" t="s">
        <v>150</v>
      </c>
      <c r="F91" t="s">
        <v>296</v>
      </c>
      <c r="G91" s="28">
        <v>1000</v>
      </c>
      <c r="H91" s="32">
        <v>217.21</v>
      </c>
      <c r="I91" s="32">
        <v>38400</v>
      </c>
      <c r="J91" t="s">
        <v>249</v>
      </c>
      <c r="K91" t="s">
        <v>249</v>
      </c>
      <c r="L91" t="s">
        <v>235</v>
      </c>
      <c r="M91" t="s">
        <v>236</v>
      </c>
      <c r="N91" t="s">
        <v>237</v>
      </c>
      <c r="O91" s="27">
        <v>46071</v>
      </c>
    </row>
    <row r="92" spans="2:15" hidden="1" x14ac:dyDescent="0.3">
      <c r="B92">
        <v>9797588</v>
      </c>
      <c r="C92" t="s">
        <v>231</v>
      </c>
      <c r="D92">
        <v>24415</v>
      </c>
      <c r="E92" t="s">
        <v>150</v>
      </c>
      <c r="F92" t="s">
        <v>322</v>
      </c>
      <c r="G92" s="28">
        <v>399</v>
      </c>
      <c r="H92" s="32">
        <v>216.38</v>
      </c>
      <c r="I92" s="32">
        <v>40907.410000000003</v>
      </c>
      <c r="J92" t="s">
        <v>267</v>
      </c>
      <c r="K92" t="s">
        <v>234</v>
      </c>
      <c r="L92" t="s">
        <v>235</v>
      </c>
      <c r="M92" t="s">
        <v>236</v>
      </c>
      <c r="N92" t="s">
        <v>237</v>
      </c>
      <c r="O92" s="27">
        <v>46063</v>
      </c>
    </row>
    <row r="93" spans="2:15" x14ac:dyDescent="0.3">
      <c r="B93">
        <v>5658854</v>
      </c>
      <c r="C93" t="s">
        <v>231</v>
      </c>
      <c r="D93">
        <v>22103</v>
      </c>
      <c r="E93" t="s">
        <v>150</v>
      </c>
      <c r="F93" t="s">
        <v>282</v>
      </c>
      <c r="G93" s="28">
        <v>800</v>
      </c>
      <c r="H93" s="32">
        <v>214.8</v>
      </c>
      <c r="I93" s="32">
        <v>42752</v>
      </c>
      <c r="J93" t="s">
        <v>239</v>
      </c>
      <c r="K93" t="s">
        <v>234</v>
      </c>
      <c r="L93" t="s">
        <v>235</v>
      </c>
      <c r="M93" t="s">
        <v>236</v>
      </c>
      <c r="N93" t="s">
        <v>240</v>
      </c>
      <c r="O93" s="27">
        <v>46076</v>
      </c>
    </row>
    <row r="94" spans="2:15" hidden="1" x14ac:dyDescent="0.3">
      <c r="B94">
        <v>6468519</v>
      </c>
      <c r="C94" t="s">
        <v>231</v>
      </c>
      <c r="D94">
        <v>72444</v>
      </c>
      <c r="E94" t="s">
        <v>150</v>
      </c>
      <c r="F94" t="s">
        <v>161</v>
      </c>
      <c r="G94" s="28">
        <v>1400</v>
      </c>
      <c r="H94" s="32">
        <v>214.14</v>
      </c>
      <c r="I94" s="32">
        <v>37786</v>
      </c>
      <c r="J94" t="s">
        <v>249</v>
      </c>
      <c r="K94" t="s">
        <v>249</v>
      </c>
      <c r="L94" t="s">
        <v>235</v>
      </c>
      <c r="M94" t="s">
        <v>236</v>
      </c>
      <c r="N94" t="s">
        <v>237</v>
      </c>
      <c r="O94" s="27">
        <v>46057</v>
      </c>
    </row>
    <row r="95" spans="2:15" hidden="1" x14ac:dyDescent="0.3">
      <c r="B95">
        <v>310157</v>
      </c>
      <c r="C95" t="s">
        <v>231</v>
      </c>
      <c r="D95">
        <v>68542</v>
      </c>
      <c r="E95" t="s">
        <v>150</v>
      </c>
      <c r="F95" t="s">
        <v>291</v>
      </c>
      <c r="G95" s="28">
        <v>2313</v>
      </c>
      <c r="H95" s="32">
        <v>212.09</v>
      </c>
      <c r="I95" s="32">
        <v>22836.42</v>
      </c>
      <c r="J95" t="s">
        <v>267</v>
      </c>
      <c r="K95" t="s">
        <v>245</v>
      </c>
      <c r="L95" t="s">
        <v>235</v>
      </c>
      <c r="M95" t="s">
        <v>236</v>
      </c>
      <c r="N95" t="s">
        <v>240</v>
      </c>
      <c r="O95" s="27">
        <v>46057</v>
      </c>
    </row>
    <row r="96" spans="2:15" x14ac:dyDescent="0.3">
      <c r="B96">
        <v>7397602</v>
      </c>
      <c r="C96" t="s">
        <v>231</v>
      </c>
      <c r="D96">
        <v>22103</v>
      </c>
      <c r="E96" t="s">
        <v>150</v>
      </c>
      <c r="F96" t="s">
        <v>320</v>
      </c>
      <c r="G96" s="28">
        <v>1046</v>
      </c>
      <c r="H96" s="32">
        <v>209.83</v>
      </c>
      <c r="I96" s="32">
        <v>42976.08</v>
      </c>
      <c r="J96" t="s">
        <v>239</v>
      </c>
      <c r="K96" t="s">
        <v>245</v>
      </c>
      <c r="L96" t="s">
        <v>235</v>
      </c>
      <c r="M96" t="s">
        <v>236</v>
      </c>
      <c r="N96" t="s">
        <v>240</v>
      </c>
      <c r="O96" s="27">
        <v>46072</v>
      </c>
    </row>
    <row r="97" spans="2:15" hidden="1" x14ac:dyDescent="0.3">
      <c r="B97">
        <v>2786896</v>
      </c>
      <c r="C97" t="s">
        <v>231</v>
      </c>
      <c r="D97">
        <v>69519</v>
      </c>
      <c r="E97" t="s">
        <v>150</v>
      </c>
      <c r="F97" t="s">
        <v>165</v>
      </c>
      <c r="G97" s="28">
        <v>4200</v>
      </c>
      <c r="H97" s="32">
        <v>203.71</v>
      </c>
      <c r="I97" s="32">
        <v>35700</v>
      </c>
      <c r="J97" t="s">
        <v>249</v>
      </c>
      <c r="K97" t="s">
        <v>249</v>
      </c>
      <c r="L97" t="s">
        <v>235</v>
      </c>
      <c r="M97" t="s">
        <v>236</v>
      </c>
      <c r="N97" t="s">
        <v>237</v>
      </c>
      <c r="O97" s="27">
        <v>46058</v>
      </c>
    </row>
    <row r="98" spans="2:15" hidden="1" x14ac:dyDescent="0.3">
      <c r="B98">
        <v>8223591</v>
      </c>
      <c r="C98" t="s">
        <v>231</v>
      </c>
      <c r="D98">
        <v>25104</v>
      </c>
      <c r="E98" t="s">
        <v>150</v>
      </c>
      <c r="F98" t="s">
        <v>160</v>
      </c>
      <c r="G98" s="28">
        <v>400</v>
      </c>
      <c r="H98" s="32">
        <v>203.31</v>
      </c>
      <c r="I98" s="32">
        <v>35620</v>
      </c>
      <c r="J98" t="s">
        <v>239</v>
      </c>
      <c r="K98" t="s">
        <v>234</v>
      </c>
      <c r="L98" t="s">
        <v>235</v>
      </c>
      <c r="M98" t="s">
        <v>236</v>
      </c>
      <c r="N98" t="s">
        <v>240</v>
      </c>
      <c r="O98" s="27">
        <v>46064</v>
      </c>
    </row>
    <row r="99" spans="2:15" hidden="1" x14ac:dyDescent="0.3">
      <c r="B99">
        <v>331071</v>
      </c>
      <c r="C99" t="s">
        <v>231</v>
      </c>
      <c r="D99">
        <v>69519</v>
      </c>
      <c r="E99" t="s">
        <v>150</v>
      </c>
      <c r="F99" t="s">
        <v>166</v>
      </c>
      <c r="G99" s="28">
        <v>1900</v>
      </c>
      <c r="H99" s="32">
        <v>202.67</v>
      </c>
      <c r="I99" s="32">
        <v>35492</v>
      </c>
      <c r="J99" t="s">
        <v>249</v>
      </c>
      <c r="K99" t="s">
        <v>249</v>
      </c>
      <c r="L99" t="s">
        <v>235</v>
      </c>
      <c r="M99" t="s">
        <v>236</v>
      </c>
      <c r="N99" t="s">
        <v>240</v>
      </c>
      <c r="O99" s="27">
        <v>46063</v>
      </c>
    </row>
    <row r="100" spans="2:15" hidden="1" x14ac:dyDescent="0.3">
      <c r="B100">
        <v>7064277</v>
      </c>
      <c r="C100" t="s">
        <v>260</v>
      </c>
      <c r="D100">
        <v>25104</v>
      </c>
      <c r="E100" t="s">
        <v>150</v>
      </c>
      <c r="F100" t="s">
        <v>160</v>
      </c>
      <c r="G100" s="28">
        <v>400</v>
      </c>
      <c r="H100" s="32">
        <v>200.23</v>
      </c>
      <c r="I100" s="32">
        <v>35004</v>
      </c>
      <c r="J100" t="s">
        <v>239</v>
      </c>
      <c r="K100" t="s">
        <v>234</v>
      </c>
      <c r="L100" t="s">
        <v>235</v>
      </c>
      <c r="M100" t="s">
        <v>236</v>
      </c>
      <c r="N100" t="s">
        <v>240</v>
      </c>
      <c r="O100" s="27">
        <v>46062</v>
      </c>
    </row>
    <row r="101" spans="2:15" hidden="1" x14ac:dyDescent="0.3">
      <c r="B101">
        <v>2033851</v>
      </c>
      <c r="C101" t="s">
        <v>231</v>
      </c>
      <c r="D101">
        <v>24415</v>
      </c>
      <c r="E101" t="s">
        <v>150</v>
      </c>
      <c r="F101" t="s">
        <v>289</v>
      </c>
      <c r="G101" s="28">
        <v>1000</v>
      </c>
      <c r="H101" s="32">
        <v>200</v>
      </c>
      <c r="I101" s="32">
        <v>20590</v>
      </c>
      <c r="J101" t="s">
        <v>249</v>
      </c>
      <c r="K101" t="s">
        <v>249</v>
      </c>
      <c r="L101" t="s">
        <v>235</v>
      </c>
      <c r="M101" t="s">
        <v>236</v>
      </c>
      <c r="N101" t="s">
        <v>240</v>
      </c>
      <c r="O101" s="27">
        <v>46059</v>
      </c>
    </row>
    <row r="102" spans="2:15" hidden="1" x14ac:dyDescent="0.3">
      <c r="B102">
        <v>2033851</v>
      </c>
      <c r="C102" t="s">
        <v>231</v>
      </c>
      <c r="D102">
        <v>24415</v>
      </c>
      <c r="E102" t="s">
        <v>150</v>
      </c>
      <c r="F102" t="s">
        <v>455</v>
      </c>
      <c r="G102" s="28">
        <v>220</v>
      </c>
      <c r="H102" s="32">
        <v>200</v>
      </c>
      <c r="I102" s="32">
        <v>27086.400000000001</v>
      </c>
      <c r="J102" t="s">
        <v>249</v>
      </c>
      <c r="K102" t="s">
        <v>249</v>
      </c>
      <c r="L102" t="s">
        <v>235</v>
      </c>
      <c r="M102" t="s">
        <v>236</v>
      </c>
      <c r="N102" t="s">
        <v>240</v>
      </c>
      <c r="O102" s="27">
        <v>46059</v>
      </c>
    </row>
    <row r="103" spans="2:15" x14ac:dyDescent="0.3">
      <c r="B103">
        <v>7397602</v>
      </c>
      <c r="C103" t="s">
        <v>231</v>
      </c>
      <c r="D103">
        <v>22103</v>
      </c>
      <c r="E103" t="s">
        <v>150</v>
      </c>
      <c r="F103" t="s">
        <v>163</v>
      </c>
      <c r="G103" s="28">
        <v>1306</v>
      </c>
      <c r="H103" s="32">
        <v>199.93</v>
      </c>
      <c r="I103" s="32">
        <v>18232.72</v>
      </c>
      <c r="J103" t="s">
        <v>239</v>
      </c>
      <c r="K103" t="s">
        <v>245</v>
      </c>
      <c r="L103" t="s">
        <v>235</v>
      </c>
      <c r="M103" t="s">
        <v>236</v>
      </c>
      <c r="N103" t="s">
        <v>237</v>
      </c>
      <c r="O103" s="27">
        <v>46063</v>
      </c>
    </row>
    <row r="104" spans="2:15" hidden="1" x14ac:dyDescent="0.3">
      <c r="B104">
        <v>195750</v>
      </c>
      <c r="C104" t="s">
        <v>260</v>
      </c>
      <c r="D104">
        <v>23648</v>
      </c>
      <c r="E104" t="s">
        <v>150</v>
      </c>
      <c r="F104" t="s">
        <v>166</v>
      </c>
      <c r="G104" s="28">
        <v>1800</v>
      </c>
      <c r="H104" s="32">
        <v>195.49</v>
      </c>
      <c r="I104" s="32">
        <v>34056</v>
      </c>
      <c r="J104" t="s">
        <v>249</v>
      </c>
      <c r="K104" t="s">
        <v>249</v>
      </c>
      <c r="L104" t="s">
        <v>235</v>
      </c>
      <c r="M104" t="s">
        <v>236</v>
      </c>
      <c r="N104" t="s">
        <v>237</v>
      </c>
      <c r="O104" s="27">
        <v>46057</v>
      </c>
    </row>
    <row r="105" spans="2:15" hidden="1" x14ac:dyDescent="0.3">
      <c r="B105">
        <v>15974702</v>
      </c>
      <c r="C105" t="s">
        <v>260</v>
      </c>
      <c r="D105">
        <v>25619</v>
      </c>
      <c r="E105" t="s">
        <v>150</v>
      </c>
      <c r="F105" t="s">
        <v>278</v>
      </c>
      <c r="G105" s="28">
        <v>700</v>
      </c>
      <c r="H105" s="32">
        <v>189.68</v>
      </c>
      <c r="I105" s="32">
        <v>35672</v>
      </c>
      <c r="J105" t="s">
        <v>239</v>
      </c>
      <c r="K105" t="s">
        <v>234</v>
      </c>
      <c r="L105" t="s">
        <v>235</v>
      </c>
      <c r="M105" t="s">
        <v>236</v>
      </c>
      <c r="N105" t="s">
        <v>240</v>
      </c>
      <c r="O105" s="27">
        <v>46064</v>
      </c>
    </row>
    <row r="106" spans="2:15" hidden="1" x14ac:dyDescent="0.3">
      <c r="B106">
        <v>14521528</v>
      </c>
      <c r="C106" t="s">
        <v>260</v>
      </c>
      <c r="D106">
        <v>25619</v>
      </c>
      <c r="E106" t="s">
        <v>150</v>
      </c>
      <c r="F106" t="s">
        <v>278</v>
      </c>
      <c r="G106" s="28">
        <v>700</v>
      </c>
      <c r="H106" s="32">
        <v>189.45</v>
      </c>
      <c r="I106" s="32">
        <v>35630</v>
      </c>
      <c r="J106" t="s">
        <v>239</v>
      </c>
      <c r="K106" t="s">
        <v>234</v>
      </c>
      <c r="L106" t="s">
        <v>235</v>
      </c>
      <c r="M106" t="s">
        <v>236</v>
      </c>
      <c r="N106" t="s">
        <v>240</v>
      </c>
      <c r="O106" s="27">
        <v>46064</v>
      </c>
    </row>
    <row r="107" spans="2:15" hidden="1" x14ac:dyDescent="0.3">
      <c r="B107">
        <v>4339096</v>
      </c>
      <c r="C107" t="s">
        <v>231</v>
      </c>
      <c r="D107">
        <v>25619</v>
      </c>
      <c r="E107" t="s">
        <v>150</v>
      </c>
      <c r="F107" t="s">
        <v>278</v>
      </c>
      <c r="G107" s="28">
        <v>700</v>
      </c>
      <c r="H107" s="32">
        <v>189.08</v>
      </c>
      <c r="I107" s="32">
        <v>35565</v>
      </c>
      <c r="J107" t="s">
        <v>239</v>
      </c>
      <c r="K107" t="s">
        <v>234</v>
      </c>
      <c r="L107" t="s">
        <v>235</v>
      </c>
      <c r="M107" t="s">
        <v>236</v>
      </c>
      <c r="N107" t="s">
        <v>240</v>
      </c>
      <c r="O107" s="27">
        <v>46064</v>
      </c>
    </row>
    <row r="108" spans="2:15" hidden="1" x14ac:dyDescent="0.3">
      <c r="B108">
        <v>15974702</v>
      </c>
      <c r="C108" t="s">
        <v>260</v>
      </c>
      <c r="D108">
        <v>25619</v>
      </c>
      <c r="E108" t="s">
        <v>150</v>
      </c>
      <c r="F108" t="s">
        <v>285</v>
      </c>
      <c r="G108" s="28">
        <v>600</v>
      </c>
      <c r="H108" s="32">
        <v>189.02</v>
      </c>
      <c r="I108" s="32">
        <v>35544</v>
      </c>
      <c r="J108" t="s">
        <v>239</v>
      </c>
      <c r="K108" t="s">
        <v>234</v>
      </c>
      <c r="L108" t="s">
        <v>235</v>
      </c>
      <c r="M108" t="s">
        <v>236</v>
      </c>
      <c r="N108" t="s">
        <v>237</v>
      </c>
      <c r="O108" s="27">
        <v>46064</v>
      </c>
    </row>
    <row r="109" spans="2:15" hidden="1" x14ac:dyDescent="0.3">
      <c r="B109">
        <v>14521528</v>
      </c>
      <c r="C109" t="s">
        <v>260</v>
      </c>
      <c r="D109">
        <v>25619</v>
      </c>
      <c r="E109" t="s">
        <v>150</v>
      </c>
      <c r="F109" t="s">
        <v>285</v>
      </c>
      <c r="G109" s="28">
        <v>600</v>
      </c>
      <c r="H109" s="32">
        <v>188.1</v>
      </c>
      <c r="I109" s="32">
        <v>35376</v>
      </c>
      <c r="J109" t="s">
        <v>239</v>
      </c>
      <c r="K109" t="s">
        <v>234</v>
      </c>
      <c r="L109" t="s">
        <v>235</v>
      </c>
      <c r="M109" t="s">
        <v>236</v>
      </c>
      <c r="N109" t="s">
        <v>237</v>
      </c>
      <c r="O109" s="27">
        <v>46064</v>
      </c>
    </row>
    <row r="110" spans="2:15" hidden="1" x14ac:dyDescent="0.3">
      <c r="B110">
        <v>4339096</v>
      </c>
      <c r="C110" t="s">
        <v>231</v>
      </c>
      <c r="D110">
        <v>25619</v>
      </c>
      <c r="E110" t="s">
        <v>150</v>
      </c>
      <c r="F110" t="s">
        <v>285</v>
      </c>
      <c r="G110" s="28">
        <v>600</v>
      </c>
      <c r="H110" s="32">
        <v>187.78</v>
      </c>
      <c r="I110" s="32">
        <v>35316</v>
      </c>
      <c r="J110" t="s">
        <v>239</v>
      </c>
      <c r="K110" t="s">
        <v>234</v>
      </c>
      <c r="L110" t="s">
        <v>235</v>
      </c>
      <c r="M110" t="s">
        <v>236</v>
      </c>
      <c r="N110" t="s">
        <v>237</v>
      </c>
      <c r="O110" s="27">
        <v>46064</v>
      </c>
    </row>
    <row r="111" spans="2:15" hidden="1" x14ac:dyDescent="0.3">
      <c r="B111">
        <v>11409889</v>
      </c>
      <c r="C111" t="s">
        <v>231</v>
      </c>
      <c r="D111">
        <v>25104</v>
      </c>
      <c r="E111" t="s">
        <v>150</v>
      </c>
      <c r="F111" t="s">
        <v>160</v>
      </c>
      <c r="G111" s="28">
        <v>400</v>
      </c>
      <c r="H111" s="32">
        <v>175.25</v>
      </c>
      <c r="I111" s="32">
        <v>33108</v>
      </c>
      <c r="J111" t="s">
        <v>239</v>
      </c>
      <c r="K111" t="s">
        <v>234</v>
      </c>
      <c r="L111" t="s">
        <v>235</v>
      </c>
      <c r="M111" t="s">
        <v>236</v>
      </c>
      <c r="N111" t="s">
        <v>240</v>
      </c>
      <c r="O111" s="27">
        <v>46072</v>
      </c>
    </row>
    <row r="112" spans="2:15" hidden="1" x14ac:dyDescent="0.3">
      <c r="B112">
        <v>2727175</v>
      </c>
      <c r="C112" t="s">
        <v>231</v>
      </c>
      <c r="D112">
        <v>23648</v>
      </c>
      <c r="E112" t="s">
        <v>150</v>
      </c>
      <c r="F112" t="s">
        <v>232</v>
      </c>
      <c r="G112" s="28">
        <v>254</v>
      </c>
      <c r="H112" s="32">
        <v>173.85</v>
      </c>
      <c r="I112" s="32">
        <v>29728.16</v>
      </c>
      <c r="J112" t="s">
        <v>233</v>
      </c>
      <c r="K112" t="s">
        <v>234</v>
      </c>
      <c r="L112" t="s">
        <v>235</v>
      </c>
      <c r="M112" t="s">
        <v>236</v>
      </c>
      <c r="N112" t="s">
        <v>237</v>
      </c>
      <c r="O112" s="27">
        <v>46055</v>
      </c>
    </row>
    <row r="113" spans="2:15" hidden="1" x14ac:dyDescent="0.3">
      <c r="B113">
        <v>15255517</v>
      </c>
      <c r="C113" t="s">
        <v>231</v>
      </c>
      <c r="D113">
        <v>23648</v>
      </c>
      <c r="E113" t="s">
        <v>150</v>
      </c>
      <c r="F113" t="s">
        <v>232</v>
      </c>
      <c r="G113" s="28">
        <v>253</v>
      </c>
      <c r="H113" s="32">
        <v>173.33</v>
      </c>
      <c r="I113" s="32">
        <v>29624.71</v>
      </c>
      <c r="J113" t="s">
        <v>233</v>
      </c>
      <c r="K113" t="s">
        <v>234</v>
      </c>
      <c r="L113" t="s">
        <v>235</v>
      </c>
      <c r="M113" t="s">
        <v>236</v>
      </c>
      <c r="N113" t="s">
        <v>237</v>
      </c>
      <c r="O113" s="27">
        <v>46056</v>
      </c>
    </row>
    <row r="114" spans="2:15" hidden="1" x14ac:dyDescent="0.3">
      <c r="B114">
        <v>2403987</v>
      </c>
      <c r="C114" t="s">
        <v>231</v>
      </c>
      <c r="D114">
        <v>23648</v>
      </c>
      <c r="E114" t="s">
        <v>150</v>
      </c>
      <c r="F114" t="s">
        <v>232</v>
      </c>
      <c r="G114" s="28">
        <v>253</v>
      </c>
      <c r="H114" s="32">
        <v>173.25</v>
      </c>
      <c r="I114" s="32">
        <v>29608.71</v>
      </c>
      <c r="J114" t="s">
        <v>233</v>
      </c>
      <c r="K114" t="s">
        <v>234</v>
      </c>
      <c r="L114" t="s">
        <v>235</v>
      </c>
      <c r="M114" t="s">
        <v>236</v>
      </c>
      <c r="N114" t="s">
        <v>237</v>
      </c>
      <c r="O114" s="27">
        <v>46055</v>
      </c>
    </row>
    <row r="115" spans="2:15" hidden="1" x14ac:dyDescent="0.3">
      <c r="B115">
        <v>4535206</v>
      </c>
      <c r="C115" t="s">
        <v>231</v>
      </c>
      <c r="D115">
        <v>68542</v>
      </c>
      <c r="E115" t="s">
        <v>150</v>
      </c>
      <c r="F115" t="s">
        <v>291</v>
      </c>
      <c r="G115" s="28">
        <v>1839</v>
      </c>
      <c r="H115" s="32">
        <v>169.68</v>
      </c>
      <c r="I115" s="32">
        <v>18156.54</v>
      </c>
      <c r="J115" t="s">
        <v>267</v>
      </c>
      <c r="K115" t="s">
        <v>245</v>
      </c>
      <c r="L115" t="s">
        <v>235</v>
      </c>
      <c r="M115" t="s">
        <v>236</v>
      </c>
      <c r="N115" t="s">
        <v>240</v>
      </c>
      <c r="O115" s="27">
        <v>46057</v>
      </c>
    </row>
    <row r="116" spans="2:15" hidden="1" x14ac:dyDescent="0.3">
      <c r="B116">
        <v>18872460</v>
      </c>
      <c r="C116" t="s">
        <v>231</v>
      </c>
      <c r="D116">
        <v>74304</v>
      </c>
      <c r="E116" t="s">
        <v>150</v>
      </c>
      <c r="F116" t="s">
        <v>157</v>
      </c>
      <c r="G116" s="28">
        <v>330</v>
      </c>
      <c r="H116" s="32">
        <v>168.99</v>
      </c>
      <c r="I116" s="32">
        <v>28756.2</v>
      </c>
      <c r="J116" t="s">
        <v>249</v>
      </c>
      <c r="K116" t="s">
        <v>249</v>
      </c>
      <c r="L116" t="s">
        <v>235</v>
      </c>
      <c r="M116" t="s">
        <v>236</v>
      </c>
      <c r="N116" t="s">
        <v>237</v>
      </c>
      <c r="O116" s="27">
        <v>46073</v>
      </c>
    </row>
    <row r="117" spans="2:15" hidden="1" x14ac:dyDescent="0.3">
      <c r="B117">
        <v>542586</v>
      </c>
      <c r="C117" t="s">
        <v>260</v>
      </c>
      <c r="D117">
        <v>21468</v>
      </c>
      <c r="E117" t="s">
        <v>150</v>
      </c>
      <c r="F117" t="s">
        <v>266</v>
      </c>
      <c r="G117" s="28">
        <v>280</v>
      </c>
      <c r="H117" s="32">
        <v>161.47</v>
      </c>
      <c r="I117" s="32">
        <v>29772.17</v>
      </c>
      <c r="J117" t="s">
        <v>267</v>
      </c>
      <c r="K117" t="s">
        <v>234</v>
      </c>
      <c r="L117" t="s">
        <v>235</v>
      </c>
      <c r="M117" t="s">
        <v>236</v>
      </c>
      <c r="N117" t="s">
        <v>237</v>
      </c>
      <c r="O117" s="27">
        <v>46062</v>
      </c>
    </row>
    <row r="118" spans="2:15" hidden="1" x14ac:dyDescent="0.3">
      <c r="B118">
        <v>542586</v>
      </c>
      <c r="C118" t="s">
        <v>260</v>
      </c>
      <c r="D118">
        <v>21468</v>
      </c>
      <c r="E118" t="s">
        <v>150</v>
      </c>
      <c r="F118" t="s">
        <v>458</v>
      </c>
      <c r="G118" s="28">
        <v>286</v>
      </c>
      <c r="H118" s="32">
        <v>161.33000000000001</v>
      </c>
      <c r="I118" s="32">
        <v>29746.400000000001</v>
      </c>
      <c r="J118" t="s">
        <v>267</v>
      </c>
      <c r="K118" t="s">
        <v>234</v>
      </c>
      <c r="L118" t="s">
        <v>235</v>
      </c>
      <c r="M118" t="s">
        <v>236</v>
      </c>
      <c r="N118" t="s">
        <v>237</v>
      </c>
      <c r="O118" s="27">
        <v>46062</v>
      </c>
    </row>
    <row r="119" spans="2:15" hidden="1" x14ac:dyDescent="0.3">
      <c r="B119">
        <v>5933489</v>
      </c>
      <c r="C119" t="s">
        <v>231</v>
      </c>
      <c r="D119">
        <v>23648</v>
      </c>
      <c r="E119" t="s">
        <v>150</v>
      </c>
      <c r="F119" t="s">
        <v>232</v>
      </c>
      <c r="G119" s="28">
        <v>231</v>
      </c>
      <c r="H119" s="32">
        <v>160.4</v>
      </c>
      <c r="I119" s="32">
        <v>27038.5</v>
      </c>
      <c r="J119" t="s">
        <v>233</v>
      </c>
      <c r="K119" t="s">
        <v>234</v>
      </c>
      <c r="L119" t="s">
        <v>235</v>
      </c>
      <c r="M119" t="s">
        <v>236</v>
      </c>
      <c r="N119" t="s">
        <v>237</v>
      </c>
      <c r="O119" s="27">
        <v>46055</v>
      </c>
    </row>
    <row r="120" spans="2:15" hidden="1" x14ac:dyDescent="0.3">
      <c r="B120">
        <v>3065087</v>
      </c>
      <c r="C120" t="s">
        <v>231</v>
      </c>
      <c r="D120">
        <v>22674</v>
      </c>
      <c r="E120" t="s">
        <v>150</v>
      </c>
      <c r="F120" t="s">
        <v>285</v>
      </c>
      <c r="G120" s="28">
        <v>500</v>
      </c>
      <c r="H120" s="32">
        <v>159.69</v>
      </c>
      <c r="I120" s="32">
        <v>29446</v>
      </c>
      <c r="J120" t="s">
        <v>239</v>
      </c>
      <c r="K120" t="s">
        <v>234</v>
      </c>
      <c r="L120" t="s">
        <v>235</v>
      </c>
      <c r="M120" t="s">
        <v>236</v>
      </c>
      <c r="N120" t="s">
        <v>237</v>
      </c>
      <c r="O120" s="27">
        <v>46064</v>
      </c>
    </row>
    <row r="121" spans="2:15" hidden="1" x14ac:dyDescent="0.3">
      <c r="B121">
        <v>4051319</v>
      </c>
      <c r="C121" t="s">
        <v>231</v>
      </c>
      <c r="D121">
        <v>22674</v>
      </c>
      <c r="E121" t="s">
        <v>150</v>
      </c>
      <c r="F121" t="s">
        <v>285</v>
      </c>
      <c r="G121" s="28">
        <v>500</v>
      </c>
      <c r="H121" s="32">
        <v>159.66</v>
      </c>
      <c r="I121" s="32">
        <v>29439</v>
      </c>
      <c r="J121" t="s">
        <v>239</v>
      </c>
      <c r="K121" t="s">
        <v>234</v>
      </c>
      <c r="L121" t="s">
        <v>235</v>
      </c>
      <c r="M121" t="s">
        <v>236</v>
      </c>
      <c r="N121" t="s">
        <v>237</v>
      </c>
      <c r="O121" s="27">
        <v>46065</v>
      </c>
    </row>
    <row r="122" spans="2:15" hidden="1" x14ac:dyDescent="0.3">
      <c r="B122">
        <v>293951</v>
      </c>
      <c r="C122" t="s">
        <v>231</v>
      </c>
      <c r="D122">
        <v>25619</v>
      </c>
      <c r="E122" t="s">
        <v>150</v>
      </c>
      <c r="F122" t="s">
        <v>285</v>
      </c>
      <c r="G122" s="28">
        <v>500</v>
      </c>
      <c r="H122" s="32">
        <v>159.6</v>
      </c>
      <c r="I122" s="32">
        <v>29430</v>
      </c>
      <c r="J122" t="s">
        <v>239</v>
      </c>
      <c r="K122" t="s">
        <v>234</v>
      </c>
      <c r="L122" t="s">
        <v>235</v>
      </c>
      <c r="M122" t="s">
        <v>236</v>
      </c>
      <c r="N122" t="s">
        <v>237</v>
      </c>
      <c r="O122" s="27">
        <v>46064</v>
      </c>
    </row>
    <row r="123" spans="2:15" hidden="1" x14ac:dyDescent="0.3">
      <c r="B123">
        <v>4382412</v>
      </c>
      <c r="C123" t="s">
        <v>231</v>
      </c>
      <c r="D123">
        <v>49894</v>
      </c>
      <c r="E123" t="s">
        <v>150</v>
      </c>
      <c r="F123" t="s">
        <v>284</v>
      </c>
      <c r="G123" s="28">
        <v>700</v>
      </c>
      <c r="H123" s="32">
        <v>159.5</v>
      </c>
      <c r="I123" s="32">
        <v>29230</v>
      </c>
      <c r="J123" t="s">
        <v>239</v>
      </c>
      <c r="K123" t="s">
        <v>245</v>
      </c>
      <c r="L123" t="s">
        <v>235</v>
      </c>
      <c r="M123" t="s">
        <v>236</v>
      </c>
      <c r="N123" t="s">
        <v>240</v>
      </c>
      <c r="O123" s="27">
        <v>46059</v>
      </c>
    </row>
    <row r="124" spans="2:15" hidden="1" x14ac:dyDescent="0.3">
      <c r="B124">
        <v>8223591</v>
      </c>
      <c r="C124" t="s">
        <v>231</v>
      </c>
      <c r="D124">
        <v>25104</v>
      </c>
      <c r="E124" t="s">
        <v>150</v>
      </c>
      <c r="F124" t="s">
        <v>834</v>
      </c>
      <c r="G124" s="28">
        <v>5000</v>
      </c>
      <c r="H124" s="32">
        <v>159.46</v>
      </c>
      <c r="I124" s="32">
        <v>26850</v>
      </c>
      <c r="J124" t="s">
        <v>239</v>
      </c>
      <c r="K124" t="s">
        <v>234</v>
      </c>
      <c r="L124" t="s">
        <v>235</v>
      </c>
      <c r="M124" t="s">
        <v>236</v>
      </c>
      <c r="N124" t="s">
        <v>237</v>
      </c>
      <c r="O124" s="27">
        <v>46076</v>
      </c>
    </row>
    <row r="125" spans="2:15" hidden="1" x14ac:dyDescent="0.3">
      <c r="B125">
        <v>6027332</v>
      </c>
      <c r="C125" t="s">
        <v>231</v>
      </c>
      <c r="D125">
        <v>23410</v>
      </c>
      <c r="E125" t="s">
        <v>150</v>
      </c>
      <c r="F125" t="s">
        <v>258</v>
      </c>
      <c r="G125" s="28">
        <v>2731</v>
      </c>
      <c r="H125" s="32">
        <v>159.41999999999999</v>
      </c>
      <c r="I125" s="32">
        <v>29532.59</v>
      </c>
      <c r="J125" t="s">
        <v>239</v>
      </c>
      <c r="K125" t="s">
        <v>245</v>
      </c>
      <c r="L125" t="s">
        <v>235</v>
      </c>
      <c r="M125" t="s">
        <v>236</v>
      </c>
      <c r="N125" t="s">
        <v>240</v>
      </c>
      <c r="O125" s="27">
        <v>46055</v>
      </c>
    </row>
    <row r="126" spans="2:15" hidden="1" x14ac:dyDescent="0.3">
      <c r="B126">
        <v>7042740</v>
      </c>
      <c r="C126" t="s">
        <v>231</v>
      </c>
      <c r="D126">
        <v>25104</v>
      </c>
      <c r="E126" t="s">
        <v>150</v>
      </c>
      <c r="F126" t="s">
        <v>834</v>
      </c>
      <c r="G126" s="28">
        <v>5000</v>
      </c>
      <c r="H126" s="32">
        <v>158.99</v>
      </c>
      <c r="I126" s="32">
        <v>26757</v>
      </c>
      <c r="J126" t="s">
        <v>239</v>
      </c>
      <c r="K126" t="s">
        <v>234</v>
      </c>
      <c r="L126" t="s">
        <v>235</v>
      </c>
      <c r="M126" t="s">
        <v>236</v>
      </c>
      <c r="N126" t="s">
        <v>237</v>
      </c>
      <c r="O126" s="27">
        <v>46076</v>
      </c>
    </row>
    <row r="127" spans="2:15" x14ac:dyDescent="0.3">
      <c r="B127">
        <v>5658854</v>
      </c>
      <c r="C127" t="s">
        <v>231</v>
      </c>
      <c r="D127">
        <v>22103</v>
      </c>
      <c r="E127" t="s">
        <v>150</v>
      </c>
      <c r="F127" t="s">
        <v>337</v>
      </c>
      <c r="G127" s="28">
        <v>900</v>
      </c>
      <c r="H127" s="32">
        <v>158.85</v>
      </c>
      <c r="I127" s="32">
        <v>31616</v>
      </c>
      <c r="J127" t="s">
        <v>239</v>
      </c>
      <c r="K127" t="s">
        <v>234</v>
      </c>
      <c r="L127" t="s">
        <v>235</v>
      </c>
      <c r="M127" t="s">
        <v>236</v>
      </c>
      <c r="N127" t="s">
        <v>240</v>
      </c>
      <c r="O127" s="27">
        <v>46076</v>
      </c>
    </row>
    <row r="128" spans="2:15" hidden="1" x14ac:dyDescent="0.3">
      <c r="B128">
        <v>7064277</v>
      </c>
      <c r="C128" t="s">
        <v>260</v>
      </c>
      <c r="D128">
        <v>25104</v>
      </c>
      <c r="E128" t="s">
        <v>150</v>
      </c>
      <c r="F128" t="s">
        <v>834</v>
      </c>
      <c r="G128" s="28">
        <v>5000</v>
      </c>
      <c r="H128" s="32">
        <v>158.46</v>
      </c>
      <c r="I128" s="32">
        <v>26650</v>
      </c>
      <c r="J128" t="s">
        <v>239</v>
      </c>
      <c r="K128" t="s">
        <v>234</v>
      </c>
      <c r="L128" t="s">
        <v>235</v>
      </c>
      <c r="M128" t="s">
        <v>236</v>
      </c>
      <c r="N128" t="s">
        <v>237</v>
      </c>
      <c r="O128" s="27">
        <v>46076</v>
      </c>
    </row>
    <row r="129" spans="2:15" hidden="1" x14ac:dyDescent="0.3">
      <c r="B129">
        <v>6027332</v>
      </c>
      <c r="C129" t="s">
        <v>231</v>
      </c>
      <c r="D129">
        <v>23410</v>
      </c>
      <c r="E129" t="s">
        <v>150</v>
      </c>
      <c r="F129" t="s">
        <v>289</v>
      </c>
      <c r="G129" s="28">
        <v>1359</v>
      </c>
      <c r="H129" s="32">
        <v>157.56</v>
      </c>
      <c r="I129" s="32">
        <v>29199.54</v>
      </c>
      <c r="J129" t="s">
        <v>239</v>
      </c>
      <c r="K129" t="s">
        <v>245</v>
      </c>
      <c r="L129" t="s">
        <v>235</v>
      </c>
      <c r="M129" t="s">
        <v>236</v>
      </c>
      <c r="N129" t="s">
        <v>237</v>
      </c>
      <c r="O129" s="27">
        <v>46055</v>
      </c>
    </row>
    <row r="130" spans="2:15" hidden="1" x14ac:dyDescent="0.3">
      <c r="B130">
        <v>5567161</v>
      </c>
      <c r="C130" t="s">
        <v>231</v>
      </c>
      <c r="D130">
        <v>24415</v>
      </c>
      <c r="E130" t="s">
        <v>150</v>
      </c>
      <c r="F130" t="s">
        <v>283</v>
      </c>
      <c r="G130" s="28">
        <v>2700</v>
      </c>
      <c r="H130" s="32">
        <v>157.44999999999999</v>
      </c>
      <c r="I130" s="32">
        <v>30618</v>
      </c>
      <c r="J130" t="s">
        <v>239</v>
      </c>
      <c r="K130" t="s">
        <v>245</v>
      </c>
      <c r="L130" t="s">
        <v>235</v>
      </c>
      <c r="M130" t="s">
        <v>236</v>
      </c>
      <c r="N130" t="s">
        <v>240</v>
      </c>
      <c r="O130" s="27">
        <v>46063</v>
      </c>
    </row>
    <row r="131" spans="2:15" hidden="1" x14ac:dyDescent="0.3">
      <c r="B131">
        <v>16951176</v>
      </c>
      <c r="C131" t="s">
        <v>231</v>
      </c>
      <c r="D131">
        <v>49894</v>
      </c>
      <c r="E131" t="s">
        <v>150</v>
      </c>
      <c r="F131" t="s">
        <v>332</v>
      </c>
      <c r="G131" s="28">
        <v>951</v>
      </c>
      <c r="H131" s="32">
        <v>156.65</v>
      </c>
      <c r="I131" s="32">
        <v>28871.06</v>
      </c>
      <c r="J131" t="s">
        <v>239</v>
      </c>
      <c r="K131" t="s">
        <v>245</v>
      </c>
      <c r="L131" t="s">
        <v>235</v>
      </c>
      <c r="M131" t="s">
        <v>236</v>
      </c>
      <c r="N131" t="s">
        <v>237</v>
      </c>
      <c r="O131" s="27">
        <v>46056</v>
      </c>
    </row>
    <row r="132" spans="2:15" hidden="1" x14ac:dyDescent="0.3">
      <c r="B132">
        <v>8128821</v>
      </c>
      <c r="C132" t="s">
        <v>231</v>
      </c>
      <c r="D132">
        <v>25619</v>
      </c>
      <c r="E132" t="s">
        <v>150</v>
      </c>
      <c r="F132" t="s">
        <v>296</v>
      </c>
      <c r="G132" s="28">
        <v>700</v>
      </c>
      <c r="H132" s="32">
        <v>156.36000000000001</v>
      </c>
      <c r="I132" s="32">
        <v>26229</v>
      </c>
      <c r="J132" t="s">
        <v>249</v>
      </c>
      <c r="K132" t="s">
        <v>249</v>
      </c>
      <c r="L132" t="s">
        <v>235</v>
      </c>
      <c r="M132" t="s">
        <v>236</v>
      </c>
      <c r="N132" t="s">
        <v>237</v>
      </c>
      <c r="O132" s="27">
        <v>46065</v>
      </c>
    </row>
    <row r="133" spans="2:15" hidden="1" x14ac:dyDescent="0.3">
      <c r="B133">
        <v>307208</v>
      </c>
      <c r="C133" t="s">
        <v>231</v>
      </c>
      <c r="D133">
        <v>25619</v>
      </c>
      <c r="E133" t="s">
        <v>150</v>
      </c>
      <c r="F133" t="s">
        <v>285</v>
      </c>
      <c r="G133" s="28">
        <v>500</v>
      </c>
      <c r="H133" s="32">
        <v>156.01</v>
      </c>
      <c r="I133" s="32">
        <v>29485</v>
      </c>
      <c r="J133" t="s">
        <v>239</v>
      </c>
      <c r="K133" t="s">
        <v>234</v>
      </c>
      <c r="L133" t="s">
        <v>235</v>
      </c>
      <c r="M133" t="s">
        <v>236</v>
      </c>
      <c r="N133" t="s">
        <v>237</v>
      </c>
      <c r="O133" s="27">
        <v>46064</v>
      </c>
    </row>
    <row r="134" spans="2:15" hidden="1" x14ac:dyDescent="0.3">
      <c r="B134">
        <v>7042740</v>
      </c>
      <c r="C134" t="s">
        <v>231</v>
      </c>
      <c r="D134">
        <v>25104</v>
      </c>
      <c r="E134" t="s">
        <v>150</v>
      </c>
      <c r="F134" t="s">
        <v>160</v>
      </c>
      <c r="G134" s="28">
        <v>300</v>
      </c>
      <c r="H134" s="32">
        <v>155.69</v>
      </c>
      <c r="I134" s="32">
        <v>26259</v>
      </c>
      <c r="J134" t="s">
        <v>239</v>
      </c>
      <c r="K134" t="s">
        <v>234</v>
      </c>
      <c r="L134" t="s">
        <v>235</v>
      </c>
      <c r="M134" t="s">
        <v>236</v>
      </c>
      <c r="N134" t="s">
        <v>240</v>
      </c>
      <c r="O134" s="27">
        <v>46062</v>
      </c>
    </row>
    <row r="135" spans="2:15" hidden="1" x14ac:dyDescent="0.3">
      <c r="B135">
        <v>2013549</v>
      </c>
      <c r="C135" t="s">
        <v>231</v>
      </c>
      <c r="D135">
        <v>23648</v>
      </c>
      <c r="E135" t="s">
        <v>150</v>
      </c>
      <c r="F135" t="s">
        <v>316</v>
      </c>
      <c r="G135" s="28">
        <v>262</v>
      </c>
      <c r="H135" s="32">
        <v>152.1</v>
      </c>
      <c r="I135" s="32">
        <v>29606.02</v>
      </c>
      <c r="J135" t="s">
        <v>256</v>
      </c>
      <c r="K135" t="s">
        <v>234</v>
      </c>
      <c r="L135" t="s">
        <v>235</v>
      </c>
      <c r="M135" t="s">
        <v>236</v>
      </c>
      <c r="N135" t="s">
        <v>240</v>
      </c>
      <c r="O135" s="27">
        <v>46059</v>
      </c>
    </row>
    <row r="136" spans="2:15" hidden="1" x14ac:dyDescent="0.3">
      <c r="B136">
        <v>4610798</v>
      </c>
      <c r="C136" t="s">
        <v>231</v>
      </c>
      <c r="D136">
        <v>24415</v>
      </c>
      <c r="E136" t="s">
        <v>150</v>
      </c>
      <c r="F136" t="s">
        <v>281</v>
      </c>
      <c r="G136" s="28">
        <v>4800</v>
      </c>
      <c r="H136" s="32">
        <v>151.84</v>
      </c>
      <c r="I136" s="32">
        <v>0</v>
      </c>
      <c r="J136" t="s">
        <v>233</v>
      </c>
      <c r="K136" t="s">
        <v>245</v>
      </c>
      <c r="L136" t="s">
        <v>235</v>
      </c>
      <c r="M136" t="s">
        <v>265</v>
      </c>
      <c r="N136" t="s">
        <v>240</v>
      </c>
      <c r="O136" s="27">
        <v>46056</v>
      </c>
    </row>
    <row r="137" spans="2:15" hidden="1" x14ac:dyDescent="0.3">
      <c r="B137">
        <v>9368778</v>
      </c>
      <c r="C137" t="s">
        <v>260</v>
      </c>
      <c r="D137">
        <v>71881</v>
      </c>
      <c r="E137" t="s">
        <v>150</v>
      </c>
      <c r="F137" t="s">
        <v>324</v>
      </c>
      <c r="G137" s="28">
        <v>264</v>
      </c>
      <c r="H137" s="32">
        <v>151.43</v>
      </c>
      <c r="I137" s="32">
        <v>25244.48</v>
      </c>
      <c r="J137" t="s">
        <v>267</v>
      </c>
      <c r="K137" t="s">
        <v>234</v>
      </c>
      <c r="L137" t="s">
        <v>235</v>
      </c>
      <c r="M137" t="s">
        <v>236</v>
      </c>
      <c r="N137" t="s">
        <v>240</v>
      </c>
      <c r="O137" s="27">
        <v>46056</v>
      </c>
    </row>
    <row r="138" spans="2:15" hidden="1" x14ac:dyDescent="0.3">
      <c r="B138">
        <v>16951176</v>
      </c>
      <c r="C138" t="s">
        <v>231</v>
      </c>
      <c r="D138">
        <v>49894</v>
      </c>
      <c r="E138" t="s">
        <v>150</v>
      </c>
      <c r="F138" t="s">
        <v>284</v>
      </c>
      <c r="G138" s="28">
        <v>700</v>
      </c>
      <c r="H138" s="32">
        <v>150.13999999999999</v>
      </c>
      <c r="I138" s="32">
        <v>29598</v>
      </c>
      <c r="J138" t="s">
        <v>239</v>
      </c>
      <c r="K138" t="s">
        <v>245</v>
      </c>
      <c r="L138" t="s">
        <v>235</v>
      </c>
      <c r="M138" t="s">
        <v>236</v>
      </c>
      <c r="N138" t="s">
        <v>240</v>
      </c>
      <c r="O138" s="27">
        <v>46057</v>
      </c>
    </row>
    <row r="139" spans="2:15" hidden="1" x14ac:dyDescent="0.3">
      <c r="B139">
        <v>234138</v>
      </c>
      <c r="C139" t="s">
        <v>231</v>
      </c>
      <c r="D139">
        <v>22674</v>
      </c>
      <c r="E139" t="s">
        <v>150</v>
      </c>
      <c r="F139" t="s">
        <v>166</v>
      </c>
      <c r="G139" s="28">
        <v>1300</v>
      </c>
      <c r="H139" s="32">
        <v>150.08000000000001</v>
      </c>
      <c r="I139" s="32">
        <v>24973</v>
      </c>
      <c r="J139" t="s">
        <v>239</v>
      </c>
      <c r="K139" t="s">
        <v>234</v>
      </c>
      <c r="L139" t="s">
        <v>235</v>
      </c>
      <c r="M139" t="s">
        <v>236</v>
      </c>
      <c r="N139" t="s">
        <v>237</v>
      </c>
      <c r="O139" s="27">
        <v>46056</v>
      </c>
    </row>
    <row r="140" spans="2:15" hidden="1" x14ac:dyDescent="0.3">
      <c r="B140">
        <v>16951176</v>
      </c>
      <c r="C140" t="s">
        <v>231</v>
      </c>
      <c r="D140">
        <v>49894</v>
      </c>
      <c r="E140" t="s">
        <v>150</v>
      </c>
      <c r="F140" t="s">
        <v>450</v>
      </c>
      <c r="G140" s="28">
        <v>1624</v>
      </c>
      <c r="H140" s="32">
        <v>149.91</v>
      </c>
      <c r="I140" s="32">
        <v>27631.59</v>
      </c>
      <c r="J140" t="s">
        <v>239</v>
      </c>
      <c r="K140" t="s">
        <v>245</v>
      </c>
      <c r="L140" t="s">
        <v>235</v>
      </c>
      <c r="M140" t="s">
        <v>236</v>
      </c>
      <c r="N140" t="s">
        <v>240</v>
      </c>
      <c r="O140" s="27">
        <v>46056</v>
      </c>
    </row>
    <row r="141" spans="2:15" hidden="1" x14ac:dyDescent="0.3">
      <c r="B141">
        <v>9850540</v>
      </c>
      <c r="C141" t="s">
        <v>231</v>
      </c>
      <c r="D141">
        <v>23648</v>
      </c>
      <c r="E141" t="s">
        <v>150</v>
      </c>
      <c r="F141" t="s">
        <v>160</v>
      </c>
      <c r="G141" s="28">
        <v>300</v>
      </c>
      <c r="H141" s="32">
        <v>148.74</v>
      </c>
      <c r="I141" s="32">
        <v>26568</v>
      </c>
      <c r="J141" t="s">
        <v>239</v>
      </c>
      <c r="K141" t="s">
        <v>234</v>
      </c>
      <c r="L141" t="s">
        <v>235</v>
      </c>
      <c r="M141" t="s">
        <v>236</v>
      </c>
      <c r="N141" t="s">
        <v>240</v>
      </c>
      <c r="O141" s="27">
        <v>46058</v>
      </c>
    </row>
    <row r="142" spans="2:15" hidden="1" x14ac:dyDescent="0.3">
      <c r="B142">
        <v>5751194</v>
      </c>
      <c r="C142" t="s">
        <v>260</v>
      </c>
      <c r="D142">
        <v>25104</v>
      </c>
      <c r="E142" t="s">
        <v>150</v>
      </c>
      <c r="F142" t="s">
        <v>160</v>
      </c>
      <c r="G142" s="28">
        <v>400</v>
      </c>
      <c r="H142" s="32">
        <v>148.51</v>
      </c>
      <c r="I142" s="32">
        <v>35660</v>
      </c>
      <c r="J142" t="s">
        <v>239</v>
      </c>
      <c r="K142" t="s">
        <v>234</v>
      </c>
      <c r="L142" t="s">
        <v>235</v>
      </c>
      <c r="M142" t="s">
        <v>236</v>
      </c>
      <c r="N142" t="s">
        <v>240</v>
      </c>
      <c r="O142" s="27">
        <v>46064</v>
      </c>
    </row>
    <row r="143" spans="2:15" hidden="1" x14ac:dyDescent="0.3">
      <c r="B143">
        <v>3478209</v>
      </c>
      <c r="C143" t="s">
        <v>231</v>
      </c>
      <c r="D143">
        <v>21559</v>
      </c>
      <c r="E143" t="s">
        <v>150</v>
      </c>
      <c r="F143" t="s">
        <v>298</v>
      </c>
      <c r="G143" s="28">
        <v>952</v>
      </c>
      <c r="H143" s="32">
        <v>148.47999999999999</v>
      </c>
      <c r="I143" s="32">
        <v>16576.189999999999</v>
      </c>
      <c r="J143" t="s">
        <v>239</v>
      </c>
      <c r="K143" t="s">
        <v>245</v>
      </c>
      <c r="L143" t="s">
        <v>235</v>
      </c>
      <c r="M143" t="s">
        <v>236</v>
      </c>
      <c r="N143" t="s">
        <v>237</v>
      </c>
      <c r="O143" s="27">
        <v>46063</v>
      </c>
    </row>
    <row r="144" spans="2:15" hidden="1" x14ac:dyDescent="0.3">
      <c r="B144">
        <v>16951176</v>
      </c>
      <c r="C144" t="s">
        <v>231</v>
      </c>
      <c r="D144">
        <v>49894</v>
      </c>
      <c r="E144" t="s">
        <v>150</v>
      </c>
      <c r="F144" t="s">
        <v>277</v>
      </c>
      <c r="G144" s="28">
        <v>800</v>
      </c>
      <c r="H144" s="32">
        <v>148.36000000000001</v>
      </c>
      <c r="I144" s="32">
        <v>29247</v>
      </c>
      <c r="J144" t="s">
        <v>239</v>
      </c>
      <c r="K144" t="s">
        <v>245</v>
      </c>
      <c r="L144" t="s">
        <v>235</v>
      </c>
      <c r="M144" t="s">
        <v>236</v>
      </c>
      <c r="N144" t="s">
        <v>237</v>
      </c>
      <c r="O144" s="27">
        <v>46057</v>
      </c>
    </row>
    <row r="145" spans="2:15" hidden="1" x14ac:dyDescent="0.3">
      <c r="B145">
        <v>9799059</v>
      </c>
      <c r="C145" t="s">
        <v>260</v>
      </c>
      <c r="D145">
        <v>38675</v>
      </c>
      <c r="E145" t="s">
        <v>150</v>
      </c>
      <c r="F145" t="s">
        <v>338</v>
      </c>
      <c r="G145" s="28">
        <v>418</v>
      </c>
      <c r="H145" s="32">
        <v>145.28</v>
      </c>
      <c r="I145" s="32">
        <v>27242.12</v>
      </c>
      <c r="J145" t="s">
        <v>239</v>
      </c>
      <c r="K145" t="s">
        <v>245</v>
      </c>
      <c r="L145" t="s">
        <v>235</v>
      </c>
      <c r="M145" t="s">
        <v>236</v>
      </c>
      <c r="N145" t="s">
        <v>237</v>
      </c>
      <c r="O145" s="27">
        <v>46072</v>
      </c>
    </row>
    <row r="146" spans="2:15" hidden="1" x14ac:dyDescent="0.3">
      <c r="B146">
        <v>9799059</v>
      </c>
      <c r="C146" t="s">
        <v>260</v>
      </c>
      <c r="D146">
        <v>38675</v>
      </c>
      <c r="E146" t="s">
        <v>150</v>
      </c>
      <c r="F146" t="s">
        <v>320</v>
      </c>
      <c r="G146" s="28">
        <v>707</v>
      </c>
      <c r="H146" s="32">
        <v>143.9</v>
      </c>
      <c r="I146" s="32">
        <v>29047.16</v>
      </c>
      <c r="J146" t="s">
        <v>239</v>
      </c>
      <c r="K146" t="s">
        <v>245</v>
      </c>
      <c r="L146" t="s">
        <v>235</v>
      </c>
      <c r="M146" t="s">
        <v>236</v>
      </c>
      <c r="N146" t="s">
        <v>240</v>
      </c>
      <c r="O146" s="27">
        <v>46072</v>
      </c>
    </row>
    <row r="147" spans="2:15" hidden="1" x14ac:dyDescent="0.3">
      <c r="B147">
        <v>307208</v>
      </c>
      <c r="C147" t="s">
        <v>231</v>
      </c>
      <c r="D147">
        <v>25619</v>
      </c>
      <c r="E147" t="s">
        <v>150</v>
      </c>
      <c r="F147" t="s">
        <v>296</v>
      </c>
      <c r="G147" s="28">
        <v>700</v>
      </c>
      <c r="H147" s="32">
        <v>143.15</v>
      </c>
      <c r="I147" s="32">
        <v>27055</v>
      </c>
      <c r="J147" t="s">
        <v>249</v>
      </c>
      <c r="K147" t="s">
        <v>249</v>
      </c>
      <c r="L147" t="s">
        <v>235</v>
      </c>
      <c r="M147" t="s">
        <v>236</v>
      </c>
      <c r="N147" t="s">
        <v>237</v>
      </c>
      <c r="O147" s="27">
        <v>46064</v>
      </c>
    </row>
    <row r="148" spans="2:15" hidden="1" x14ac:dyDescent="0.3">
      <c r="B148">
        <v>2735150</v>
      </c>
      <c r="C148" t="s">
        <v>231</v>
      </c>
      <c r="D148">
        <v>49894</v>
      </c>
      <c r="E148" t="s">
        <v>150</v>
      </c>
      <c r="F148" t="s">
        <v>289</v>
      </c>
      <c r="G148" s="28">
        <v>1300</v>
      </c>
      <c r="H148" s="32">
        <v>142.77000000000001</v>
      </c>
      <c r="I148" s="32">
        <v>25987</v>
      </c>
      <c r="J148" t="s">
        <v>239</v>
      </c>
      <c r="K148" t="s">
        <v>245</v>
      </c>
      <c r="L148" t="s">
        <v>235</v>
      </c>
      <c r="M148" t="s">
        <v>236</v>
      </c>
      <c r="N148" t="s">
        <v>237</v>
      </c>
      <c r="O148" s="27">
        <v>46059</v>
      </c>
    </row>
    <row r="149" spans="2:15" hidden="1" x14ac:dyDescent="0.3">
      <c r="B149">
        <v>272204</v>
      </c>
      <c r="C149" t="s">
        <v>231</v>
      </c>
      <c r="D149">
        <v>23648</v>
      </c>
      <c r="E149" t="s">
        <v>150</v>
      </c>
      <c r="F149" t="s">
        <v>163</v>
      </c>
      <c r="G149" s="28">
        <v>923</v>
      </c>
      <c r="H149" s="32">
        <v>141.91999999999999</v>
      </c>
      <c r="I149" s="32">
        <v>12885.85</v>
      </c>
      <c r="J149" t="s">
        <v>239</v>
      </c>
      <c r="K149" t="s">
        <v>245</v>
      </c>
      <c r="L149" t="s">
        <v>235</v>
      </c>
      <c r="M149" t="s">
        <v>236</v>
      </c>
      <c r="N149" t="s">
        <v>237</v>
      </c>
      <c r="O149" s="27">
        <v>46063</v>
      </c>
    </row>
    <row r="150" spans="2:15" hidden="1" x14ac:dyDescent="0.3">
      <c r="B150">
        <v>4382412</v>
      </c>
      <c r="C150" t="s">
        <v>231</v>
      </c>
      <c r="D150">
        <v>49894</v>
      </c>
      <c r="E150" t="s">
        <v>150</v>
      </c>
      <c r="F150" t="s">
        <v>289</v>
      </c>
      <c r="G150" s="28">
        <v>1300</v>
      </c>
      <c r="H150" s="32">
        <v>141.72999999999999</v>
      </c>
      <c r="I150" s="32">
        <v>25974</v>
      </c>
      <c r="J150" t="s">
        <v>239</v>
      </c>
      <c r="K150" t="s">
        <v>245</v>
      </c>
      <c r="L150" t="s">
        <v>235</v>
      </c>
      <c r="M150" t="s">
        <v>236</v>
      </c>
      <c r="N150" t="s">
        <v>237</v>
      </c>
      <c r="O150" s="27">
        <v>46059</v>
      </c>
    </row>
    <row r="151" spans="2:15" hidden="1" x14ac:dyDescent="0.3">
      <c r="B151">
        <v>7215849</v>
      </c>
      <c r="C151" t="s">
        <v>231</v>
      </c>
      <c r="D151">
        <v>20020</v>
      </c>
      <c r="E151" t="s">
        <v>150</v>
      </c>
      <c r="F151" t="s">
        <v>464</v>
      </c>
      <c r="G151" s="28">
        <v>1212</v>
      </c>
      <c r="H151" s="32">
        <v>141.08000000000001</v>
      </c>
      <c r="I151" s="32">
        <v>23173.439999999999</v>
      </c>
      <c r="J151" t="s">
        <v>241</v>
      </c>
      <c r="K151" t="s">
        <v>242</v>
      </c>
      <c r="L151" t="s">
        <v>235</v>
      </c>
      <c r="M151" t="s">
        <v>236</v>
      </c>
      <c r="N151" t="s">
        <v>240</v>
      </c>
      <c r="O151" s="27">
        <v>46073</v>
      </c>
    </row>
    <row r="152" spans="2:15" hidden="1" x14ac:dyDescent="0.3">
      <c r="B152">
        <v>16951176</v>
      </c>
      <c r="C152" t="s">
        <v>231</v>
      </c>
      <c r="D152">
        <v>49894</v>
      </c>
      <c r="E152" t="s">
        <v>150</v>
      </c>
      <c r="F152" t="s">
        <v>289</v>
      </c>
      <c r="G152" s="28">
        <v>1300</v>
      </c>
      <c r="H152" s="32">
        <v>140.26</v>
      </c>
      <c r="I152" s="32">
        <v>27651</v>
      </c>
      <c r="J152" t="s">
        <v>239</v>
      </c>
      <c r="K152" t="s">
        <v>245</v>
      </c>
      <c r="L152" t="s">
        <v>235</v>
      </c>
      <c r="M152" t="s">
        <v>236</v>
      </c>
      <c r="N152" t="s">
        <v>237</v>
      </c>
      <c r="O152" s="27">
        <v>46057</v>
      </c>
    </row>
    <row r="153" spans="2:15" hidden="1" x14ac:dyDescent="0.3">
      <c r="B153">
        <v>9056724</v>
      </c>
      <c r="C153" t="s">
        <v>231</v>
      </c>
      <c r="D153">
        <v>21559</v>
      </c>
      <c r="E153" t="s">
        <v>150</v>
      </c>
      <c r="F153" t="s">
        <v>157</v>
      </c>
      <c r="G153" s="28">
        <v>260</v>
      </c>
      <c r="H153" s="32">
        <v>140.22</v>
      </c>
      <c r="I153" s="32">
        <v>23002.2</v>
      </c>
      <c r="J153" t="s">
        <v>249</v>
      </c>
      <c r="K153" t="s">
        <v>249</v>
      </c>
      <c r="L153" t="s">
        <v>235</v>
      </c>
      <c r="M153" t="s">
        <v>236</v>
      </c>
      <c r="N153" t="s">
        <v>237</v>
      </c>
      <c r="O153" s="27">
        <v>46063</v>
      </c>
    </row>
    <row r="154" spans="2:15" hidden="1" x14ac:dyDescent="0.3">
      <c r="B154">
        <v>2727239</v>
      </c>
      <c r="C154" t="s">
        <v>231</v>
      </c>
      <c r="D154">
        <v>21559</v>
      </c>
      <c r="E154" t="s">
        <v>150</v>
      </c>
      <c r="F154" t="s">
        <v>254</v>
      </c>
      <c r="G154" s="28">
        <v>1100</v>
      </c>
      <c r="H154" s="32">
        <v>139.66999999999999</v>
      </c>
      <c r="I154" s="32">
        <v>22891</v>
      </c>
      <c r="J154" t="s">
        <v>249</v>
      </c>
      <c r="K154" t="s">
        <v>249</v>
      </c>
      <c r="L154" t="s">
        <v>235</v>
      </c>
      <c r="M154" t="s">
        <v>236</v>
      </c>
      <c r="N154" t="s">
        <v>237</v>
      </c>
      <c r="O154" s="27">
        <v>46057</v>
      </c>
    </row>
    <row r="155" spans="2:15" hidden="1" x14ac:dyDescent="0.3">
      <c r="B155">
        <v>16951165</v>
      </c>
      <c r="C155" t="s">
        <v>231</v>
      </c>
      <c r="D155">
        <v>49894</v>
      </c>
      <c r="E155" t="s">
        <v>150</v>
      </c>
      <c r="F155" t="s">
        <v>280</v>
      </c>
      <c r="G155" s="28">
        <v>300</v>
      </c>
      <c r="H155" s="32">
        <v>139.11000000000001</v>
      </c>
      <c r="I155" s="32">
        <v>27294.04</v>
      </c>
      <c r="J155" t="s">
        <v>256</v>
      </c>
      <c r="K155" t="s">
        <v>245</v>
      </c>
      <c r="L155" t="s">
        <v>235</v>
      </c>
      <c r="M155" t="s">
        <v>236</v>
      </c>
      <c r="N155" t="s">
        <v>240</v>
      </c>
      <c r="O155" s="27">
        <v>46057</v>
      </c>
    </row>
    <row r="156" spans="2:15" hidden="1" x14ac:dyDescent="0.3">
      <c r="B156">
        <v>575946</v>
      </c>
      <c r="C156" t="s">
        <v>231</v>
      </c>
      <c r="D156">
        <v>25619</v>
      </c>
      <c r="E156" t="s">
        <v>150</v>
      </c>
      <c r="F156" t="s">
        <v>278</v>
      </c>
      <c r="G156" s="28">
        <v>500</v>
      </c>
      <c r="H156" s="32">
        <v>138.55000000000001</v>
      </c>
      <c r="I156" s="32">
        <v>25551</v>
      </c>
      <c r="J156" t="s">
        <v>239</v>
      </c>
      <c r="K156" t="s">
        <v>234</v>
      </c>
      <c r="L156" t="s">
        <v>235</v>
      </c>
      <c r="M156" t="s">
        <v>236</v>
      </c>
      <c r="N156" t="s">
        <v>240</v>
      </c>
      <c r="O156" s="27">
        <v>46064</v>
      </c>
    </row>
    <row r="157" spans="2:15" hidden="1" x14ac:dyDescent="0.3">
      <c r="B157">
        <v>2891613</v>
      </c>
      <c r="C157" t="s">
        <v>260</v>
      </c>
      <c r="D157">
        <v>22674</v>
      </c>
      <c r="E157" t="s">
        <v>150</v>
      </c>
      <c r="F157" t="s">
        <v>278</v>
      </c>
      <c r="G157" s="28">
        <v>500</v>
      </c>
      <c r="H157" s="32">
        <v>138.5</v>
      </c>
      <c r="I157" s="32">
        <v>25545</v>
      </c>
      <c r="J157" t="s">
        <v>239</v>
      </c>
      <c r="K157" t="s">
        <v>234</v>
      </c>
      <c r="L157" t="s">
        <v>235</v>
      </c>
      <c r="M157" t="s">
        <v>236</v>
      </c>
      <c r="N157" t="s">
        <v>240</v>
      </c>
      <c r="O157" s="27">
        <v>46064</v>
      </c>
    </row>
    <row r="158" spans="2:15" hidden="1" x14ac:dyDescent="0.3">
      <c r="B158">
        <v>9673848</v>
      </c>
      <c r="C158" t="s">
        <v>231</v>
      </c>
      <c r="D158">
        <v>22674</v>
      </c>
      <c r="E158" t="s">
        <v>150</v>
      </c>
      <c r="F158" t="s">
        <v>278</v>
      </c>
      <c r="G158" s="28">
        <v>500</v>
      </c>
      <c r="H158" s="32">
        <v>138.4</v>
      </c>
      <c r="I158" s="32">
        <v>25520</v>
      </c>
      <c r="J158" t="s">
        <v>239</v>
      </c>
      <c r="K158" t="s">
        <v>234</v>
      </c>
      <c r="L158" t="s">
        <v>235</v>
      </c>
      <c r="M158" t="s">
        <v>236</v>
      </c>
      <c r="N158" t="s">
        <v>240</v>
      </c>
      <c r="O158" s="27">
        <v>46064</v>
      </c>
    </row>
    <row r="159" spans="2:15" hidden="1" x14ac:dyDescent="0.3">
      <c r="B159">
        <v>3065087</v>
      </c>
      <c r="C159" t="s">
        <v>231</v>
      </c>
      <c r="D159">
        <v>22674</v>
      </c>
      <c r="E159" t="s">
        <v>150</v>
      </c>
      <c r="F159" t="s">
        <v>278</v>
      </c>
      <c r="G159" s="28">
        <v>500</v>
      </c>
      <c r="H159" s="32">
        <v>137.97999999999999</v>
      </c>
      <c r="I159" s="32">
        <v>25444</v>
      </c>
      <c r="J159" t="s">
        <v>239</v>
      </c>
      <c r="K159" t="s">
        <v>234</v>
      </c>
      <c r="L159" t="s">
        <v>235</v>
      </c>
      <c r="M159" t="s">
        <v>236</v>
      </c>
      <c r="N159" t="s">
        <v>240</v>
      </c>
      <c r="O159" s="27">
        <v>46064</v>
      </c>
    </row>
    <row r="160" spans="2:15" hidden="1" x14ac:dyDescent="0.3">
      <c r="B160">
        <v>293951</v>
      </c>
      <c r="C160" t="s">
        <v>231</v>
      </c>
      <c r="D160">
        <v>25619</v>
      </c>
      <c r="E160" t="s">
        <v>150</v>
      </c>
      <c r="F160" t="s">
        <v>278</v>
      </c>
      <c r="G160" s="28">
        <v>500</v>
      </c>
      <c r="H160" s="32">
        <v>137.85</v>
      </c>
      <c r="I160" s="32">
        <v>25421</v>
      </c>
      <c r="J160" t="s">
        <v>239</v>
      </c>
      <c r="K160" t="s">
        <v>234</v>
      </c>
      <c r="L160" t="s">
        <v>235</v>
      </c>
      <c r="M160" t="s">
        <v>236</v>
      </c>
      <c r="N160" t="s">
        <v>240</v>
      </c>
      <c r="O160" s="27">
        <v>46064</v>
      </c>
    </row>
    <row r="161" spans="2:15" hidden="1" x14ac:dyDescent="0.3">
      <c r="B161">
        <v>3106687</v>
      </c>
      <c r="C161" t="s">
        <v>231</v>
      </c>
      <c r="D161">
        <v>22674</v>
      </c>
      <c r="E161" t="s">
        <v>150</v>
      </c>
      <c r="F161" t="s">
        <v>248</v>
      </c>
      <c r="G161" s="28">
        <v>2000</v>
      </c>
      <c r="H161" s="32">
        <v>137.81</v>
      </c>
      <c r="I161" s="32">
        <v>24960</v>
      </c>
      <c r="J161" t="s">
        <v>239</v>
      </c>
      <c r="K161" t="s">
        <v>245</v>
      </c>
      <c r="L161" t="s">
        <v>235</v>
      </c>
      <c r="M161" t="s">
        <v>236</v>
      </c>
      <c r="N161" t="s">
        <v>240</v>
      </c>
      <c r="O161" s="27">
        <v>46055</v>
      </c>
    </row>
    <row r="162" spans="2:15" hidden="1" x14ac:dyDescent="0.3">
      <c r="B162">
        <v>11010432</v>
      </c>
      <c r="C162" t="s">
        <v>231</v>
      </c>
      <c r="D162">
        <v>25619</v>
      </c>
      <c r="E162" t="s">
        <v>150</v>
      </c>
      <c r="F162" t="s">
        <v>296</v>
      </c>
      <c r="G162" s="28">
        <v>600</v>
      </c>
      <c r="H162" s="32">
        <v>137.62</v>
      </c>
      <c r="I162" s="32">
        <v>22482</v>
      </c>
      <c r="J162" t="s">
        <v>249</v>
      </c>
      <c r="K162" t="s">
        <v>249</v>
      </c>
      <c r="L162" t="s">
        <v>235</v>
      </c>
      <c r="M162" t="s">
        <v>236</v>
      </c>
      <c r="N162" t="s">
        <v>237</v>
      </c>
      <c r="O162" s="27">
        <v>46065</v>
      </c>
    </row>
    <row r="163" spans="2:15" hidden="1" x14ac:dyDescent="0.3">
      <c r="B163">
        <v>2735150</v>
      </c>
      <c r="C163" t="s">
        <v>231</v>
      </c>
      <c r="D163">
        <v>49894</v>
      </c>
      <c r="E163" t="s">
        <v>150</v>
      </c>
      <c r="F163" t="s">
        <v>284</v>
      </c>
      <c r="G163" s="28">
        <v>600</v>
      </c>
      <c r="H163" s="32">
        <v>137.59</v>
      </c>
      <c r="I163" s="32">
        <v>25043</v>
      </c>
      <c r="J163" t="s">
        <v>239</v>
      </c>
      <c r="K163" t="s">
        <v>245</v>
      </c>
      <c r="L163" t="s">
        <v>235</v>
      </c>
      <c r="M163" t="s">
        <v>236</v>
      </c>
      <c r="N163" t="s">
        <v>240</v>
      </c>
      <c r="O163" s="27">
        <v>46059</v>
      </c>
    </row>
    <row r="164" spans="2:15" hidden="1" x14ac:dyDescent="0.3">
      <c r="B164">
        <v>4051319</v>
      </c>
      <c r="C164" t="s">
        <v>231</v>
      </c>
      <c r="D164">
        <v>22674</v>
      </c>
      <c r="E164" t="s">
        <v>150</v>
      </c>
      <c r="F164" t="s">
        <v>278</v>
      </c>
      <c r="G164" s="28">
        <v>500</v>
      </c>
      <c r="H164" s="32">
        <v>136.54</v>
      </c>
      <c r="I164" s="32">
        <v>25182</v>
      </c>
      <c r="J164" t="s">
        <v>239</v>
      </c>
      <c r="K164" t="s">
        <v>234</v>
      </c>
      <c r="L164" t="s">
        <v>235</v>
      </c>
      <c r="M164" t="s">
        <v>236</v>
      </c>
      <c r="N164" t="s">
        <v>240</v>
      </c>
      <c r="O164" s="27">
        <v>46065</v>
      </c>
    </row>
    <row r="165" spans="2:15" x14ac:dyDescent="0.3">
      <c r="B165">
        <v>5658854</v>
      </c>
      <c r="C165" t="s">
        <v>231</v>
      </c>
      <c r="D165">
        <v>22103</v>
      </c>
      <c r="E165" t="s">
        <v>150</v>
      </c>
      <c r="F165" t="s">
        <v>246</v>
      </c>
      <c r="G165" s="28">
        <v>700</v>
      </c>
      <c r="H165" s="32">
        <v>136.08000000000001</v>
      </c>
      <c r="I165" s="32">
        <v>27083</v>
      </c>
      <c r="J165" t="s">
        <v>239</v>
      </c>
      <c r="K165" t="s">
        <v>234</v>
      </c>
      <c r="L165" t="s">
        <v>235</v>
      </c>
      <c r="M165" t="s">
        <v>236</v>
      </c>
      <c r="N165" t="s">
        <v>237</v>
      </c>
      <c r="O165" s="27">
        <v>46076</v>
      </c>
    </row>
    <row r="166" spans="2:15" hidden="1" x14ac:dyDescent="0.3">
      <c r="B166">
        <v>591394</v>
      </c>
      <c r="C166" t="s">
        <v>231</v>
      </c>
      <c r="D166">
        <v>69493</v>
      </c>
      <c r="E166" t="s">
        <v>150</v>
      </c>
      <c r="F166" t="s">
        <v>298</v>
      </c>
      <c r="G166" s="28">
        <v>861</v>
      </c>
      <c r="H166" s="32">
        <v>134.85</v>
      </c>
      <c r="I166" s="32">
        <v>14991.58</v>
      </c>
      <c r="J166" t="s">
        <v>239</v>
      </c>
      <c r="K166" t="s">
        <v>245</v>
      </c>
      <c r="L166" t="s">
        <v>235</v>
      </c>
      <c r="M166" t="s">
        <v>236</v>
      </c>
      <c r="N166" t="s">
        <v>237</v>
      </c>
      <c r="O166" s="27">
        <v>46063</v>
      </c>
    </row>
    <row r="167" spans="2:15" hidden="1" x14ac:dyDescent="0.3">
      <c r="B167">
        <v>16951176</v>
      </c>
      <c r="C167" t="s">
        <v>231</v>
      </c>
      <c r="D167">
        <v>49894</v>
      </c>
      <c r="E167" t="s">
        <v>150</v>
      </c>
      <c r="F167" t="s">
        <v>274</v>
      </c>
      <c r="G167" s="28">
        <v>1800</v>
      </c>
      <c r="H167" s="32">
        <v>134.59</v>
      </c>
      <c r="I167" s="32">
        <v>26532</v>
      </c>
      <c r="J167" t="s">
        <v>239</v>
      </c>
      <c r="K167" t="s">
        <v>245</v>
      </c>
      <c r="L167" t="s">
        <v>235</v>
      </c>
      <c r="M167" t="s">
        <v>236</v>
      </c>
      <c r="N167" t="s">
        <v>240</v>
      </c>
      <c r="O167" s="27">
        <v>46057</v>
      </c>
    </row>
    <row r="168" spans="2:15" hidden="1" x14ac:dyDescent="0.3">
      <c r="B168">
        <v>307208</v>
      </c>
      <c r="C168" t="s">
        <v>231</v>
      </c>
      <c r="D168">
        <v>25619</v>
      </c>
      <c r="E168" t="s">
        <v>150</v>
      </c>
      <c r="F168" t="s">
        <v>278</v>
      </c>
      <c r="G168" s="28">
        <v>500</v>
      </c>
      <c r="H168" s="32">
        <v>134.53</v>
      </c>
      <c r="I168" s="32">
        <v>25428</v>
      </c>
      <c r="J168" t="s">
        <v>239</v>
      </c>
      <c r="K168" t="s">
        <v>234</v>
      </c>
      <c r="L168" t="s">
        <v>235</v>
      </c>
      <c r="M168" t="s">
        <v>236</v>
      </c>
      <c r="N168" t="s">
        <v>240</v>
      </c>
      <c r="O168" s="27">
        <v>46064</v>
      </c>
    </row>
    <row r="169" spans="2:15" hidden="1" x14ac:dyDescent="0.3">
      <c r="B169">
        <v>9799059</v>
      </c>
      <c r="C169" t="s">
        <v>260</v>
      </c>
      <c r="D169">
        <v>38675</v>
      </c>
      <c r="E169" t="s">
        <v>150</v>
      </c>
      <c r="F169" t="s">
        <v>407</v>
      </c>
      <c r="G169" s="28">
        <v>577</v>
      </c>
      <c r="H169" s="32">
        <v>134.22</v>
      </c>
      <c r="I169" s="32">
        <v>29710.68</v>
      </c>
      <c r="J169" t="s">
        <v>239</v>
      </c>
      <c r="K169" t="s">
        <v>245</v>
      </c>
      <c r="L169" t="s">
        <v>235</v>
      </c>
      <c r="M169" t="s">
        <v>236</v>
      </c>
      <c r="N169" t="s">
        <v>237</v>
      </c>
      <c r="O169" s="27">
        <v>46072</v>
      </c>
    </row>
    <row r="170" spans="2:15" hidden="1" x14ac:dyDescent="0.3">
      <c r="B170">
        <v>2251063</v>
      </c>
      <c r="C170" t="s">
        <v>231</v>
      </c>
      <c r="D170">
        <v>25619</v>
      </c>
      <c r="E170" t="s">
        <v>150</v>
      </c>
      <c r="F170" t="s">
        <v>285</v>
      </c>
      <c r="G170" s="28">
        <v>400</v>
      </c>
      <c r="H170" s="32">
        <v>130.59</v>
      </c>
      <c r="I170" s="32">
        <v>23708</v>
      </c>
      <c r="J170" t="s">
        <v>239</v>
      </c>
      <c r="K170" t="s">
        <v>234</v>
      </c>
      <c r="L170" t="s">
        <v>235</v>
      </c>
      <c r="M170" t="s">
        <v>236</v>
      </c>
      <c r="N170" t="s">
        <v>237</v>
      </c>
      <c r="O170" s="27">
        <v>46064</v>
      </c>
    </row>
    <row r="171" spans="2:15" hidden="1" x14ac:dyDescent="0.3">
      <c r="B171">
        <v>11010432</v>
      </c>
      <c r="C171" t="s">
        <v>231</v>
      </c>
      <c r="D171">
        <v>25619</v>
      </c>
      <c r="E171" t="s">
        <v>150</v>
      </c>
      <c r="F171" t="s">
        <v>285</v>
      </c>
      <c r="G171" s="28">
        <v>400</v>
      </c>
      <c r="H171" s="32">
        <v>130.52000000000001</v>
      </c>
      <c r="I171" s="32">
        <v>23696</v>
      </c>
      <c r="J171" t="s">
        <v>239</v>
      </c>
      <c r="K171" t="s">
        <v>234</v>
      </c>
      <c r="L171" t="s">
        <v>235</v>
      </c>
      <c r="M171" t="s">
        <v>236</v>
      </c>
      <c r="N171" t="s">
        <v>237</v>
      </c>
      <c r="O171" s="27">
        <v>46064</v>
      </c>
    </row>
    <row r="172" spans="2:15" hidden="1" x14ac:dyDescent="0.3">
      <c r="B172">
        <v>16951165</v>
      </c>
      <c r="C172" t="s">
        <v>231</v>
      </c>
      <c r="D172">
        <v>49894</v>
      </c>
      <c r="E172" t="s">
        <v>150</v>
      </c>
      <c r="F172" t="s">
        <v>269</v>
      </c>
      <c r="G172" s="28">
        <v>3000</v>
      </c>
      <c r="H172" s="32">
        <v>129.97</v>
      </c>
      <c r="I172" s="32">
        <v>25500</v>
      </c>
      <c r="J172" t="s">
        <v>256</v>
      </c>
      <c r="K172" t="s">
        <v>245</v>
      </c>
      <c r="L172" t="s">
        <v>235</v>
      </c>
      <c r="M172" t="s">
        <v>236</v>
      </c>
      <c r="N172" t="s">
        <v>240</v>
      </c>
      <c r="O172" s="27">
        <v>46057</v>
      </c>
    </row>
    <row r="173" spans="2:15" hidden="1" x14ac:dyDescent="0.3">
      <c r="B173">
        <v>1003593</v>
      </c>
      <c r="C173" t="s">
        <v>231</v>
      </c>
      <c r="D173">
        <v>27086</v>
      </c>
      <c r="E173" t="s">
        <v>150</v>
      </c>
      <c r="F173" t="s">
        <v>465</v>
      </c>
      <c r="G173" s="28">
        <v>1500</v>
      </c>
      <c r="H173" s="32">
        <v>129.84</v>
      </c>
      <c r="I173" s="32">
        <v>20925</v>
      </c>
      <c r="J173" t="s">
        <v>241</v>
      </c>
      <c r="K173" t="s">
        <v>242</v>
      </c>
      <c r="L173" t="s">
        <v>235</v>
      </c>
      <c r="M173" t="s">
        <v>236</v>
      </c>
      <c r="N173" t="s">
        <v>240</v>
      </c>
      <c r="O173" s="27">
        <v>46073</v>
      </c>
    </row>
    <row r="174" spans="2:15" hidden="1" x14ac:dyDescent="0.3">
      <c r="B174">
        <v>2191869</v>
      </c>
      <c r="C174" t="s">
        <v>260</v>
      </c>
      <c r="D174">
        <v>49894</v>
      </c>
      <c r="E174" t="s">
        <v>150</v>
      </c>
      <c r="F174" t="s">
        <v>332</v>
      </c>
      <c r="G174" s="28">
        <v>772</v>
      </c>
      <c r="H174" s="32">
        <v>129.57</v>
      </c>
      <c r="I174" s="32">
        <v>23437.02</v>
      </c>
      <c r="J174" t="s">
        <v>239</v>
      </c>
      <c r="K174" t="s">
        <v>245</v>
      </c>
      <c r="L174" t="s">
        <v>235</v>
      </c>
      <c r="M174" t="s">
        <v>236</v>
      </c>
      <c r="N174" t="s">
        <v>237</v>
      </c>
      <c r="O174" s="27">
        <v>46056</v>
      </c>
    </row>
    <row r="175" spans="2:15" hidden="1" x14ac:dyDescent="0.3">
      <c r="B175">
        <v>16951176</v>
      </c>
      <c r="C175" t="s">
        <v>231</v>
      </c>
      <c r="D175">
        <v>49894</v>
      </c>
      <c r="E175" t="s">
        <v>150</v>
      </c>
      <c r="F175" t="s">
        <v>269</v>
      </c>
      <c r="G175" s="28">
        <v>3000</v>
      </c>
      <c r="H175" s="32">
        <v>129.35</v>
      </c>
      <c r="I175" s="32">
        <v>25500</v>
      </c>
      <c r="J175" t="s">
        <v>256</v>
      </c>
      <c r="K175" t="s">
        <v>245</v>
      </c>
      <c r="L175" t="s">
        <v>235</v>
      </c>
      <c r="M175" t="s">
        <v>236</v>
      </c>
      <c r="N175" t="s">
        <v>240</v>
      </c>
      <c r="O175" s="27">
        <v>46057</v>
      </c>
    </row>
    <row r="176" spans="2:15" hidden="1" x14ac:dyDescent="0.3">
      <c r="B176">
        <v>3106687</v>
      </c>
      <c r="C176" t="s">
        <v>231</v>
      </c>
      <c r="D176">
        <v>22674</v>
      </c>
      <c r="E176" t="s">
        <v>150</v>
      </c>
      <c r="F176" t="s">
        <v>247</v>
      </c>
      <c r="G176" s="28">
        <v>900</v>
      </c>
      <c r="H176" s="32">
        <v>129.29</v>
      </c>
      <c r="I176" s="32">
        <v>23417</v>
      </c>
      <c r="J176" t="s">
        <v>239</v>
      </c>
      <c r="K176" t="s">
        <v>245</v>
      </c>
      <c r="L176" t="s">
        <v>235</v>
      </c>
      <c r="M176" t="s">
        <v>236</v>
      </c>
      <c r="N176" t="s">
        <v>237</v>
      </c>
      <c r="O176" s="27">
        <v>46055</v>
      </c>
    </row>
    <row r="177" spans="2:15" hidden="1" x14ac:dyDescent="0.3">
      <c r="B177">
        <v>16951165</v>
      </c>
      <c r="C177" t="s">
        <v>231</v>
      </c>
      <c r="D177">
        <v>49894</v>
      </c>
      <c r="E177" t="s">
        <v>150</v>
      </c>
      <c r="F177" t="s">
        <v>273</v>
      </c>
      <c r="G177" s="28">
        <v>200</v>
      </c>
      <c r="H177" s="32">
        <v>129.26</v>
      </c>
      <c r="I177" s="32">
        <v>25361.16</v>
      </c>
      <c r="J177" t="s">
        <v>256</v>
      </c>
      <c r="K177" t="s">
        <v>245</v>
      </c>
      <c r="L177" t="s">
        <v>235</v>
      </c>
      <c r="M177" t="s">
        <v>236</v>
      </c>
      <c r="N177" t="s">
        <v>240</v>
      </c>
      <c r="O177" s="27">
        <v>46057</v>
      </c>
    </row>
    <row r="178" spans="2:15" hidden="1" x14ac:dyDescent="0.3">
      <c r="B178">
        <v>2891613</v>
      </c>
      <c r="C178" t="s">
        <v>260</v>
      </c>
      <c r="D178">
        <v>22674</v>
      </c>
      <c r="E178" t="s">
        <v>150</v>
      </c>
      <c r="F178" t="s">
        <v>285</v>
      </c>
      <c r="G178" s="28">
        <v>400</v>
      </c>
      <c r="H178" s="32">
        <v>128.84</v>
      </c>
      <c r="I178" s="32">
        <v>23756</v>
      </c>
      <c r="J178" t="s">
        <v>239</v>
      </c>
      <c r="K178" t="s">
        <v>234</v>
      </c>
      <c r="L178" t="s">
        <v>235</v>
      </c>
      <c r="M178" t="s">
        <v>236</v>
      </c>
      <c r="N178" t="s">
        <v>237</v>
      </c>
      <c r="O178" s="27">
        <v>46064</v>
      </c>
    </row>
    <row r="179" spans="2:15" hidden="1" x14ac:dyDescent="0.3">
      <c r="B179">
        <v>9673848</v>
      </c>
      <c r="C179" t="s">
        <v>231</v>
      </c>
      <c r="D179">
        <v>22674</v>
      </c>
      <c r="E179" t="s">
        <v>150</v>
      </c>
      <c r="F179" t="s">
        <v>285</v>
      </c>
      <c r="G179" s="28">
        <v>400</v>
      </c>
      <c r="H179" s="32">
        <v>128.77000000000001</v>
      </c>
      <c r="I179" s="32">
        <v>23740</v>
      </c>
      <c r="J179" t="s">
        <v>239</v>
      </c>
      <c r="K179" t="s">
        <v>234</v>
      </c>
      <c r="L179" t="s">
        <v>235</v>
      </c>
      <c r="M179" t="s">
        <v>236</v>
      </c>
      <c r="N179" t="s">
        <v>237</v>
      </c>
      <c r="O179" s="27">
        <v>46064</v>
      </c>
    </row>
    <row r="180" spans="2:15" hidden="1" x14ac:dyDescent="0.3">
      <c r="B180">
        <v>575946</v>
      </c>
      <c r="C180" t="s">
        <v>231</v>
      </c>
      <c r="D180">
        <v>25619</v>
      </c>
      <c r="E180" t="s">
        <v>150</v>
      </c>
      <c r="F180" t="s">
        <v>285</v>
      </c>
      <c r="G180" s="28">
        <v>400</v>
      </c>
      <c r="H180" s="32">
        <v>128.68</v>
      </c>
      <c r="I180" s="32">
        <v>23724</v>
      </c>
      <c r="J180" t="s">
        <v>239</v>
      </c>
      <c r="K180" t="s">
        <v>234</v>
      </c>
      <c r="L180" t="s">
        <v>235</v>
      </c>
      <c r="M180" t="s">
        <v>236</v>
      </c>
      <c r="N180" t="s">
        <v>237</v>
      </c>
      <c r="O180" s="27">
        <v>46064</v>
      </c>
    </row>
    <row r="181" spans="2:15" hidden="1" x14ac:dyDescent="0.3">
      <c r="B181">
        <v>16951176</v>
      </c>
      <c r="C181" t="s">
        <v>231</v>
      </c>
      <c r="D181">
        <v>49894</v>
      </c>
      <c r="E181" t="s">
        <v>150</v>
      </c>
      <c r="F181" t="s">
        <v>273</v>
      </c>
      <c r="G181" s="28">
        <v>200</v>
      </c>
      <c r="H181" s="32">
        <v>128.66</v>
      </c>
      <c r="I181" s="32">
        <v>25364</v>
      </c>
      <c r="J181" t="s">
        <v>256</v>
      </c>
      <c r="K181" t="s">
        <v>245</v>
      </c>
      <c r="L181" t="s">
        <v>235</v>
      </c>
      <c r="M181" t="s">
        <v>236</v>
      </c>
      <c r="N181" t="s">
        <v>240</v>
      </c>
      <c r="O181" s="27">
        <v>46057</v>
      </c>
    </row>
    <row r="182" spans="2:15" hidden="1" x14ac:dyDescent="0.3">
      <c r="B182">
        <v>8422420</v>
      </c>
      <c r="C182" t="s">
        <v>260</v>
      </c>
      <c r="D182">
        <v>21468</v>
      </c>
      <c r="E182" t="s">
        <v>150</v>
      </c>
      <c r="F182" t="s">
        <v>266</v>
      </c>
      <c r="G182" s="28">
        <v>215</v>
      </c>
      <c r="H182" s="32">
        <v>126.93</v>
      </c>
      <c r="I182" s="32">
        <v>22860.44</v>
      </c>
      <c r="J182" t="s">
        <v>267</v>
      </c>
      <c r="K182" t="s">
        <v>234</v>
      </c>
      <c r="L182" t="s">
        <v>235</v>
      </c>
      <c r="M182" t="s">
        <v>236</v>
      </c>
      <c r="N182" t="s">
        <v>237</v>
      </c>
      <c r="O182" s="27">
        <v>46063</v>
      </c>
    </row>
    <row r="183" spans="2:15" hidden="1" x14ac:dyDescent="0.3">
      <c r="B183">
        <v>8422420</v>
      </c>
      <c r="C183" t="s">
        <v>260</v>
      </c>
      <c r="D183">
        <v>21468</v>
      </c>
      <c r="E183" t="s">
        <v>150</v>
      </c>
      <c r="F183" t="s">
        <v>458</v>
      </c>
      <c r="G183" s="28">
        <v>219</v>
      </c>
      <c r="H183" s="32">
        <v>126.44</v>
      </c>
      <c r="I183" s="32">
        <v>22772.01</v>
      </c>
      <c r="J183" t="s">
        <v>267</v>
      </c>
      <c r="K183" t="s">
        <v>234</v>
      </c>
      <c r="L183" t="s">
        <v>235</v>
      </c>
      <c r="M183" t="s">
        <v>236</v>
      </c>
      <c r="N183" t="s">
        <v>237</v>
      </c>
      <c r="O183" s="27">
        <v>46063</v>
      </c>
    </row>
    <row r="184" spans="2:15" x14ac:dyDescent="0.3">
      <c r="B184">
        <v>7397602</v>
      </c>
      <c r="C184" t="s">
        <v>231</v>
      </c>
      <c r="D184">
        <v>22103</v>
      </c>
      <c r="E184" t="s">
        <v>150</v>
      </c>
      <c r="F184" t="s">
        <v>246</v>
      </c>
      <c r="G184" s="28">
        <v>809</v>
      </c>
      <c r="H184" s="32">
        <v>126.23</v>
      </c>
      <c r="I184" s="32">
        <v>30057.5</v>
      </c>
      <c r="J184" t="s">
        <v>239</v>
      </c>
      <c r="K184" t="s">
        <v>245</v>
      </c>
      <c r="L184" t="s">
        <v>235</v>
      </c>
      <c r="M184" t="s">
        <v>236</v>
      </c>
      <c r="N184" t="s">
        <v>237</v>
      </c>
      <c r="O184" s="27">
        <v>46063</v>
      </c>
    </row>
    <row r="185" spans="2:15" hidden="1" x14ac:dyDescent="0.3">
      <c r="B185">
        <v>5567161</v>
      </c>
      <c r="C185" t="s">
        <v>231</v>
      </c>
      <c r="D185">
        <v>24415</v>
      </c>
      <c r="E185" t="s">
        <v>150</v>
      </c>
      <c r="F185" t="s">
        <v>319</v>
      </c>
      <c r="G185" s="28">
        <v>600</v>
      </c>
      <c r="H185" s="32">
        <v>125.3</v>
      </c>
      <c r="I185" s="32">
        <v>24366</v>
      </c>
      <c r="J185" t="s">
        <v>239</v>
      </c>
      <c r="K185" t="s">
        <v>245</v>
      </c>
      <c r="L185" t="s">
        <v>235</v>
      </c>
      <c r="M185" t="s">
        <v>236</v>
      </c>
      <c r="N185" t="s">
        <v>240</v>
      </c>
      <c r="O185" s="27">
        <v>46063</v>
      </c>
    </row>
    <row r="186" spans="2:15" hidden="1" x14ac:dyDescent="0.3">
      <c r="B186">
        <v>3310896</v>
      </c>
      <c r="C186" t="s">
        <v>260</v>
      </c>
      <c r="D186">
        <v>21559</v>
      </c>
      <c r="E186" t="s">
        <v>150</v>
      </c>
      <c r="F186" t="s">
        <v>157</v>
      </c>
      <c r="G186" s="28">
        <v>226</v>
      </c>
      <c r="H186" s="32">
        <v>124.6</v>
      </c>
      <c r="I186" s="32">
        <v>19878.96</v>
      </c>
      <c r="J186" t="s">
        <v>249</v>
      </c>
      <c r="K186" t="s">
        <v>249</v>
      </c>
      <c r="L186" t="s">
        <v>235</v>
      </c>
      <c r="M186" t="s">
        <v>236</v>
      </c>
      <c r="N186" t="s">
        <v>237</v>
      </c>
      <c r="O186" s="27">
        <v>46064</v>
      </c>
    </row>
    <row r="187" spans="2:15" hidden="1" x14ac:dyDescent="0.3">
      <c r="B187">
        <v>2191869</v>
      </c>
      <c r="C187" t="s">
        <v>260</v>
      </c>
      <c r="D187">
        <v>49894</v>
      </c>
      <c r="E187" t="s">
        <v>150</v>
      </c>
      <c r="F187" t="s">
        <v>450</v>
      </c>
      <c r="G187" s="28">
        <v>1294</v>
      </c>
      <c r="H187" s="32">
        <v>121.76</v>
      </c>
      <c r="I187" s="32">
        <v>22016.85</v>
      </c>
      <c r="J187" t="s">
        <v>239</v>
      </c>
      <c r="K187" t="s">
        <v>245</v>
      </c>
      <c r="L187" t="s">
        <v>235</v>
      </c>
      <c r="M187" t="s">
        <v>236</v>
      </c>
      <c r="N187" t="s">
        <v>240</v>
      </c>
      <c r="O187" s="27">
        <v>46056</v>
      </c>
    </row>
    <row r="188" spans="2:15" x14ac:dyDescent="0.3">
      <c r="B188">
        <v>7397602</v>
      </c>
      <c r="C188" t="s">
        <v>231</v>
      </c>
      <c r="D188">
        <v>22103</v>
      </c>
      <c r="E188" t="s">
        <v>150</v>
      </c>
      <c r="F188" t="s">
        <v>369</v>
      </c>
      <c r="G188" s="28">
        <v>767</v>
      </c>
      <c r="H188" s="32">
        <v>121.42</v>
      </c>
      <c r="I188" s="32">
        <v>42265.65</v>
      </c>
      <c r="J188" t="s">
        <v>239</v>
      </c>
      <c r="K188" t="s">
        <v>245</v>
      </c>
      <c r="L188" t="s">
        <v>235</v>
      </c>
      <c r="M188" t="s">
        <v>236</v>
      </c>
      <c r="N188" t="s">
        <v>240</v>
      </c>
      <c r="O188" s="27">
        <v>46063</v>
      </c>
    </row>
    <row r="189" spans="2:15" hidden="1" x14ac:dyDescent="0.3">
      <c r="B189">
        <v>2742454</v>
      </c>
      <c r="C189" t="s">
        <v>231</v>
      </c>
      <c r="D189">
        <v>22674</v>
      </c>
      <c r="E189" t="s">
        <v>150</v>
      </c>
      <c r="F189" t="s">
        <v>254</v>
      </c>
      <c r="G189" s="28">
        <v>900</v>
      </c>
      <c r="H189" s="32">
        <v>120.48</v>
      </c>
      <c r="I189" s="32">
        <v>19053</v>
      </c>
      <c r="J189" t="s">
        <v>249</v>
      </c>
      <c r="K189" t="s">
        <v>249</v>
      </c>
      <c r="L189" t="s">
        <v>235</v>
      </c>
      <c r="M189" t="s">
        <v>236</v>
      </c>
      <c r="N189" t="s">
        <v>237</v>
      </c>
      <c r="O189" s="27">
        <v>46056</v>
      </c>
    </row>
    <row r="190" spans="2:15" hidden="1" x14ac:dyDescent="0.3">
      <c r="B190">
        <v>2538267</v>
      </c>
      <c r="C190" t="s">
        <v>231</v>
      </c>
      <c r="D190">
        <v>69579</v>
      </c>
      <c r="E190" t="s">
        <v>150</v>
      </c>
      <c r="F190" t="s">
        <v>289</v>
      </c>
      <c r="G190" s="28">
        <v>1008</v>
      </c>
      <c r="H190" s="32">
        <v>118.8</v>
      </c>
      <c r="I190" s="32">
        <v>21657.94</v>
      </c>
      <c r="J190" t="s">
        <v>239</v>
      </c>
      <c r="K190" t="s">
        <v>245</v>
      </c>
      <c r="L190" t="s">
        <v>235</v>
      </c>
      <c r="M190" t="s">
        <v>236</v>
      </c>
      <c r="N190" t="s">
        <v>237</v>
      </c>
      <c r="O190" s="27">
        <v>46055</v>
      </c>
    </row>
    <row r="191" spans="2:15" hidden="1" x14ac:dyDescent="0.3">
      <c r="B191">
        <v>2496015</v>
      </c>
      <c r="C191" t="s">
        <v>231</v>
      </c>
      <c r="D191">
        <v>38517</v>
      </c>
      <c r="E191" t="s">
        <v>150</v>
      </c>
      <c r="F191" t="s">
        <v>163</v>
      </c>
      <c r="G191" s="28">
        <v>841</v>
      </c>
      <c r="H191" s="32">
        <v>117.86</v>
      </c>
      <c r="I191" s="32">
        <v>11740.99</v>
      </c>
      <c r="J191" t="s">
        <v>239</v>
      </c>
      <c r="K191" t="s">
        <v>245</v>
      </c>
      <c r="L191" t="s">
        <v>235</v>
      </c>
      <c r="M191" t="s">
        <v>236</v>
      </c>
      <c r="N191" t="s">
        <v>237</v>
      </c>
      <c r="O191" s="27">
        <v>46063</v>
      </c>
    </row>
    <row r="192" spans="2:15" hidden="1" x14ac:dyDescent="0.3">
      <c r="B192">
        <v>4257721</v>
      </c>
      <c r="C192" t="s">
        <v>260</v>
      </c>
      <c r="D192">
        <v>22674</v>
      </c>
      <c r="E192" t="s">
        <v>150</v>
      </c>
      <c r="F192" t="s">
        <v>166</v>
      </c>
      <c r="G192" s="28">
        <v>1000</v>
      </c>
      <c r="H192" s="32">
        <v>117.28</v>
      </c>
      <c r="I192" s="32">
        <v>19070</v>
      </c>
      <c r="J192" t="s">
        <v>249</v>
      </c>
      <c r="K192" t="s">
        <v>249</v>
      </c>
      <c r="L192" t="s">
        <v>235</v>
      </c>
      <c r="M192" t="s">
        <v>236</v>
      </c>
      <c r="N192" t="s">
        <v>237</v>
      </c>
      <c r="O192" s="27">
        <v>46064</v>
      </c>
    </row>
    <row r="193" spans="2:15" hidden="1" x14ac:dyDescent="0.3">
      <c r="B193">
        <v>4868551</v>
      </c>
      <c r="C193" t="s">
        <v>231</v>
      </c>
      <c r="D193">
        <v>22674</v>
      </c>
      <c r="E193" t="s">
        <v>150</v>
      </c>
      <c r="F193" t="s">
        <v>250</v>
      </c>
      <c r="G193" s="28">
        <v>1200</v>
      </c>
      <c r="H193" s="32">
        <v>116.83</v>
      </c>
      <c r="I193" s="32">
        <v>18324</v>
      </c>
      <c r="J193" t="s">
        <v>249</v>
      </c>
      <c r="K193" t="s">
        <v>249</v>
      </c>
      <c r="L193" t="s">
        <v>235</v>
      </c>
      <c r="M193" t="s">
        <v>236</v>
      </c>
      <c r="N193" t="s">
        <v>237</v>
      </c>
      <c r="O193" s="27">
        <v>46064</v>
      </c>
    </row>
    <row r="194" spans="2:15" hidden="1" x14ac:dyDescent="0.3">
      <c r="B194">
        <v>2226658</v>
      </c>
      <c r="C194" t="s">
        <v>231</v>
      </c>
      <c r="D194">
        <v>27086</v>
      </c>
      <c r="E194" t="s">
        <v>150</v>
      </c>
      <c r="F194" t="s">
        <v>238</v>
      </c>
      <c r="G194" s="28">
        <v>1000</v>
      </c>
      <c r="H194" s="32">
        <v>116.66</v>
      </c>
      <c r="I194" s="32">
        <v>18530</v>
      </c>
      <c r="J194" t="s">
        <v>239</v>
      </c>
      <c r="K194" t="s">
        <v>270</v>
      </c>
      <c r="L194" t="s">
        <v>235</v>
      </c>
      <c r="M194" t="s">
        <v>236</v>
      </c>
      <c r="N194" t="s">
        <v>237</v>
      </c>
      <c r="O194" s="27">
        <v>46056</v>
      </c>
    </row>
    <row r="195" spans="2:15" hidden="1" x14ac:dyDescent="0.3">
      <c r="B195">
        <v>5567161</v>
      </c>
      <c r="C195" t="s">
        <v>231</v>
      </c>
      <c r="D195">
        <v>24415</v>
      </c>
      <c r="E195" t="s">
        <v>150</v>
      </c>
      <c r="F195" t="s">
        <v>268</v>
      </c>
      <c r="G195" s="28">
        <v>2300</v>
      </c>
      <c r="H195" s="32">
        <v>116.62</v>
      </c>
      <c r="I195" s="32">
        <v>22678</v>
      </c>
      <c r="J195" t="s">
        <v>239</v>
      </c>
      <c r="K195" t="s">
        <v>245</v>
      </c>
      <c r="L195" t="s">
        <v>235</v>
      </c>
      <c r="M195" t="s">
        <v>236</v>
      </c>
      <c r="N195" t="s">
        <v>240</v>
      </c>
      <c r="O195" s="27">
        <v>46063</v>
      </c>
    </row>
    <row r="196" spans="2:15" hidden="1" x14ac:dyDescent="0.3">
      <c r="B196">
        <v>11323063</v>
      </c>
      <c r="C196" t="s">
        <v>231</v>
      </c>
      <c r="D196">
        <v>49894</v>
      </c>
      <c r="E196" t="s">
        <v>150</v>
      </c>
      <c r="F196" t="s">
        <v>285</v>
      </c>
      <c r="G196" s="28">
        <v>300</v>
      </c>
      <c r="H196" s="32">
        <v>115.98</v>
      </c>
      <c r="I196" s="32">
        <v>18153</v>
      </c>
      <c r="J196" t="s">
        <v>239</v>
      </c>
      <c r="K196" t="s">
        <v>270</v>
      </c>
      <c r="L196" t="s">
        <v>235</v>
      </c>
      <c r="M196" t="s">
        <v>236</v>
      </c>
      <c r="N196" t="s">
        <v>240</v>
      </c>
      <c r="O196" s="27">
        <v>46076</v>
      </c>
    </row>
    <row r="197" spans="2:15" hidden="1" x14ac:dyDescent="0.3">
      <c r="B197">
        <v>11575899</v>
      </c>
      <c r="C197" t="s">
        <v>231</v>
      </c>
      <c r="D197">
        <v>25104</v>
      </c>
      <c r="E197" t="s">
        <v>150</v>
      </c>
      <c r="F197" t="s">
        <v>160</v>
      </c>
      <c r="G197" s="28">
        <v>200</v>
      </c>
      <c r="H197" s="32">
        <v>115.5</v>
      </c>
      <c r="I197" s="32">
        <v>18058</v>
      </c>
      <c r="J197" t="s">
        <v>239</v>
      </c>
      <c r="K197" t="s">
        <v>234</v>
      </c>
      <c r="L197" t="s">
        <v>235</v>
      </c>
      <c r="M197" t="s">
        <v>236</v>
      </c>
      <c r="N197" t="s">
        <v>240</v>
      </c>
      <c r="O197" s="27">
        <v>46065</v>
      </c>
    </row>
    <row r="198" spans="2:15" hidden="1" x14ac:dyDescent="0.3">
      <c r="B198">
        <v>2538267</v>
      </c>
      <c r="C198" t="s">
        <v>231</v>
      </c>
      <c r="D198">
        <v>69579</v>
      </c>
      <c r="E198" t="s">
        <v>150</v>
      </c>
      <c r="F198" t="s">
        <v>258</v>
      </c>
      <c r="G198" s="28">
        <v>1938</v>
      </c>
      <c r="H198" s="32">
        <v>114.92</v>
      </c>
      <c r="I198" s="32">
        <v>20957.21</v>
      </c>
      <c r="J198" t="s">
        <v>239</v>
      </c>
      <c r="K198" t="s">
        <v>245</v>
      </c>
      <c r="L198" t="s">
        <v>235</v>
      </c>
      <c r="M198" t="s">
        <v>236</v>
      </c>
      <c r="N198" t="s">
        <v>240</v>
      </c>
      <c r="O198" s="27">
        <v>46055</v>
      </c>
    </row>
    <row r="199" spans="2:15" hidden="1" x14ac:dyDescent="0.3">
      <c r="B199">
        <v>5567161</v>
      </c>
      <c r="C199" t="s">
        <v>231</v>
      </c>
      <c r="D199">
        <v>24415</v>
      </c>
      <c r="E199" t="s">
        <v>150</v>
      </c>
      <c r="F199" t="s">
        <v>246</v>
      </c>
      <c r="G199" s="28">
        <v>600</v>
      </c>
      <c r="H199" s="32">
        <v>114.84</v>
      </c>
      <c r="I199" s="32">
        <v>22332</v>
      </c>
      <c r="J199" t="s">
        <v>239</v>
      </c>
      <c r="K199" t="s">
        <v>245</v>
      </c>
      <c r="L199" t="s">
        <v>235</v>
      </c>
      <c r="M199" t="s">
        <v>236</v>
      </c>
      <c r="N199" t="s">
        <v>240</v>
      </c>
      <c r="O199" s="27">
        <v>46063</v>
      </c>
    </row>
    <row r="200" spans="2:15" hidden="1" x14ac:dyDescent="0.3">
      <c r="B200">
        <v>293951</v>
      </c>
      <c r="C200" t="s">
        <v>231</v>
      </c>
      <c r="D200">
        <v>25619</v>
      </c>
      <c r="E200" t="s">
        <v>150</v>
      </c>
      <c r="F200" t="s">
        <v>166</v>
      </c>
      <c r="G200" s="28">
        <v>1100</v>
      </c>
      <c r="H200" s="32">
        <v>114.72</v>
      </c>
      <c r="I200" s="32">
        <v>20383</v>
      </c>
      <c r="J200" t="s">
        <v>249</v>
      </c>
      <c r="K200" t="s">
        <v>249</v>
      </c>
      <c r="L200" t="s">
        <v>235</v>
      </c>
      <c r="M200" t="s">
        <v>236</v>
      </c>
      <c r="N200" t="s">
        <v>237</v>
      </c>
      <c r="O200" s="27">
        <v>46071</v>
      </c>
    </row>
    <row r="201" spans="2:15" hidden="1" x14ac:dyDescent="0.3">
      <c r="B201">
        <v>2251063</v>
      </c>
      <c r="C201" t="s">
        <v>231</v>
      </c>
      <c r="D201">
        <v>25619</v>
      </c>
      <c r="E201" t="s">
        <v>150</v>
      </c>
      <c r="F201" t="s">
        <v>278</v>
      </c>
      <c r="G201" s="28">
        <v>400</v>
      </c>
      <c r="H201" s="32">
        <v>112.65</v>
      </c>
      <c r="I201" s="32">
        <v>20456</v>
      </c>
      <c r="J201" t="s">
        <v>239</v>
      </c>
      <c r="K201" t="s">
        <v>234</v>
      </c>
      <c r="L201" t="s">
        <v>235</v>
      </c>
      <c r="M201" t="s">
        <v>236</v>
      </c>
      <c r="N201" t="s">
        <v>240</v>
      </c>
      <c r="O201" s="27">
        <v>46064</v>
      </c>
    </row>
    <row r="202" spans="2:15" hidden="1" x14ac:dyDescent="0.3">
      <c r="B202">
        <v>11010432</v>
      </c>
      <c r="C202" t="s">
        <v>231</v>
      </c>
      <c r="D202">
        <v>25619</v>
      </c>
      <c r="E202" t="s">
        <v>150</v>
      </c>
      <c r="F202" t="s">
        <v>278</v>
      </c>
      <c r="G202" s="28">
        <v>400</v>
      </c>
      <c r="H202" s="32">
        <v>112.28</v>
      </c>
      <c r="I202" s="32">
        <v>20384</v>
      </c>
      <c r="J202" t="s">
        <v>239</v>
      </c>
      <c r="K202" t="s">
        <v>234</v>
      </c>
      <c r="L202" t="s">
        <v>235</v>
      </c>
      <c r="M202" t="s">
        <v>236</v>
      </c>
      <c r="N202" t="s">
        <v>240</v>
      </c>
      <c r="O202" s="27">
        <v>46064</v>
      </c>
    </row>
    <row r="203" spans="2:15" hidden="1" x14ac:dyDescent="0.3">
      <c r="B203">
        <v>293951</v>
      </c>
      <c r="C203" t="s">
        <v>231</v>
      </c>
      <c r="D203">
        <v>25619</v>
      </c>
      <c r="E203" t="s">
        <v>150</v>
      </c>
      <c r="F203" t="s">
        <v>157</v>
      </c>
      <c r="G203" s="28">
        <v>225</v>
      </c>
      <c r="H203" s="32">
        <v>111.12</v>
      </c>
      <c r="I203" s="32">
        <v>19743.75</v>
      </c>
      <c r="J203" t="s">
        <v>249</v>
      </c>
      <c r="K203" t="s">
        <v>249</v>
      </c>
      <c r="L203" t="s">
        <v>235</v>
      </c>
      <c r="M203" t="s">
        <v>236</v>
      </c>
      <c r="N203" t="s">
        <v>237</v>
      </c>
      <c r="O203" s="27">
        <v>46071</v>
      </c>
    </row>
    <row r="204" spans="2:15" hidden="1" x14ac:dyDescent="0.3">
      <c r="B204">
        <v>2367191</v>
      </c>
      <c r="C204" t="s">
        <v>231</v>
      </c>
      <c r="D204">
        <v>38517</v>
      </c>
      <c r="E204" t="s">
        <v>150</v>
      </c>
      <c r="F204" t="s">
        <v>160</v>
      </c>
      <c r="G204" s="28">
        <v>200</v>
      </c>
      <c r="H204" s="32">
        <v>110.26</v>
      </c>
      <c r="I204" s="32">
        <v>17010</v>
      </c>
      <c r="J204" t="s">
        <v>239</v>
      </c>
      <c r="K204" t="s">
        <v>234</v>
      </c>
      <c r="L204" t="s">
        <v>235</v>
      </c>
      <c r="M204" t="s">
        <v>236</v>
      </c>
      <c r="N204" t="s">
        <v>240</v>
      </c>
      <c r="O204" s="27">
        <v>46055</v>
      </c>
    </row>
    <row r="205" spans="2:15" hidden="1" x14ac:dyDescent="0.3">
      <c r="B205">
        <v>4382412</v>
      </c>
      <c r="C205" t="s">
        <v>231</v>
      </c>
      <c r="D205">
        <v>49894</v>
      </c>
      <c r="E205" t="s">
        <v>150</v>
      </c>
      <c r="F205" t="s">
        <v>297</v>
      </c>
      <c r="G205" s="28">
        <v>670</v>
      </c>
      <c r="H205" s="32">
        <v>109.87</v>
      </c>
      <c r="I205" s="32">
        <v>19370.22</v>
      </c>
      <c r="J205" t="s">
        <v>239</v>
      </c>
      <c r="K205" t="s">
        <v>245</v>
      </c>
      <c r="L205" t="s">
        <v>235</v>
      </c>
      <c r="M205" t="s">
        <v>236</v>
      </c>
      <c r="N205" t="s">
        <v>237</v>
      </c>
      <c r="O205" s="27">
        <v>46062</v>
      </c>
    </row>
    <row r="206" spans="2:15" hidden="1" x14ac:dyDescent="0.3">
      <c r="B206">
        <v>3409614</v>
      </c>
      <c r="C206" t="s">
        <v>231</v>
      </c>
      <c r="D206">
        <v>71881</v>
      </c>
      <c r="E206" t="s">
        <v>150</v>
      </c>
      <c r="F206" t="s">
        <v>294</v>
      </c>
      <c r="G206" s="28">
        <v>200</v>
      </c>
      <c r="H206" s="32">
        <v>108.17</v>
      </c>
      <c r="I206" s="32">
        <v>16592</v>
      </c>
      <c r="J206" t="s">
        <v>256</v>
      </c>
      <c r="K206" t="s">
        <v>234</v>
      </c>
      <c r="L206" t="s">
        <v>235</v>
      </c>
      <c r="M206" t="s">
        <v>236</v>
      </c>
      <c r="N206" t="s">
        <v>240</v>
      </c>
      <c r="O206" s="27">
        <v>46055</v>
      </c>
    </row>
    <row r="207" spans="2:15" hidden="1" x14ac:dyDescent="0.3">
      <c r="B207">
        <v>5751194</v>
      </c>
      <c r="C207" t="s">
        <v>260</v>
      </c>
      <c r="D207">
        <v>25104</v>
      </c>
      <c r="E207" t="s">
        <v>150</v>
      </c>
      <c r="F207" t="s">
        <v>414</v>
      </c>
      <c r="G207" s="28">
        <v>1700</v>
      </c>
      <c r="H207" s="32">
        <v>107.97</v>
      </c>
      <c r="I207" s="32">
        <v>25927</v>
      </c>
      <c r="J207" t="s">
        <v>239</v>
      </c>
      <c r="K207" t="s">
        <v>234</v>
      </c>
      <c r="L207" t="s">
        <v>235</v>
      </c>
      <c r="M207" t="s">
        <v>236</v>
      </c>
      <c r="N207" t="s">
        <v>240</v>
      </c>
      <c r="O207" s="27">
        <v>46064</v>
      </c>
    </row>
    <row r="208" spans="2:15" x14ac:dyDescent="0.3">
      <c r="B208">
        <v>7397602</v>
      </c>
      <c r="C208" t="s">
        <v>231</v>
      </c>
      <c r="D208">
        <v>22103</v>
      </c>
      <c r="E208" t="s">
        <v>150</v>
      </c>
      <c r="F208" t="s">
        <v>282</v>
      </c>
      <c r="G208" s="28">
        <v>679</v>
      </c>
      <c r="H208" s="32">
        <v>107.16</v>
      </c>
      <c r="I208" s="32">
        <v>34694.86</v>
      </c>
      <c r="J208" t="s">
        <v>239</v>
      </c>
      <c r="K208" t="s">
        <v>245</v>
      </c>
      <c r="L208" t="s">
        <v>235</v>
      </c>
      <c r="M208" t="s">
        <v>236</v>
      </c>
      <c r="N208" t="s">
        <v>240</v>
      </c>
      <c r="O208" s="27">
        <v>46063</v>
      </c>
    </row>
    <row r="209" spans="2:15" hidden="1" x14ac:dyDescent="0.3">
      <c r="B209">
        <v>2733126</v>
      </c>
      <c r="C209" t="s">
        <v>260</v>
      </c>
      <c r="D209">
        <v>69579</v>
      </c>
      <c r="E209" t="s">
        <v>150</v>
      </c>
      <c r="F209" t="s">
        <v>266</v>
      </c>
      <c r="G209" s="28">
        <v>152</v>
      </c>
      <c r="H209" s="32">
        <v>106.15</v>
      </c>
      <c r="I209" s="32">
        <v>16188.82</v>
      </c>
      <c r="J209" t="s">
        <v>267</v>
      </c>
      <c r="K209" t="s">
        <v>234</v>
      </c>
      <c r="L209" t="s">
        <v>235</v>
      </c>
      <c r="M209" t="s">
        <v>236</v>
      </c>
      <c r="N209" t="s">
        <v>240</v>
      </c>
      <c r="O209" s="27">
        <v>46059</v>
      </c>
    </row>
    <row r="210" spans="2:15" hidden="1" x14ac:dyDescent="0.3">
      <c r="B210">
        <v>3027830</v>
      </c>
      <c r="C210" t="s">
        <v>260</v>
      </c>
      <c r="D210">
        <v>23648</v>
      </c>
      <c r="E210" t="s">
        <v>150</v>
      </c>
      <c r="F210" t="s">
        <v>266</v>
      </c>
      <c r="G210" s="28">
        <v>150</v>
      </c>
      <c r="H210" s="32">
        <v>104.71</v>
      </c>
      <c r="I210" s="32">
        <v>15900.51</v>
      </c>
      <c r="J210" t="s">
        <v>267</v>
      </c>
      <c r="K210" t="s">
        <v>234</v>
      </c>
      <c r="L210" t="s">
        <v>235</v>
      </c>
      <c r="M210" t="s">
        <v>236</v>
      </c>
      <c r="N210" t="s">
        <v>240</v>
      </c>
      <c r="O210" s="27">
        <v>46076</v>
      </c>
    </row>
    <row r="211" spans="2:15" hidden="1" x14ac:dyDescent="0.3">
      <c r="B211">
        <v>3430907</v>
      </c>
      <c r="C211" t="s">
        <v>260</v>
      </c>
      <c r="D211">
        <v>21468</v>
      </c>
      <c r="E211" t="s">
        <v>150</v>
      </c>
      <c r="F211" t="s">
        <v>166</v>
      </c>
      <c r="G211" s="28">
        <v>1000</v>
      </c>
      <c r="H211" s="32">
        <v>103.46</v>
      </c>
      <c r="I211" s="32">
        <v>18870</v>
      </c>
      <c r="J211" t="s">
        <v>249</v>
      </c>
      <c r="K211" t="s">
        <v>249</v>
      </c>
      <c r="L211" t="s">
        <v>235</v>
      </c>
      <c r="M211" t="s">
        <v>236</v>
      </c>
      <c r="N211" t="s">
        <v>237</v>
      </c>
      <c r="O211" s="27">
        <v>46055</v>
      </c>
    </row>
    <row r="212" spans="2:15" hidden="1" x14ac:dyDescent="0.3">
      <c r="B212">
        <v>3770553</v>
      </c>
      <c r="C212" t="s">
        <v>260</v>
      </c>
      <c r="D212">
        <v>69519</v>
      </c>
      <c r="E212" t="s">
        <v>150</v>
      </c>
      <c r="F212" t="s">
        <v>167</v>
      </c>
      <c r="G212" s="28">
        <v>3800</v>
      </c>
      <c r="H212" s="32">
        <v>103.24</v>
      </c>
      <c r="I212" s="32">
        <v>36252</v>
      </c>
      <c r="J212" t="s">
        <v>249</v>
      </c>
      <c r="K212" t="s">
        <v>249</v>
      </c>
      <c r="L212" t="s">
        <v>235</v>
      </c>
      <c r="M212" t="s">
        <v>236</v>
      </c>
      <c r="N212" t="s">
        <v>240</v>
      </c>
      <c r="O212" s="27">
        <v>46064</v>
      </c>
    </row>
    <row r="213" spans="2:15" hidden="1" x14ac:dyDescent="0.3">
      <c r="B213">
        <v>6977344</v>
      </c>
      <c r="C213" t="s">
        <v>231</v>
      </c>
      <c r="D213">
        <v>25104</v>
      </c>
      <c r="E213" t="s">
        <v>150</v>
      </c>
      <c r="F213" t="s">
        <v>266</v>
      </c>
      <c r="G213" s="28">
        <v>146</v>
      </c>
      <c r="H213" s="32">
        <v>102.7</v>
      </c>
      <c r="I213" s="32">
        <v>15498.72</v>
      </c>
      <c r="J213" t="s">
        <v>267</v>
      </c>
      <c r="K213" t="s">
        <v>234</v>
      </c>
      <c r="L213" t="s">
        <v>235</v>
      </c>
      <c r="M213" t="s">
        <v>236</v>
      </c>
      <c r="N213" t="s">
        <v>240</v>
      </c>
      <c r="O213" s="27">
        <v>46063</v>
      </c>
    </row>
    <row r="214" spans="2:15" hidden="1" x14ac:dyDescent="0.3">
      <c r="B214">
        <v>4783330</v>
      </c>
      <c r="C214" t="s">
        <v>231</v>
      </c>
      <c r="D214">
        <v>49894</v>
      </c>
      <c r="E214" t="s">
        <v>150</v>
      </c>
      <c r="F214" t="s">
        <v>246</v>
      </c>
      <c r="G214" s="28">
        <v>500</v>
      </c>
      <c r="H214" s="32">
        <v>101.84</v>
      </c>
      <c r="I214" s="32">
        <v>18650</v>
      </c>
      <c r="J214" t="s">
        <v>239</v>
      </c>
      <c r="K214" t="s">
        <v>245</v>
      </c>
      <c r="L214" t="s">
        <v>235</v>
      </c>
      <c r="M214" t="s">
        <v>236</v>
      </c>
      <c r="N214" t="s">
        <v>240</v>
      </c>
      <c r="O214" s="27">
        <v>46058</v>
      </c>
    </row>
    <row r="215" spans="2:15" hidden="1" x14ac:dyDescent="0.3">
      <c r="B215">
        <v>2403987</v>
      </c>
      <c r="C215" t="s">
        <v>231</v>
      </c>
      <c r="D215">
        <v>23648</v>
      </c>
      <c r="E215" t="s">
        <v>150</v>
      </c>
      <c r="F215" t="s">
        <v>285</v>
      </c>
      <c r="G215" s="28">
        <v>300</v>
      </c>
      <c r="H215" s="32">
        <v>101.34</v>
      </c>
      <c r="I215" s="32">
        <v>17982</v>
      </c>
      <c r="J215" t="s">
        <v>239</v>
      </c>
      <c r="K215" t="s">
        <v>234</v>
      </c>
      <c r="L215" t="s">
        <v>235</v>
      </c>
      <c r="M215" t="s">
        <v>236</v>
      </c>
      <c r="N215" t="s">
        <v>237</v>
      </c>
      <c r="O215" s="27">
        <v>46064</v>
      </c>
    </row>
    <row r="216" spans="2:15" hidden="1" x14ac:dyDescent="0.3">
      <c r="B216">
        <v>2727175</v>
      </c>
      <c r="C216" t="s">
        <v>231</v>
      </c>
      <c r="D216">
        <v>23648</v>
      </c>
      <c r="E216" t="s">
        <v>150</v>
      </c>
      <c r="F216" t="s">
        <v>285</v>
      </c>
      <c r="G216" s="28">
        <v>300</v>
      </c>
      <c r="H216" s="32">
        <v>101.29</v>
      </c>
      <c r="I216" s="32">
        <v>17975</v>
      </c>
      <c r="J216" t="s">
        <v>239</v>
      </c>
      <c r="K216" t="s">
        <v>234</v>
      </c>
      <c r="L216" t="s">
        <v>235</v>
      </c>
      <c r="M216" t="s">
        <v>236</v>
      </c>
      <c r="N216" t="s">
        <v>237</v>
      </c>
      <c r="O216" s="27">
        <v>46064</v>
      </c>
    </row>
    <row r="217" spans="2:15" hidden="1" x14ac:dyDescent="0.3">
      <c r="B217">
        <v>5263260</v>
      </c>
      <c r="C217" t="s">
        <v>231</v>
      </c>
      <c r="D217">
        <v>23648</v>
      </c>
      <c r="E217" t="s">
        <v>150</v>
      </c>
      <c r="F217" t="s">
        <v>285</v>
      </c>
      <c r="G217" s="28">
        <v>300</v>
      </c>
      <c r="H217" s="32">
        <v>101.18</v>
      </c>
      <c r="I217" s="32">
        <v>17958</v>
      </c>
      <c r="J217" t="s">
        <v>239</v>
      </c>
      <c r="K217" t="s">
        <v>234</v>
      </c>
      <c r="L217" t="s">
        <v>235</v>
      </c>
      <c r="M217" t="s">
        <v>236</v>
      </c>
      <c r="N217" t="s">
        <v>237</v>
      </c>
      <c r="O217" s="27">
        <v>46064</v>
      </c>
    </row>
    <row r="218" spans="2:15" hidden="1" x14ac:dyDescent="0.3">
      <c r="B218">
        <v>6463394</v>
      </c>
      <c r="C218" t="s">
        <v>231</v>
      </c>
      <c r="D218">
        <v>23648</v>
      </c>
      <c r="E218" t="s">
        <v>150</v>
      </c>
      <c r="F218" t="s">
        <v>285</v>
      </c>
      <c r="G218" s="28">
        <v>300</v>
      </c>
      <c r="H218" s="32">
        <v>100.51</v>
      </c>
      <c r="I218" s="32">
        <v>17838</v>
      </c>
      <c r="J218" t="s">
        <v>239</v>
      </c>
      <c r="K218" t="s">
        <v>234</v>
      </c>
      <c r="L218" t="s">
        <v>235</v>
      </c>
      <c r="M218" t="s">
        <v>236</v>
      </c>
      <c r="N218" t="s">
        <v>237</v>
      </c>
      <c r="O218" s="27">
        <v>46064</v>
      </c>
    </row>
    <row r="219" spans="2:15" hidden="1" x14ac:dyDescent="0.3">
      <c r="B219">
        <v>4783330</v>
      </c>
      <c r="C219" t="s">
        <v>231</v>
      </c>
      <c r="D219">
        <v>49894</v>
      </c>
      <c r="E219" t="s">
        <v>150</v>
      </c>
      <c r="F219" t="s">
        <v>302</v>
      </c>
      <c r="G219" s="28">
        <v>3200</v>
      </c>
      <c r="H219" s="32">
        <v>100.47</v>
      </c>
      <c r="I219" s="32">
        <v>18400</v>
      </c>
      <c r="J219" t="s">
        <v>239</v>
      </c>
      <c r="K219" t="s">
        <v>245</v>
      </c>
      <c r="L219" t="s">
        <v>235</v>
      </c>
      <c r="M219" t="s">
        <v>236</v>
      </c>
      <c r="N219" t="s">
        <v>240</v>
      </c>
      <c r="O219" s="27">
        <v>46058</v>
      </c>
    </row>
    <row r="220" spans="2:15" hidden="1" x14ac:dyDescent="0.3">
      <c r="B220">
        <v>3106687</v>
      </c>
      <c r="C220" t="s">
        <v>231</v>
      </c>
      <c r="D220">
        <v>22674</v>
      </c>
      <c r="E220" t="s">
        <v>150</v>
      </c>
      <c r="F220" t="s">
        <v>285</v>
      </c>
      <c r="G220" s="28">
        <v>300</v>
      </c>
      <c r="H220" s="32">
        <v>100.26</v>
      </c>
      <c r="I220" s="32">
        <v>17793</v>
      </c>
      <c r="J220" t="s">
        <v>239</v>
      </c>
      <c r="K220" t="s">
        <v>234</v>
      </c>
      <c r="L220" t="s">
        <v>235</v>
      </c>
      <c r="M220" t="s">
        <v>236</v>
      </c>
      <c r="N220" t="s">
        <v>237</v>
      </c>
      <c r="O220" s="27">
        <v>46064</v>
      </c>
    </row>
    <row r="221" spans="2:15" hidden="1" x14ac:dyDescent="0.3">
      <c r="B221">
        <v>3247420</v>
      </c>
      <c r="C221" t="s">
        <v>231</v>
      </c>
      <c r="D221">
        <v>23410</v>
      </c>
      <c r="E221" t="s">
        <v>150</v>
      </c>
      <c r="F221" t="s">
        <v>436</v>
      </c>
      <c r="G221" s="28">
        <v>178</v>
      </c>
      <c r="H221" s="32">
        <v>100.04</v>
      </c>
      <c r="I221" s="32">
        <v>18325.099999999999</v>
      </c>
      <c r="J221" t="s">
        <v>267</v>
      </c>
      <c r="K221" t="s">
        <v>234</v>
      </c>
      <c r="L221" t="s">
        <v>235</v>
      </c>
      <c r="M221" t="s">
        <v>236</v>
      </c>
      <c r="N221" t="s">
        <v>237</v>
      </c>
      <c r="O221" s="27">
        <v>46066</v>
      </c>
    </row>
    <row r="222" spans="2:15" hidden="1" x14ac:dyDescent="0.3">
      <c r="B222">
        <v>362329</v>
      </c>
      <c r="C222" t="s">
        <v>231</v>
      </c>
      <c r="D222">
        <v>49894</v>
      </c>
      <c r="E222" t="s">
        <v>150</v>
      </c>
      <c r="F222" t="s">
        <v>275</v>
      </c>
      <c r="G222" s="28">
        <v>200</v>
      </c>
      <c r="H222" s="32">
        <v>100</v>
      </c>
      <c r="I222" s="32">
        <v>4966</v>
      </c>
      <c r="J222" t="s">
        <v>239</v>
      </c>
      <c r="K222" t="s">
        <v>234</v>
      </c>
      <c r="L222" t="s">
        <v>235</v>
      </c>
      <c r="M222" t="s">
        <v>236</v>
      </c>
      <c r="N222" t="s">
        <v>240</v>
      </c>
      <c r="O222" s="27">
        <v>46063</v>
      </c>
    </row>
    <row r="223" spans="2:15" x14ac:dyDescent="0.3">
      <c r="B223">
        <v>567357</v>
      </c>
      <c r="C223" t="s">
        <v>231</v>
      </c>
      <c r="D223">
        <v>22103</v>
      </c>
      <c r="E223" t="s">
        <v>150</v>
      </c>
      <c r="F223" t="s">
        <v>466</v>
      </c>
      <c r="G223" s="28">
        <v>100</v>
      </c>
      <c r="H223" s="32">
        <v>100</v>
      </c>
      <c r="I223" s="32">
        <v>2536</v>
      </c>
      <c r="J223" t="s">
        <v>241</v>
      </c>
      <c r="K223" t="s">
        <v>242</v>
      </c>
      <c r="L223" t="s">
        <v>235</v>
      </c>
      <c r="M223" t="s">
        <v>236</v>
      </c>
      <c r="N223" t="s">
        <v>237</v>
      </c>
      <c r="O223" s="27">
        <v>46073</v>
      </c>
    </row>
    <row r="224" spans="2:15" hidden="1" x14ac:dyDescent="0.3">
      <c r="B224">
        <v>11732843</v>
      </c>
      <c r="C224" t="s">
        <v>231</v>
      </c>
      <c r="D224">
        <v>96837</v>
      </c>
      <c r="E224" t="s">
        <v>150</v>
      </c>
      <c r="F224" t="s">
        <v>266</v>
      </c>
      <c r="G224" s="28">
        <v>16</v>
      </c>
      <c r="H224" s="32">
        <v>100</v>
      </c>
      <c r="I224" s="32">
        <v>1705.6</v>
      </c>
      <c r="J224" t="s">
        <v>267</v>
      </c>
      <c r="K224" t="s">
        <v>234</v>
      </c>
      <c r="L224" t="s">
        <v>235</v>
      </c>
      <c r="M224" t="s">
        <v>236</v>
      </c>
      <c r="N224" t="s">
        <v>237</v>
      </c>
      <c r="O224" s="27">
        <v>46071</v>
      </c>
    </row>
    <row r="225" spans="2:15" hidden="1" x14ac:dyDescent="0.3">
      <c r="B225">
        <v>2367191</v>
      </c>
      <c r="C225" t="s">
        <v>231</v>
      </c>
      <c r="D225">
        <v>38517</v>
      </c>
      <c r="E225" t="s">
        <v>150</v>
      </c>
      <c r="F225" t="s">
        <v>266</v>
      </c>
      <c r="G225" s="28">
        <v>30</v>
      </c>
      <c r="H225" s="32">
        <v>100</v>
      </c>
      <c r="I225" s="32">
        <v>3204.66</v>
      </c>
      <c r="J225" t="s">
        <v>267</v>
      </c>
      <c r="K225" t="s">
        <v>234</v>
      </c>
      <c r="L225" t="s">
        <v>235</v>
      </c>
      <c r="M225" t="s">
        <v>236</v>
      </c>
      <c r="N225" t="s">
        <v>237</v>
      </c>
      <c r="O225" s="27">
        <v>46057</v>
      </c>
    </row>
    <row r="226" spans="2:15" hidden="1" x14ac:dyDescent="0.3">
      <c r="B226">
        <v>3247420</v>
      </c>
      <c r="C226" t="s">
        <v>231</v>
      </c>
      <c r="D226">
        <v>23410</v>
      </c>
      <c r="E226" t="s">
        <v>150</v>
      </c>
      <c r="F226" t="s">
        <v>266</v>
      </c>
      <c r="G226" s="28">
        <v>173</v>
      </c>
      <c r="H226" s="32">
        <v>100</v>
      </c>
      <c r="I226" s="32">
        <v>18303.400000000001</v>
      </c>
      <c r="J226" t="s">
        <v>267</v>
      </c>
      <c r="K226" t="s">
        <v>234</v>
      </c>
      <c r="L226" t="s">
        <v>235</v>
      </c>
      <c r="M226" t="s">
        <v>236</v>
      </c>
      <c r="N226" t="s">
        <v>237</v>
      </c>
      <c r="O226" s="27">
        <v>46066</v>
      </c>
    </row>
    <row r="227" spans="2:15" hidden="1" x14ac:dyDescent="0.3">
      <c r="B227">
        <v>4302914</v>
      </c>
      <c r="C227" t="s">
        <v>231</v>
      </c>
      <c r="D227">
        <v>69519</v>
      </c>
      <c r="E227" t="s">
        <v>150</v>
      </c>
      <c r="F227" t="s">
        <v>266</v>
      </c>
      <c r="G227" s="28">
        <v>116</v>
      </c>
      <c r="H227" s="32">
        <v>100</v>
      </c>
      <c r="I227" s="32">
        <v>12396.08</v>
      </c>
      <c r="J227" t="s">
        <v>267</v>
      </c>
      <c r="K227" t="s">
        <v>234</v>
      </c>
      <c r="L227" t="s">
        <v>235</v>
      </c>
      <c r="M227" t="s">
        <v>236</v>
      </c>
      <c r="N227" t="s">
        <v>237</v>
      </c>
      <c r="O227" s="27">
        <v>46057</v>
      </c>
    </row>
    <row r="228" spans="2:15" hidden="1" x14ac:dyDescent="0.3">
      <c r="B228">
        <v>16469589</v>
      </c>
      <c r="C228" t="s">
        <v>231</v>
      </c>
      <c r="D228">
        <v>41072</v>
      </c>
      <c r="E228" t="s">
        <v>150</v>
      </c>
      <c r="F228" t="s">
        <v>303</v>
      </c>
      <c r="G228" s="28">
        <v>1600</v>
      </c>
      <c r="H228" s="32">
        <v>100</v>
      </c>
      <c r="I228" s="32">
        <v>10560</v>
      </c>
      <c r="J228" t="s">
        <v>239</v>
      </c>
      <c r="K228" t="s">
        <v>234</v>
      </c>
      <c r="L228" t="s">
        <v>235</v>
      </c>
      <c r="M228" t="s">
        <v>236</v>
      </c>
      <c r="N228" t="s">
        <v>237</v>
      </c>
      <c r="O228" s="27">
        <v>46057</v>
      </c>
    </row>
    <row r="229" spans="2:15" hidden="1" x14ac:dyDescent="0.3">
      <c r="B229">
        <v>4302914</v>
      </c>
      <c r="C229" t="s">
        <v>231</v>
      </c>
      <c r="D229">
        <v>69519</v>
      </c>
      <c r="E229" t="s">
        <v>150</v>
      </c>
      <c r="F229" t="s">
        <v>436</v>
      </c>
      <c r="G229" s="28">
        <v>48</v>
      </c>
      <c r="H229" s="32">
        <v>100</v>
      </c>
      <c r="I229" s="32">
        <v>4943.1400000000003</v>
      </c>
      <c r="J229" t="s">
        <v>267</v>
      </c>
      <c r="K229" t="s">
        <v>234</v>
      </c>
      <c r="L229" t="s">
        <v>235</v>
      </c>
      <c r="M229" t="s">
        <v>236</v>
      </c>
      <c r="N229" t="s">
        <v>237</v>
      </c>
      <c r="O229" s="27">
        <v>46057</v>
      </c>
    </row>
    <row r="230" spans="2:15" hidden="1" x14ac:dyDescent="0.3">
      <c r="B230">
        <v>357627</v>
      </c>
      <c r="C230" t="s">
        <v>231</v>
      </c>
      <c r="D230">
        <v>72444</v>
      </c>
      <c r="E230" t="s">
        <v>150</v>
      </c>
      <c r="F230" t="s">
        <v>166</v>
      </c>
      <c r="G230" s="28">
        <v>700</v>
      </c>
      <c r="H230" s="32">
        <v>100</v>
      </c>
      <c r="I230" s="32">
        <v>13503</v>
      </c>
      <c r="J230" t="s">
        <v>249</v>
      </c>
      <c r="K230" t="s">
        <v>249</v>
      </c>
      <c r="L230" t="s">
        <v>235</v>
      </c>
      <c r="M230" t="s">
        <v>236</v>
      </c>
      <c r="N230" t="s">
        <v>237</v>
      </c>
      <c r="O230" s="27">
        <v>46056</v>
      </c>
    </row>
    <row r="231" spans="2:15" hidden="1" x14ac:dyDescent="0.3">
      <c r="B231">
        <v>4406804</v>
      </c>
      <c r="C231" t="s">
        <v>231</v>
      </c>
      <c r="D231">
        <v>96553</v>
      </c>
      <c r="E231" t="s">
        <v>150</v>
      </c>
      <c r="F231" t="s">
        <v>157</v>
      </c>
      <c r="G231" s="28">
        <v>110</v>
      </c>
      <c r="H231" s="32">
        <v>100</v>
      </c>
      <c r="I231" s="32">
        <v>9564.5</v>
      </c>
      <c r="J231" t="s">
        <v>249</v>
      </c>
      <c r="K231" t="s">
        <v>249</v>
      </c>
      <c r="L231" t="s">
        <v>235</v>
      </c>
      <c r="M231" t="s">
        <v>236</v>
      </c>
      <c r="N231" t="s">
        <v>237</v>
      </c>
      <c r="O231" s="27">
        <v>46066</v>
      </c>
    </row>
    <row r="232" spans="2:15" hidden="1" x14ac:dyDescent="0.3">
      <c r="B232">
        <v>3247420</v>
      </c>
      <c r="C232" t="s">
        <v>231</v>
      </c>
      <c r="D232">
        <v>23410</v>
      </c>
      <c r="E232" t="s">
        <v>150</v>
      </c>
      <c r="F232" t="s">
        <v>421</v>
      </c>
      <c r="G232" s="28">
        <v>1875</v>
      </c>
      <c r="H232" s="32">
        <v>100</v>
      </c>
      <c r="I232" s="32">
        <v>18243.75</v>
      </c>
      <c r="J232" t="s">
        <v>267</v>
      </c>
      <c r="K232" t="s">
        <v>234</v>
      </c>
      <c r="L232" t="s">
        <v>235</v>
      </c>
      <c r="M232" t="s">
        <v>236</v>
      </c>
      <c r="N232" t="s">
        <v>237</v>
      </c>
      <c r="O232" s="27">
        <v>46066</v>
      </c>
    </row>
    <row r="233" spans="2:15" hidden="1" x14ac:dyDescent="0.3">
      <c r="B233">
        <v>293951</v>
      </c>
      <c r="C233" t="s">
        <v>231</v>
      </c>
      <c r="D233">
        <v>25619</v>
      </c>
      <c r="E233" t="s">
        <v>150</v>
      </c>
      <c r="F233" t="s">
        <v>445</v>
      </c>
      <c r="G233" s="28">
        <v>425</v>
      </c>
      <c r="H233" s="32">
        <v>100</v>
      </c>
      <c r="I233" s="32">
        <v>9484.7000000000007</v>
      </c>
      <c r="J233" t="s">
        <v>239</v>
      </c>
      <c r="K233" t="s">
        <v>245</v>
      </c>
      <c r="L233" t="s">
        <v>235</v>
      </c>
      <c r="M233" t="s">
        <v>236</v>
      </c>
      <c r="N233" t="s">
        <v>237</v>
      </c>
      <c r="O233" s="27">
        <v>46058</v>
      </c>
    </row>
    <row r="234" spans="2:15" hidden="1" x14ac:dyDescent="0.3">
      <c r="B234">
        <v>293951</v>
      </c>
      <c r="C234" t="s">
        <v>231</v>
      </c>
      <c r="D234">
        <v>25619</v>
      </c>
      <c r="E234" t="s">
        <v>150</v>
      </c>
      <c r="F234" t="s">
        <v>446</v>
      </c>
      <c r="G234" s="28">
        <v>1230</v>
      </c>
      <c r="H234" s="32">
        <v>100</v>
      </c>
      <c r="I234" s="32">
        <v>9559.44</v>
      </c>
      <c r="J234" t="s">
        <v>239</v>
      </c>
      <c r="K234" t="s">
        <v>245</v>
      </c>
      <c r="L234" t="s">
        <v>235</v>
      </c>
      <c r="M234" t="s">
        <v>236</v>
      </c>
      <c r="N234" t="s">
        <v>237</v>
      </c>
      <c r="O234" s="27">
        <v>46058</v>
      </c>
    </row>
    <row r="235" spans="2:15" hidden="1" x14ac:dyDescent="0.3">
      <c r="B235">
        <v>293951</v>
      </c>
      <c r="C235" t="s">
        <v>231</v>
      </c>
      <c r="D235">
        <v>25619</v>
      </c>
      <c r="E235" t="s">
        <v>150</v>
      </c>
      <c r="F235" t="s">
        <v>447</v>
      </c>
      <c r="G235" s="28">
        <v>1670</v>
      </c>
      <c r="H235" s="32">
        <v>100</v>
      </c>
      <c r="I235" s="32">
        <v>9602.5</v>
      </c>
      <c r="J235" t="s">
        <v>239</v>
      </c>
      <c r="K235" t="s">
        <v>245</v>
      </c>
      <c r="L235" t="s">
        <v>235</v>
      </c>
      <c r="M235" t="s">
        <v>236</v>
      </c>
      <c r="N235" t="s">
        <v>237</v>
      </c>
      <c r="O235" s="27">
        <v>46058</v>
      </c>
    </row>
    <row r="236" spans="2:15" hidden="1" x14ac:dyDescent="0.3">
      <c r="B236">
        <v>362329</v>
      </c>
      <c r="C236" t="s">
        <v>231</v>
      </c>
      <c r="D236">
        <v>49894</v>
      </c>
      <c r="E236" t="s">
        <v>150</v>
      </c>
      <c r="F236" t="s">
        <v>160</v>
      </c>
      <c r="G236" s="28">
        <v>100</v>
      </c>
      <c r="H236" s="32">
        <v>100</v>
      </c>
      <c r="I236" s="32">
        <v>8744</v>
      </c>
      <c r="J236" t="s">
        <v>239</v>
      </c>
      <c r="K236" t="s">
        <v>234</v>
      </c>
      <c r="L236" t="s">
        <v>235</v>
      </c>
      <c r="M236" t="s">
        <v>236</v>
      </c>
      <c r="N236" t="s">
        <v>240</v>
      </c>
      <c r="O236" s="27">
        <v>46063</v>
      </c>
    </row>
    <row r="237" spans="2:15" hidden="1" x14ac:dyDescent="0.3">
      <c r="B237">
        <v>4783330</v>
      </c>
      <c r="C237" t="s">
        <v>231</v>
      </c>
      <c r="D237">
        <v>49894</v>
      </c>
      <c r="E237" t="s">
        <v>150</v>
      </c>
      <c r="F237" t="s">
        <v>160</v>
      </c>
      <c r="G237" s="28">
        <v>200</v>
      </c>
      <c r="H237" s="32">
        <v>100</v>
      </c>
      <c r="I237" s="32">
        <v>17712</v>
      </c>
      <c r="J237" t="s">
        <v>239</v>
      </c>
      <c r="K237" t="s">
        <v>245</v>
      </c>
      <c r="L237" t="s">
        <v>235</v>
      </c>
      <c r="M237" t="s">
        <v>236</v>
      </c>
      <c r="N237" t="s">
        <v>240</v>
      </c>
      <c r="O237" s="27">
        <v>46058</v>
      </c>
    </row>
    <row r="238" spans="2:15" hidden="1" x14ac:dyDescent="0.3">
      <c r="B238">
        <v>9635202</v>
      </c>
      <c r="C238" t="s">
        <v>231</v>
      </c>
      <c r="D238">
        <v>71881</v>
      </c>
      <c r="E238" t="s">
        <v>150</v>
      </c>
      <c r="F238" t="s">
        <v>291</v>
      </c>
      <c r="G238" s="28">
        <v>1022</v>
      </c>
      <c r="H238" s="32">
        <v>100</v>
      </c>
      <c r="I238" s="32">
        <v>10046.26</v>
      </c>
      <c r="J238" t="s">
        <v>267</v>
      </c>
      <c r="K238" t="s">
        <v>234</v>
      </c>
      <c r="L238" t="s">
        <v>235</v>
      </c>
      <c r="M238" t="s">
        <v>236</v>
      </c>
      <c r="N238" t="s">
        <v>240</v>
      </c>
      <c r="O238" s="27">
        <v>46059</v>
      </c>
    </row>
    <row r="239" spans="2:15" hidden="1" x14ac:dyDescent="0.3">
      <c r="B239">
        <v>3918792</v>
      </c>
      <c r="C239" t="s">
        <v>260</v>
      </c>
      <c r="D239">
        <v>23648</v>
      </c>
      <c r="E239" t="s">
        <v>150</v>
      </c>
      <c r="F239" t="s">
        <v>300</v>
      </c>
      <c r="G239" s="28">
        <v>24</v>
      </c>
      <c r="H239" s="32">
        <v>100</v>
      </c>
      <c r="I239" s="32">
        <v>1887.36</v>
      </c>
      <c r="J239" t="s">
        <v>239</v>
      </c>
      <c r="K239" t="s">
        <v>234</v>
      </c>
      <c r="L239" t="s">
        <v>235</v>
      </c>
      <c r="M239" t="s">
        <v>236</v>
      </c>
      <c r="N239" t="s">
        <v>237</v>
      </c>
      <c r="O239" s="27">
        <v>46058</v>
      </c>
    </row>
    <row r="240" spans="2:15" hidden="1" x14ac:dyDescent="0.3">
      <c r="B240">
        <v>4257721</v>
      </c>
      <c r="C240" t="s">
        <v>260</v>
      </c>
      <c r="D240">
        <v>22674</v>
      </c>
      <c r="E240" t="s">
        <v>150</v>
      </c>
      <c r="F240" t="s">
        <v>307</v>
      </c>
      <c r="G240" s="28">
        <v>700</v>
      </c>
      <c r="H240" s="32">
        <v>100</v>
      </c>
      <c r="I240" s="32">
        <v>2856</v>
      </c>
      <c r="J240" t="s">
        <v>239</v>
      </c>
      <c r="K240" t="s">
        <v>234</v>
      </c>
      <c r="L240" t="s">
        <v>235</v>
      </c>
      <c r="M240" t="s">
        <v>236</v>
      </c>
      <c r="N240" t="s">
        <v>240</v>
      </c>
      <c r="O240" s="27">
        <v>46064</v>
      </c>
    </row>
    <row r="241" spans="2:15" hidden="1" x14ac:dyDescent="0.3">
      <c r="B241">
        <v>9650565</v>
      </c>
      <c r="C241" t="s">
        <v>260</v>
      </c>
      <c r="D241">
        <v>96553</v>
      </c>
      <c r="E241" t="s">
        <v>150</v>
      </c>
      <c r="F241" t="s">
        <v>157</v>
      </c>
      <c r="G241" s="28">
        <v>110</v>
      </c>
      <c r="H241" s="32">
        <v>100</v>
      </c>
      <c r="I241" s="32">
        <v>9564.5</v>
      </c>
      <c r="J241" t="s">
        <v>249</v>
      </c>
      <c r="K241" t="s">
        <v>249</v>
      </c>
      <c r="L241" t="s">
        <v>235</v>
      </c>
      <c r="M241" t="s">
        <v>236</v>
      </c>
      <c r="N241" t="s">
        <v>237</v>
      </c>
      <c r="O241" s="27">
        <v>46066</v>
      </c>
    </row>
    <row r="242" spans="2:15" hidden="1" x14ac:dyDescent="0.3">
      <c r="B242">
        <v>3647191</v>
      </c>
      <c r="C242" t="s">
        <v>260</v>
      </c>
      <c r="D242">
        <v>69519</v>
      </c>
      <c r="E242" t="s">
        <v>150</v>
      </c>
      <c r="F242" t="s">
        <v>426</v>
      </c>
      <c r="G242" s="28">
        <v>165</v>
      </c>
      <c r="H242" s="32">
        <v>100</v>
      </c>
      <c r="I242" s="32">
        <v>14203.08</v>
      </c>
      <c r="J242" t="s">
        <v>267</v>
      </c>
      <c r="K242" t="s">
        <v>234</v>
      </c>
      <c r="L242" t="s">
        <v>235</v>
      </c>
      <c r="M242" t="s">
        <v>236</v>
      </c>
      <c r="N242" t="s">
        <v>240</v>
      </c>
      <c r="O242" s="27">
        <v>46056</v>
      </c>
    </row>
    <row r="243" spans="2:15" hidden="1" x14ac:dyDescent="0.3">
      <c r="B243">
        <v>14521528</v>
      </c>
      <c r="C243" t="s">
        <v>260</v>
      </c>
      <c r="D243">
        <v>25619</v>
      </c>
      <c r="E243" t="s">
        <v>150</v>
      </c>
      <c r="F243" t="s">
        <v>445</v>
      </c>
      <c r="G243" s="28">
        <v>500</v>
      </c>
      <c r="H243" s="32">
        <v>100</v>
      </c>
      <c r="I243" s="32">
        <v>11154.17</v>
      </c>
      <c r="J243" t="s">
        <v>239</v>
      </c>
      <c r="K243" t="s">
        <v>234</v>
      </c>
      <c r="L243" t="s">
        <v>235</v>
      </c>
      <c r="M243" t="s">
        <v>236</v>
      </c>
      <c r="N243" t="s">
        <v>237</v>
      </c>
      <c r="O243" s="27">
        <v>46062</v>
      </c>
    </row>
    <row r="244" spans="2:15" hidden="1" x14ac:dyDescent="0.3">
      <c r="B244">
        <v>5933489</v>
      </c>
      <c r="C244" t="s">
        <v>231</v>
      </c>
      <c r="D244">
        <v>23648</v>
      </c>
      <c r="E244" t="s">
        <v>150</v>
      </c>
      <c r="F244" t="s">
        <v>285</v>
      </c>
      <c r="G244" s="28">
        <v>300</v>
      </c>
      <c r="H244" s="32">
        <v>99.84</v>
      </c>
      <c r="I244" s="32">
        <v>17718</v>
      </c>
      <c r="J244" t="s">
        <v>239</v>
      </c>
      <c r="K244" t="s">
        <v>234</v>
      </c>
      <c r="L244" t="s">
        <v>235</v>
      </c>
      <c r="M244" t="s">
        <v>236</v>
      </c>
      <c r="N244" t="s">
        <v>237</v>
      </c>
      <c r="O244" s="27">
        <v>46064</v>
      </c>
    </row>
    <row r="245" spans="2:15" hidden="1" x14ac:dyDescent="0.3">
      <c r="B245">
        <v>8218280</v>
      </c>
      <c r="C245" t="s">
        <v>260</v>
      </c>
      <c r="D245">
        <v>21559</v>
      </c>
      <c r="E245" t="s">
        <v>150</v>
      </c>
      <c r="F245" t="s">
        <v>285</v>
      </c>
      <c r="G245" s="28">
        <v>300</v>
      </c>
      <c r="H245" s="32">
        <v>99.82</v>
      </c>
      <c r="I245" s="32">
        <v>17712</v>
      </c>
      <c r="J245" t="s">
        <v>239</v>
      </c>
      <c r="K245" t="s">
        <v>234</v>
      </c>
      <c r="L245" t="s">
        <v>235</v>
      </c>
      <c r="M245" t="s">
        <v>236</v>
      </c>
      <c r="N245" t="s">
        <v>237</v>
      </c>
      <c r="O245" s="27">
        <v>46065</v>
      </c>
    </row>
    <row r="246" spans="2:15" hidden="1" x14ac:dyDescent="0.3">
      <c r="B246">
        <v>2727239</v>
      </c>
      <c r="C246" t="s">
        <v>231</v>
      </c>
      <c r="D246">
        <v>21559</v>
      </c>
      <c r="E246" t="s">
        <v>150</v>
      </c>
      <c r="F246" t="s">
        <v>285</v>
      </c>
      <c r="G246" s="28">
        <v>300</v>
      </c>
      <c r="H246" s="32">
        <v>99.81</v>
      </c>
      <c r="I246" s="32">
        <v>17712</v>
      </c>
      <c r="J246" t="s">
        <v>239</v>
      </c>
      <c r="K246" t="s">
        <v>234</v>
      </c>
      <c r="L246" t="s">
        <v>235</v>
      </c>
      <c r="M246" t="s">
        <v>236</v>
      </c>
      <c r="N246" t="s">
        <v>237</v>
      </c>
      <c r="O246" s="27">
        <v>46065</v>
      </c>
    </row>
    <row r="247" spans="2:15" hidden="1" x14ac:dyDescent="0.3">
      <c r="B247">
        <v>15255517</v>
      </c>
      <c r="C247" t="s">
        <v>231</v>
      </c>
      <c r="D247">
        <v>23648</v>
      </c>
      <c r="E247" t="s">
        <v>150</v>
      </c>
      <c r="F247" t="s">
        <v>285</v>
      </c>
      <c r="G247" s="28">
        <v>300</v>
      </c>
      <c r="H247" s="32">
        <v>99.67</v>
      </c>
      <c r="I247" s="32">
        <v>17688</v>
      </c>
      <c r="J247" t="s">
        <v>239</v>
      </c>
      <c r="K247" t="s">
        <v>234</v>
      </c>
      <c r="L247" t="s">
        <v>235</v>
      </c>
      <c r="M247" t="s">
        <v>236</v>
      </c>
      <c r="N247" t="s">
        <v>237</v>
      </c>
      <c r="O247" s="27">
        <v>46064</v>
      </c>
    </row>
    <row r="248" spans="2:15" hidden="1" x14ac:dyDescent="0.3">
      <c r="B248">
        <v>18984587</v>
      </c>
      <c r="C248" t="s">
        <v>260</v>
      </c>
      <c r="D248">
        <v>21559</v>
      </c>
      <c r="E248" t="s">
        <v>150</v>
      </c>
      <c r="F248" t="s">
        <v>285</v>
      </c>
      <c r="G248" s="28">
        <v>300</v>
      </c>
      <c r="H248" s="32">
        <v>99.42</v>
      </c>
      <c r="I248" s="32">
        <v>17640</v>
      </c>
      <c r="J248" t="s">
        <v>239</v>
      </c>
      <c r="K248" t="s">
        <v>234</v>
      </c>
      <c r="L248" t="s">
        <v>235</v>
      </c>
      <c r="M248" t="s">
        <v>236</v>
      </c>
      <c r="N248" t="s">
        <v>237</v>
      </c>
      <c r="O248" s="27">
        <v>46065</v>
      </c>
    </row>
    <row r="249" spans="2:15" hidden="1" x14ac:dyDescent="0.3">
      <c r="B249">
        <v>5377617</v>
      </c>
      <c r="C249" t="s">
        <v>231</v>
      </c>
      <c r="D249">
        <v>21559</v>
      </c>
      <c r="E249" t="s">
        <v>150</v>
      </c>
      <c r="F249" t="s">
        <v>285</v>
      </c>
      <c r="G249" s="28">
        <v>300</v>
      </c>
      <c r="H249" s="32">
        <v>99.2</v>
      </c>
      <c r="I249" s="32">
        <v>17604</v>
      </c>
      <c r="J249" t="s">
        <v>239</v>
      </c>
      <c r="K249" t="s">
        <v>234</v>
      </c>
      <c r="L249" t="s">
        <v>235</v>
      </c>
      <c r="M249" t="s">
        <v>236</v>
      </c>
      <c r="N249" t="s">
        <v>237</v>
      </c>
      <c r="O249" s="27">
        <v>46065</v>
      </c>
    </row>
    <row r="250" spans="2:15" hidden="1" x14ac:dyDescent="0.3">
      <c r="B250">
        <v>2410665</v>
      </c>
      <c r="C250" t="s">
        <v>231</v>
      </c>
      <c r="D250">
        <v>21559</v>
      </c>
      <c r="E250" t="s">
        <v>150</v>
      </c>
      <c r="F250" t="s">
        <v>285</v>
      </c>
      <c r="G250" s="28">
        <v>300</v>
      </c>
      <c r="H250" s="32">
        <v>98.63</v>
      </c>
      <c r="I250" s="32">
        <v>17502</v>
      </c>
      <c r="J250" t="s">
        <v>239</v>
      </c>
      <c r="K250" t="s">
        <v>234</v>
      </c>
      <c r="L250" t="s">
        <v>235</v>
      </c>
      <c r="M250" t="s">
        <v>236</v>
      </c>
      <c r="N250" t="s">
        <v>237</v>
      </c>
      <c r="O250" s="27">
        <v>46065</v>
      </c>
    </row>
    <row r="251" spans="2:15" hidden="1" x14ac:dyDescent="0.3">
      <c r="B251">
        <v>4382412</v>
      </c>
      <c r="C251" t="s">
        <v>231</v>
      </c>
      <c r="D251">
        <v>49894</v>
      </c>
      <c r="E251" t="s">
        <v>150</v>
      </c>
      <c r="F251" t="s">
        <v>833</v>
      </c>
      <c r="G251" s="28">
        <v>100</v>
      </c>
      <c r="H251" s="32">
        <v>98.59</v>
      </c>
      <c r="I251" s="32">
        <v>18530</v>
      </c>
      <c r="J251" t="s">
        <v>239</v>
      </c>
      <c r="K251" t="s">
        <v>234</v>
      </c>
      <c r="L251" t="s">
        <v>235</v>
      </c>
      <c r="M251" t="s">
        <v>236</v>
      </c>
      <c r="N251" t="s">
        <v>237</v>
      </c>
      <c r="O251" s="27">
        <v>46076</v>
      </c>
    </row>
    <row r="252" spans="2:15" hidden="1" x14ac:dyDescent="0.3">
      <c r="B252">
        <v>215083</v>
      </c>
      <c r="C252" t="s">
        <v>231</v>
      </c>
      <c r="D252">
        <v>23410</v>
      </c>
      <c r="E252" t="s">
        <v>150</v>
      </c>
      <c r="F252" t="s">
        <v>289</v>
      </c>
      <c r="G252" s="28">
        <v>795</v>
      </c>
      <c r="H252" s="32">
        <v>96.63</v>
      </c>
      <c r="I252" s="32">
        <v>17081.41</v>
      </c>
      <c r="J252" t="s">
        <v>239</v>
      </c>
      <c r="K252" t="s">
        <v>245</v>
      </c>
      <c r="L252" t="s">
        <v>235</v>
      </c>
      <c r="M252" t="s">
        <v>236</v>
      </c>
      <c r="N252" t="s">
        <v>237</v>
      </c>
      <c r="O252" s="27">
        <v>46055</v>
      </c>
    </row>
    <row r="253" spans="2:15" hidden="1" x14ac:dyDescent="0.3">
      <c r="B253">
        <v>4375042</v>
      </c>
      <c r="C253" t="s">
        <v>231</v>
      </c>
      <c r="D253">
        <v>25619</v>
      </c>
      <c r="E253" t="s">
        <v>150</v>
      </c>
      <c r="F253" t="s">
        <v>407</v>
      </c>
      <c r="G253" s="28">
        <v>384</v>
      </c>
      <c r="H253" s="32">
        <v>96.31</v>
      </c>
      <c r="I253" s="32">
        <v>19780.650000000001</v>
      </c>
      <c r="J253" t="s">
        <v>239</v>
      </c>
      <c r="K253" t="s">
        <v>245</v>
      </c>
      <c r="L253" t="s">
        <v>235</v>
      </c>
      <c r="M253" t="s">
        <v>236</v>
      </c>
      <c r="N253" t="s">
        <v>237</v>
      </c>
      <c r="O253" s="27">
        <v>46072</v>
      </c>
    </row>
    <row r="254" spans="2:15" hidden="1" x14ac:dyDescent="0.3">
      <c r="B254">
        <v>3478209</v>
      </c>
      <c r="C254" t="s">
        <v>231</v>
      </c>
      <c r="D254">
        <v>21559</v>
      </c>
      <c r="E254" t="s">
        <v>150</v>
      </c>
      <c r="F254" t="s">
        <v>163</v>
      </c>
      <c r="G254" s="28">
        <v>620</v>
      </c>
      <c r="H254" s="32">
        <v>96.1</v>
      </c>
      <c r="I254" s="32">
        <v>8655.6200000000008</v>
      </c>
      <c r="J254" t="s">
        <v>239</v>
      </c>
      <c r="K254" t="s">
        <v>245</v>
      </c>
      <c r="L254" t="s">
        <v>235</v>
      </c>
      <c r="M254" t="s">
        <v>236</v>
      </c>
      <c r="N254" t="s">
        <v>237</v>
      </c>
      <c r="O254" s="27">
        <v>46063</v>
      </c>
    </row>
    <row r="255" spans="2:15" hidden="1" x14ac:dyDescent="0.3">
      <c r="B255">
        <v>4382412</v>
      </c>
      <c r="C255" t="s">
        <v>231</v>
      </c>
      <c r="D255">
        <v>49894</v>
      </c>
      <c r="E255" t="s">
        <v>150</v>
      </c>
      <c r="F255" t="s">
        <v>314</v>
      </c>
      <c r="G255" s="28">
        <v>779</v>
      </c>
      <c r="H255" s="32">
        <v>95.7</v>
      </c>
      <c r="I255" s="32">
        <v>16877.45</v>
      </c>
      <c r="J255" t="s">
        <v>239</v>
      </c>
      <c r="K255" t="s">
        <v>245</v>
      </c>
      <c r="L255" t="s">
        <v>235</v>
      </c>
      <c r="M255" t="s">
        <v>236</v>
      </c>
      <c r="N255" t="s">
        <v>240</v>
      </c>
      <c r="O255" s="27">
        <v>46062</v>
      </c>
    </row>
    <row r="256" spans="2:15" hidden="1" x14ac:dyDescent="0.3">
      <c r="B256">
        <v>5567161</v>
      </c>
      <c r="C256" t="s">
        <v>231</v>
      </c>
      <c r="D256">
        <v>24415</v>
      </c>
      <c r="E256" t="s">
        <v>150</v>
      </c>
      <c r="F256" t="s">
        <v>288</v>
      </c>
      <c r="G256" s="28">
        <v>800</v>
      </c>
      <c r="H256" s="32">
        <v>94.67</v>
      </c>
      <c r="I256" s="32">
        <v>15824</v>
      </c>
      <c r="J256" t="s">
        <v>239</v>
      </c>
      <c r="K256" t="s">
        <v>245</v>
      </c>
      <c r="L256" t="s">
        <v>235</v>
      </c>
      <c r="M256" t="s">
        <v>236</v>
      </c>
      <c r="N256" t="s">
        <v>240</v>
      </c>
      <c r="O256" s="27">
        <v>46063</v>
      </c>
    </row>
    <row r="257" spans="2:15" hidden="1" x14ac:dyDescent="0.3">
      <c r="B257">
        <v>3436001</v>
      </c>
      <c r="C257" t="s">
        <v>260</v>
      </c>
      <c r="D257">
        <v>21468</v>
      </c>
      <c r="E257" t="s">
        <v>150</v>
      </c>
      <c r="F257" t="s">
        <v>166</v>
      </c>
      <c r="G257" s="28">
        <v>700</v>
      </c>
      <c r="H257" s="32">
        <v>92.73</v>
      </c>
      <c r="I257" s="32">
        <v>13503</v>
      </c>
      <c r="J257" t="s">
        <v>249</v>
      </c>
      <c r="K257" t="s">
        <v>249</v>
      </c>
      <c r="L257" t="s">
        <v>235</v>
      </c>
      <c r="M257" t="s">
        <v>236</v>
      </c>
      <c r="N257" t="s">
        <v>237</v>
      </c>
      <c r="O257" s="27">
        <v>46056</v>
      </c>
    </row>
    <row r="258" spans="2:15" hidden="1" x14ac:dyDescent="0.3">
      <c r="B258">
        <v>215083</v>
      </c>
      <c r="C258" t="s">
        <v>231</v>
      </c>
      <c r="D258">
        <v>23410</v>
      </c>
      <c r="E258" t="s">
        <v>150</v>
      </c>
      <c r="F258" t="s">
        <v>258</v>
      </c>
      <c r="G258" s="28">
        <v>1507</v>
      </c>
      <c r="H258" s="32">
        <v>92.12</v>
      </c>
      <c r="I258" s="32">
        <v>16296.45</v>
      </c>
      <c r="J258" t="s">
        <v>239</v>
      </c>
      <c r="K258" t="s">
        <v>245</v>
      </c>
      <c r="L258" t="s">
        <v>235</v>
      </c>
      <c r="M258" t="s">
        <v>236</v>
      </c>
      <c r="N258" t="s">
        <v>240</v>
      </c>
      <c r="O258" s="27">
        <v>46055</v>
      </c>
    </row>
    <row r="259" spans="2:15" hidden="1" x14ac:dyDescent="0.3">
      <c r="B259">
        <v>11409889</v>
      </c>
      <c r="C259" t="s">
        <v>231</v>
      </c>
      <c r="D259">
        <v>25104</v>
      </c>
      <c r="E259" t="s">
        <v>150</v>
      </c>
      <c r="F259" t="s">
        <v>259</v>
      </c>
      <c r="G259" s="28">
        <v>800</v>
      </c>
      <c r="H259" s="32">
        <v>90.58</v>
      </c>
      <c r="I259" s="32">
        <v>17112</v>
      </c>
      <c r="J259" t="s">
        <v>239</v>
      </c>
      <c r="K259" t="s">
        <v>234</v>
      </c>
      <c r="L259" t="s">
        <v>235</v>
      </c>
      <c r="M259" t="s">
        <v>236</v>
      </c>
      <c r="N259" t="s">
        <v>240</v>
      </c>
      <c r="O259" s="27">
        <v>46072</v>
      </c>
    </row>
    <row r="260" spans="2:15" hidden="1" x14ac:dyDescent="0.3">
      <c r="B260">
        <v>272204</v>
      </c>
      <c r="C260" t="s">
        <v>231</v>
      </c>
      <c r="D260">
        <v>23648</v>
      </c>
      <c r="E260" t="s">
        <v>150</v>
      </c>
      <c r="F260" t="s">
        <v>246</v>
      </c>
      <c r="G260" s="28">
        <v>572</v>
      </c>
      <c r="H260" s="32">
        <v>90.32</v>
      </c>
      <c r="I260" s="32">
        <v>21252.06</v>
      </c>
      <c r="J260" t="s">
        <v>239</v>
      </c>
      <c r="K260" t="s">
        <v>245</v>
      </c>
      <c r="L260" t="s">
        <v>235</v>
      </c>
      <c r="M260" t="s">
        <v>236</v>
      </c>
      <c r="N260" t="s">
        <v>237</v>
      </c>
      <c r="O260" s="27">
        <v>46063</v>
      </c>
    </row>
    <row r="261" spans="2:15" hidden="1" x14ac:dyDescent="0.3">
      <c r="B261">
        <v>9303108</v>
      </c>
      <c r="C261" t="s">
        <v>260</v>
      </c>
      <c r="D261">
        <v>69493</v>
      </c>
      <c r="E261" t="s">
        <v>150</v>
      </c>
      <c r="F261" t="s">
        <v>289</v>
      </c>
      <c r="G261" s="28">
        <v>734</v>
      </c>
      <c r="H261" s="32">
        <v>89.65</v>
      </c>
      <c r="I261" s="32">
        <v>15770.76</v>
      </c>
      <c r="J261" t="s">
        <v>239</v>
      </c>
      <c r="K261" t="s">
        <v>245</v>
      </c>
      <c r="L261" t="s">
        <v>235</v>
      </c>
      <c r="M261" t="s">
        <v>236</v>
      </c>
      <c r="N261" t="s">
        <v>237</v>
      </c>
      <c r="O261" s="27">
        <v>46055</v>
      </c>
    </row>
    <row r="262" spans="2:15" hidden="1" x14ac:dyDescent="0.3">
      <c r="B262">
        <v>7863027</v>
      </c>
      <c r="C262" t="s">
        <v>231</v>
      </c>
      <c r="D262">
        <v>71997</v>
      </c>
      <c r="E262" t="s">
        <v>150</v>
      </c>
      <c r="F262" t="s">
        <v>164</v>
      </c>
      <c r="G262" s="28">
        <v>300</v>
      </c>
      <c r="H262" s="32">
        <v>89.21</v>
      </c>
      <c r="I262" s="32">
        <v>14280</v>
      </c>
      <c r="J262" t="s">
        <v>239</v>
      </c>
      <c r="K262" t="s">
        <v>234</v>
      </c>
      <c r="L262" t="s">
        <v>235</v>
      </c>
      <c r="M262" t="s">
        <v>236</v>
      </c>
      <c r="N262" t="s">
        <v>240</v>
      </c>
      <c r="O262" s="27">
        <v>46066</v>
      </c>
    </row>
    <row r="263" spans="2:15" hidden="1" x14ac:dyDescent="0.3">
      <c r="B263">
        <v>9303108</v>
      </c>
      <c r="C263" t="s">
        <v>260</v>
      </c>
      <c r="D263">
        <v>69493</v>
      </c>
      <c r="E263" t="s">
        <v>150</v>
      </c>
      <c r="F263" t="s">
        <v>258</v>
      </c>
      <c r="G263" s="28">
        <v>1450</v>
      </c>
      <c r="H263" s="32">
        <v>89.09</v>
      </c>
      <c r="I263" s="32">
        <v>15680.06</v>
      </c>
      <c r="J263" t="s">
        <v>239</v>
      </c>
      <c r="K263" t="s">
        <v>245</v>
      </c>
      <c r="L263" t="s">
        <v>235</v>
      </c>
      <c r="M263" t="s">
        <v>236</v>
      </c>
      <c r="N263" t="s">
        <v>240</v>
      </c>
      <c r="O263" s="27">
        <v>46055</v>
      </c>
    </row>
    <row r="264" spans="2:15" x14ac:dyDescent="0.3">
      <c r="B264">
        <v>5658854</v>
      </c>
      <c r="C264" t="s">
        <v>231</v>
      </c>
      <c r="D264">
        <v>22103</v>
      </c>
      <c r="E264" t="s">
        <v>150</v>
      </c>
      <c r="F264" t="s">
        <v>334</v>
      </c>
      <c r="G264" s="28">
        <v>300</v>
      </c>
      <c r="H264" s="32">
        <v>87.88</v>
      </c>
      <c r="I264" s="32">
        <v>17490</v>
      </c>
      <c r="J264" t="s">
        <v>239</v>
      </c>
      <c r="K264" t="s">
        <v>234</v>
      </c>
      <c r="L264" t="s">
        <v>235</v>
      </c>
      <c r="M264" t="s">
        <v>236</v>
      </c>
      <c r="N264" t="s">
        <v>240</v>
      </c>
      <c r="O264" s="27">
        <v>46076</v>
      </c>
    </row>
    <row r="265" spans="2:15" hidden="1" x14ac:dyDescent="0.3">
      <c r="B265">
        <v>272204</v>
      </c>
      <c r="C265" t="s">
        <v>231</v>
      </c>
      <c r="D265">
        <v>23648</v>
      </c>
      <c r="E265" t="s">
        <v>150</v>
      </c>
      <c r="F265" t="s">
        <v>369</v>
      </c>
      <c r="G265" s="28">
        <v>545</v>
      </c>
      <c r="H265" s="32">
        <v>87.84</v>
      </c>
      <c r="I265" s="32">
        <v>30032.639999999999</v>
      </c>
      <c r="J265" t="s">
        <v>239</v>
      </c>
      <c r="K265" t="s">
        <v>245</v>
      </c>
      <c r="L265" t="s">
        <v>235</v>
      </c>
      <c r="M265" t="s">
        <v>236</v>
      </c>
      <c r="N265" t="s">
        <v>240</v>
      </c>
      <c r="O265" s="27">
        <v>46063</v>
      </c>
    </row>
    <row r="266" spans="2:15" hidden="1" x14ac:dyDescent="0.3">
      <c r="B266">
        <v>3770553</v>
      </c>
      <c r="C266" t="s">
        <v>260</v>
      </c>
      <c r="D266">
        <v>69519</v>
      </c>
      <c r="E266" t="s">
        <v>150</v>
      </c>
      <c r="F266" t="s">
        <v>165</v>
      </c>
      <c r="G266" s="28">
        <v>3700</v>
      </c>
      <c r="H266" s="32">
        <v>87.65</v>
      </c>
      <c r="I266" s="32">
        <v>30266</v>
      </c>
      <c r="J266" t="s">
        <v>249</v>
      </c>
      <c r="K266" t="s">
        <v>249</v>
      </c>
      <c r="L266" t="s">
        <v>235</v>
      </c>
      <c r="M266" t="s">
        <v>236</v>
      </c>
      <c r="N266" t="s">
        <v>237</v>
      </c>
      <c r="O266" s="27">
        <v>46066</v>
      </c>
    </row>
    <row r="267" spans="2:15" hidden="1" x14ac:dyDescent="0.3">
      <c r="B267">
        <v>5377617</v>
      </c>
      <c r="C267" t="s">
        <v>231</v>
      </c>
      <c r="D267">
        <v>21559</v>
      </c>
      <c r="E267" t="s">
        <v>150</v>
      </c>
      <c r="F267" t="s">
        <v>278</v>
      </c>
      <c r="G267" s="28">
        <v>300</v>
      </c>
      <c r="H267" s="32">
        <v>87.01</v>
      </c>
      <c r="I267" s="32">
        <v>15440</v>
      </c>
      <c r="J267" t="s">
        <v>239</v>
      </c>
      <c r="K267" t="s">
        <v>234</v>
      </c>
      <c r="L267" t="s">
        <v>235</v>
      </c>
      <c r="M267" t="s">
        <v>236</v>
      </c>
      <c r="N267" t="s">
        <v>240</v>
      </c>
      <c r="O267" s="27">
        <v>46065</v>
      </c>
    </row>
    <row r="268" spans="2:15" hidden="1" x14ac:dyDescent="0.3">
      <c r="B268">
        <v>8218280</v>
      </c>
      <c r="C268" t="s">
        <v>260</v>
      </c>
      <c r="D268">
        <v>21559</v>
      </c>
      <c r="E268" t="s">
        <v>150</v>
      </c>
      <c r="F268" t="s">
        <v>278</v>
      </c>
      <c r="G268" s="28">
        <v>300</v>
      </c>
      <c r="H268" s="32">
        <v>86.93</v>
      </c>
      <c r="I268" s="32">
        <v>15425</v>
      </c>
      <c r="J268" t="s">
        <v>239</v>
      </c>
      <c r="K268" t="s">
        <v>234</v>
      </c>
      <c r="L268" t="s">
        <v>235</v>
      </c>
      <c r="M268" t="s">
        <v>236</v>
      </c>
      <c r="N268" t="s">
        <v>240</v>
      </c>
      <c r="O268" s="27">
        <v>46065</v>
      </c>
    </row>
    <row r="269" spans="2:15" hidden="1" x14ac:dyDescent="0.3">
      <c r="B269">
        <v>2727239</v>
      </c>
      <c r="C269" t="s">
        <v>231</v>
      </c>
      <c r="D269">
        <v>21559</v>
      </c>
      <c r="E269" t="s">
        <v>150</v>
      </c>
      <c r="F269" t="s">
        <v>278</v>
      </c>
      <c r="G269" s="28">
        <v>300</v>
      </c>
      <c r="H269" s="32">
        <v>86.57</v>
      </c>
      <c r="I269" s="32">
        <v>15362</v>
      </c>
      <c r="J269" t="s">
        <v>239</v>
      </c>
      <c r="K269" t="s">
        <v>234</v>
      </c>
      <c r="L269" t="s">
        <v>235</v>
      </c>
      <c r="M269" t="s">
        <v>236</v>
      </c>
      <c r="N269" t="s">
        <v>240</v>
      </c>
      <c r="O269" s="27">
        <v>46065</v>
      </c>
    </row>
    <row r="270" spans="2:15" hidden="1" x14ac:dyDescent="0.3">
      <c r="B270">
        <v>18984587</v>
      </c>
      <c r="C270" t="s">
        <v>260</v>
      </c>
      <c r="D270">
        <v>21559</v>
      </c>
      <c r="E270" t="s">
        <v>150</v>
      </c>
      <c r="F270" t="s">
        <v>278</v>
      </c>
      <c r="G270" s="28">
        <v>300</v>
      </c>
      <c r="H270" s="32">
        <v>86.31</v>
      </c>
      <c r="I270" s="32">
        <v>15315</v>
      </c>
      <c r="J270" t="s">
        <v>239</v>
      </c>
      <c r="K270" t="s">
        <v>234</v>
      </c>
      <c r="L270" t="s">
        <v>235</v>
      </c>
      <c r="M270" t="s">
        <v>236</v>
      </c>
      <c r="N270" t="s">
        <v>240</v>
      </c>
      <c r="O270" s="27">
        <v>46065</v>
      </c>
    </row>
    <row r="271" spans="2:15" hidden="1" x14ac:dyDescent="0.3">
      <c r="B271">
        <v>591394</v>
      </c>
      <c r="C271" t="s">
        <v>231</v>
      </c>
      <c r="D271">
        <v>69493</v>
      </c>
      <c r="E271" t="s">
        <v>150</v>
      </c>
      <c r="F271" t="s">
        <v>163</v>
      </c>
      <c r="G271" s="28">
        <v>554</v>
      </c>
      <c r="H271" s="32">
        <v>86.17</v>
      </c>
      <c r="I271" s="32">
        <v>7734.25</v>
      </c>
      <c r="J271" t="s">
        <v>239</v>
      </c>
      <c r="K271" t="s">
        <v>245</v>
      </c>
      <c r="L271" t="s">
        <v>235</v>
      </c>
      <c r="M271" t="s">
        <v>236</v>
      </c>
      <c r="N271" t="s">
        <v>237</v>
      </c>
      <c r="O271" s="27">
        <v>46063</v>
      </c>
    </row>
    <row r="272" spans="2:15" hidden="1" x14ac:dyDescent="0.3">
      <c r="B272">
        <v>2410665</v>
      </c>
      <c r="C272" t="s">
        <v>231</v>
      </c>
      <c r="D272">
        <v>21559</v>
      </c>
      <c r="E272" t="s">
        <v>150</v>
      </c>
      <c r="F272" t="s">
        <v>278</v>
      </c>
      <c r="G272" s="28">
        <v>300</v>
      </c>
      <c r="H272" s="32">
        <v>86.08</v>
      </c>
      <c r="I272" s="32">
        <v>15273</v>
      </c>
      <c r="J272" t="s">
        <v>239</v>
      </c>
      <c r="K272" t="s">
        <v>234</v>
      </c>
      <c r="L272" t="s">
        <v>235</v>
      </c>
      <c r="M272" t="s">
        <v>236</v>
      </c>
      <c r="N272" t="s">
        <v>240</v>
      </c>
      <c r="O272" s="27">
        <v>46065</v>
      </c>
    </row>
    <row r="273" spans="2:15" hidden="1" x14ac:dyDescent="0.3">
      <c r="B273">
        <v>15255517</v>
      </c>
      <c r="C273" t="s">
        <v>231</v>
      </c>
      <c r="D273">
        <v>23648</v>
      </c>
      <c r="E273" t="s">
        <v>150</v>
      </c>
      <c r="F273" t="s">
        <v>278</v>
      </c>
      <c r="G273" s="28">
        <v>300</v>
      </c>
      <c r="H273" s="32">
        <v>86.03</v>
      </c>
      <c r="I273" s="32">
        <v>15270</v>
      </c>
      <c r="J273" t="s">
        <v>239</v>
      </c>
      <c r="K273" t="s">
        <v>234</v>
      </c>
      <c r="L273" t="s">
        <v>235</v>
      </c>
      <c r="M273" t="s">
        <v>236</v>
      </c>
      <c r="N273" t="s">
        <v>240</v>
      </c>
      <c r="O273" s="27">
        <v>46064</v>
      </c>
    </row>
    <row r="274" spans="2:15" hidden="1" x14ac:dyDescent="0.3">
      <c r="B274">
        <v>4375042</v>
      </c>
      <c r="C274" t="s">
        <v>231</v>
      </c>
      <c r="D274">
        <v>25619</v>
      </c>
      <c r="E274" t="s">
        <v>150</v>
      </c>
      <c r="F274" t="s">
        <v>320</v>
      </c>
      <c r="G274" s="28">
        <v>395</v>
      </c>
      <c r="H274" s="32">
        <v>85.46</v>
      </c>
      <c r="I274" s="32">
        <v>16230.26</v>
      </c>
      <c r="J274" t="s">
        <v>239</v>
      </c>
      <c r="K274" t="s">
        <v>245</v>
      </c>
      <c r="L274" t="s">
        <v>235</v>
      </c>
      <c r="M274" t="s">
        <v>236</v>
      </c>
      <c r="N274" t="s">
        <v>240</v>
      </c>
      <c r="O274" s="27">
        <v>46072</v>
      </c>
    </row>
    <row r="275" spans="2:15" hidden="1" x14ac:dyDescent="0.3">
      <c r="B275">
        <v>3106687</v>
      </c>
      <c r="C275" t="s">
        <v>231</v>
      </c>
      <c r="D275">
        <v>22674</v>
      </c>
      <c r="E275" t="s">
        <v>150</v>
      </c>
      <c r="F275" t="s">
        <v>278</v>
      </c>
      <c r="G275" s="28">
        <v>300</v>
      </c>
      <c r="H275" s="32">
        <v>85.29</v>
      </c>
      <c r="I275" s="32">
        <v>15138</v>
      </c>
      <c r="J275" t="s">
        <v>239</v>
      </c>
      <c r="K275" t="s">
        <v>234</v>
      </c>
      <c r="L275" t="s">
        <v>235</v>
      </c>
      <c r="M275" t="s">
        <v>236</v>
      </c>
      <c r="N275" t="s">
        <v>240</v>
      </c>
      <c r="O275" s="27">
        <v>46064</v>
      </c>
    </row>
    <row r="276" spans="2:15" hidden="1" x14ac:dyDescent="0.3">
      <c r="B276">
        <v>5933489</v>
      </c>
      <c r="C276" t="s">
        <v>231</v>
      </c>
      <c r="D276">
        <v>23648</v>
      </c>
      <c r="E276" t="s">
        <v>150</v>
      </c>
      <c r="F276" t="s">
        <v>278</v>
      </c>
      <c r="G276" s="28">
        <v>300</v>
      </c>
      <c r="H276" s="32">
        <v>85.1</v>
      </c>
      <c r="I276" s="32">
        <v>15102</v>
      </c>
      <c r="J276" t="s">
        <v>239</v>
      </c>
      <c r="K276" t="s">
        <v>234</v>
      </c>
      <c r="L276" t="s">
        <v>235</v>
      </c>
      <c r="M276" t="s">
        <v>236</v>
      </c>
      <c r="N276" t="s">
        <v>240</v>
      </c>
      <c r="O276" s="27">
        <v>46064</v>
      </c>
    </row>
    <row r="277" spans="2:15" hidden="1" x14ac:dyDescent="0.3">
      <c r="B277">
        <v>2727175</v>
      </c>
      <c r="C277" t="s">
        <v>231</v>
      </c>
      <c r="D277">
        <v>23648</v>
      </c>
      <c r="E277" t="s">
        <v>150</v>
      </c>
      <c r="F277" t="s">
        <v>278</v>
      </c>
      <c r="G277" s="28">
        <v>300</v>
      </c>
      <c r="H277" s="32">
        <v>84.93</v>
      </c>
      <c r="I277" s="32">
        <v>15072</v>
      </c>
      <c r="J277" t="s">
        <v>239</v>
      </c>
      <c r="K277" t="s">
        <v>234</v>
      </c>
      <c r="L277" t="s">
        <v>235</v>
      </c>
      <c r="M277" t="s">
        <v>236</v>
      </c>
      <c r="N277" t="s">
        <v>240</v>
      </c>
      <c r="O277" s="27">
        <v>46064</v>
      </c>
    </row>
    <row r="278" spans="2:15" hidden="1" x14ac:dyDescent="0.3">
      <c r="B278">
        <v>6463394</v>
      </c>
      <c r="C278" t="s">
        <v>231</v>
      </c>
      <c r="D278">
        <v>23648</v>
      </c>
      <c r="E278" t="s">
        <v>150</v>
      </c>
      <c r="F278" t="s">
        <v>278</v>
      </c>
      <c r="G278" s="28">
        <v>300</v>
      </c>
      <c r="H278" s="32">
        <v>84.91</v>
      </c>
      <c r="I278" s="32">
        <v>15075</v>
      </c>
      <c r="J278" t="s">
        <v>239</v>
      </c>
      <c r="K278" t="s">
        <v>234</v>
      </c>
      <c r="L278" t="s">
        <v>235</v>
      </c>
      <c r="M278" t="s">
        <v>236</v>
      </c>
      <c r="N278" t="s">
        <v>240</v>
      </c>
      <c r="O278" s="27">
        <v>46064</v>
      </c>
    </row>
    <row r="279" spans="2:15" hidden="1" x14ac:dyDescent="0.3">
      <c r="B279">
        <v>5263260</v>
      </c>
      <c r="C279" t="s">
        <v>231</v>
      </c>
      <c r="D279">
        <v>23648</v>
      </c>
      <c r="E279" t="s">
        <v>150</v>
      </c>
      <c r="F279" t="s">
        <v>278</v>
      </c>
      <c r="G279" s="28">
        <v>300</v>
      </c>
      <c r="H279" s="32">
        <v>84.86</v>
      </c>
      <c r="I279" s="32">
        <v>15060</v>
      </c>
      <c r="J279" t="s">
        <v>239</v>
      </c>
      <c r="K279" t="s">
        <v>234</v>
      </c>
      <c r="L279" t="s">
        <v>235</v>
      </c>
      <c r="M279" t="s">
        <v>236</v>
      </c>
      <c r="N279" t="s">
        <v>240</v>
      </c>
      <c r="O279" s="27">
        <v>46064</v>
      </c>
    </row>
    <row r="280" spans="2:15" hidden="1" x14ac:dyDescent="0.3">
      <c r="B280">
        <v>2403987</v>
      </c>
      <c r="C280" t="s">
        <v>231</v>
      </c>
      <c r="D280">
        <v>23648</v>
      </c>
      <c r="E280" t="s">
        <v>150</v>
      </c>
      <c r="F280" t="s">
        <v>278</v>
      </c>
      <c r="G280" s="28">
        <v>300</v>
      </c>
      <c r="H280" s="32">
        <v>84.77</v>
      </c>
      <c r="I280" s="32">
        <v>15042</v>
      </c>
      <c r="J280" t="s">
        <v>239</v>
      </c>
      <c r="K280" t="s">
        <v>234</v>
      </c>
      <c r="L280" t="s">
        <v>235</v>
      </c>
      <c r="M280" t="s">
        <v>236</v>
      </c>
      <c r="N280" t="s">
        <v>240</v>
      </c>
      <c r="O280" s="27">
        <v>46064</v>
      </c>
    </row>
    <row r="281" spans="2:15" hidden="1" x14ac:dyDescent="0.3">
      <c r="B281">
        <v>11824888</v>
      </c>
      <c r="C281" t="s">
        <v>231</v>
      </c>
      <c r="D281">
        <v>71881</v>
      </c>
      <c r="E281" t="s">
        <v>150</v>
      </c>
      <c r="F281" t="s">
        <v>163</v>
      </c>
      <c r="G281" s="28">
        <v>572</v>
      </c>
      <c r="H281" s="32">
        <v>83.73</v>
      </c>
      <c r="I281" s="32">
        <v>7985.55</v>
      </c>
      <c r="J281" t="s">
        <v>239</v>
      </c>
      <c r="K281" t="s">
        <v>245</v>
      </c>
      <c r="L281" t="s">
        <v>235</v>
      </c>
      <c r="M281" t="s">
        <v>236</v>
      </c>
      <c r="N281" t="s">
        <v>237</v>
      </c>
      <c r="O281" s="27">
        <v>46063</v>
      </c>
    </row>
    <row r="282" spans="2:15" hidden="1" x14ac:dyDescent="0.3">
      <c r="B282">
        <v>3770553</v>
      </c>
      <c r="C282" t="s">
        <v>260</v>
      </c>
      <c r="D282">
        <v>69519</v>
      </c>
      <c r="E282" t="s">
        <v>150</v>
      </c>
      <c r="F282" t="s">
        <v>166</v>
      </c>
      <c r="G282" s="28">
        <v>1500</v>
      </c>
      <c r="H282" s="32">
        <v>83.56</v>
      </c>
      <c r="I282" s="32">
        <v>28380</v>
      </c>
      <c r="J282" t="s">
        <v>249</v>
      </c>
      <c r="K282" t="s">
        <v>249</v>
      </c>
      <c r="L282" t="s">
        <v>235</v>
      </c>
      <c r="M282" t="s">
        <v>236</v>
      </c>
      <c r="N282" t="s">
        <v>237</v>
      </c>
      <c r="O282" s="27">
        <v>46065</v>
      </c>
    </row>
    <row r="283" spans="2:15" hidden="1" x14ac:dyDescent="0.3">
      <c r="B283">
        <v>15974810</v>
      </c>
      <c r="C283" t="s">
        <v>231</v>
      </c>
      <c r="D283">
        <v>49894</v>
      </c>
      <c r="E283" t="s">
        <v>150</v>
      </c>
      <c r="F283" t="s">
        <v>297</v>
      </c>
      <c r="G283" s="28">
        <v>479</v>
      </c>
      <c r="H283" s="32">
        <v>81.96</v>
      </c>
      <c r="I283" s="32">
        <v>13848.26</v>
      </c>
      <c r="J283" t="s">
        <v>239</v>
      </c>
      <c r="K283" t="s">
        <v>245</v>
      </c>
      <c r="L283" t="s">
        <v>235</v>
      </c>
      <c r="M283" t="s">
        <v>236</v>
      </c>
      <c r="N283" t="s">
        <v>237</v>
      </c>
      <c r="O283" s="27">
        <v>46062</v>
      </c>
    </row>
    <row r="284" spans="2:15" hidden="1" x14ac:dyDescent="0.3">
      <c r="B284">
        <v>2632292</v>
      </c>
      <c r="C284" t="s">
        <v>231</v>
      </c>
      <c r="D284">
        <v>69519</v>
      </c>
      <c r="E284" t="s">
        <v>150</v>
      </c>
      <c r="F284" t="s">
        <v>320</v>
      </c>
      <c r="G284" s="28">
        <v>355</v>
      </c>
      <c r="H284" s="32">
        <v>79.989999999999995</v>
      </c>
      <c r="I284" s="32">
        <v>14586.7</v>
      </c>
      <c r="J284" t="s">
        <v>239</v>
      </c>
      <c r="K284" t="s">
        <v>245</v>
      </c>
      <c r="L284" t="s">
        <v>235</v>
      </c>
      <c r="M284" t="s">
        <v>236</v>
      </c>
      <c r="N284" t="s">
        <v>240</v>
      </c>
      <c r="O284" s="27">
        <v>46072</v>
      </c>
    </row>
    <row r="285" spans="2:15" hidden="1" x14ac:dyDescent="0.3">
      <c r="B285">
        <v>2632292</v>
      </c>
      <c r="C285" t="s">
        <v>231</v>
      </c>
      <c r="D285">
        <v>69519</v>
      </c>
      <c r="E285" t="s">
        <v>150</v>
      </c>
      <c r="F285" t="s">
        <v>407</v>
      </c>
      <c r="G285" s="28">
        <v>302</v>
      </c>
      <c r="H285" s="32">
        <v>79.41</v>
      </c>
      <c r="I285" s="32">
        <v>15559.26</v>
      </c>
      <c r="J285" t="s">
        <v>239</v>
      </c>
      <c r="K285" t="s">
        <v>245</v>
      </c>
      <c r="L285" t="s">
        <v>235</v>
      </c>
      <c r="M285" t="s">
        <v>236</v>
      </c>
      <c r="N285" t="s">
        <v>237</v>
      </c>
      <c r="O285" s="27">
        <v>46072</v>
      </c>
    </row>
    <row r="286" spans="2:15" hidden="1" x14ac:dyDescent="0.3">
      <c r="B286">
        <v>11409889</v>
      </c>
      <c r="C286" t="s">
        <v>231</v>
      </c>
      <c r="D286">
        <v>25104</v>
      </c>
      <c r="E286" t="s">
        <v>150</v>
      </c>
      <c r="F286" t="s">
        <v>414</v>
      </c>
      <c r="G286" s="28">
        <v>1000</v>
      </c>
      <c r="H286" s="32">
        <v>79.23</v>
      </c>
      <c r="I286" s="32">
        <v>14969</v>
      </c>
      <c r="J286" t="s">
        <v>239</v>
      </c>
      <c r="K286" t="s">
        <v>234</v>
      </c>
      <c r="L286" t="s">
        <v>235</v>
      </c>
      <c r="M286" t="s">
        <v>236</v>
      </c>
      <c r="N286" t="s">
        <v>240</v>
      </c>
      <c r="O286" s="27">
        <v>46072</v>
      </c>
    </row>
    <row r="287" spans="2:15" hidden="1" x14ac:dyDescent="0.3">
      <c r="B287">
        <v>3770553</v>
      </c>
      <c r="C287" t="s">
        <v>260</v>
      </c>
      <c r="D287">
        <v>69519</v>
      </c>
      <c r="E287" t="s">
        <v>150</v>
      </c>
      <c r="F287" t="s">
        <v>166</v>
      </c>
      <c r="G287" s="28">
        <v>1400</v>
      </c>
      <c r="H287" s="32">
        <v>77.989999999999995</v>
      </c>
      <c r="I287" s="32">
        <v>26152</v>
      </c>
      <c r="J287" t="s">
        <v>249</v>
      </c>
      <c r="K287" t="s">
        <v>249</v>
      </c>
      <c r="L287" t="s">
        <v>235</v>
      </c>
      <c r="M287" t="s">
        <v>236</v>
      </c>
      <c r="N287" t="s">
        <v>240</v>
      </c>
      <c r="O287" s="27">
        <v>46063</v>
      </c>
    </row>
    <row r="288" spans="2:15" hidden="1" x14ac:dyDescent="0.3">
      <c r="B288">
        <v>272204</v>
      </c>
      <c r="C288" t="s">
        <v>231</v>
      </c>
      <c r="D288">
        <v>23648</v>
      </c>
      <c r="E288" t="s">
        <v>150</v>
      </c>
      <c r="F288" t="s">
        <v>282</v>
      </c>
      <c r="G288" s="28">
        <v>481</v>
      </c>
      <c r="H288" s="32">
        <v>77.19</v>
      </c>
      <c r="I288" s="32">
        <v>24578.22</v>
      </c>
      <c r="J288" t="s">
        <v>239</v>
      </c>
      <c r="K288" t="s">
        <v>245</v>
      </c>
      <c r="L288" t="s">
        <v>235</v>
      </c>
      <c r="M288" t="s">
        <v>236</v>
      </c>
      <c r="N288" t="s">
        <v>240</v>
      </c>
      <c r="O288" s="27">
        <v>46063</v>
      </c>
    </row>
    <row r="289" spans="2:15" hidden="1" x14ac:dyDescent="0.3">
      <c r="B289">
        <v>542586</v>
      </c>
      <c r="C289" t="s">
        <v>260</v>
      </c>
      <c r="D289">
        <v>21468</v>
      </c>
      <c r="E289" t="s">
        <v>150</v>
      </c>
      <c r="F289" t="s">
        <v>272</v>
      </c>
      <c r="G289" s="28">
        <v>2400</v>
      </c>
      <c r="H289" s="32">
        <v>75.48</v>
      </c>
      <c r="I289" s="32">
        <v>14880</v>
      </c>
      <c r="J289" t="s">
        <v>239</v>
      </c>
      <c r="K289" t="s">
        <v>234</v>
      </c>
      <c r="L289" t="s">
        <v>235</v>
      </c>
      <c r="M289" t="s">
        <v>236</v>
      </c>
      <c r="N289" t="s">
        <v>237</v>
      </c>
      <c r="O289" s="27">
        <v>46058</v>
      </c>
    </row>
    <row r="290" spans="2:15" hidden="1" x14ac:dyDescent="0.3">
      <c r="B290">
        <v>542586</v>
      </c>
      <c r="C290" t="s">
        <v>260</v>
      </c>
      <c r="D290">
        <v>21468</v>
      </c>
      <c r="E290" t="s">
        <v>150</v>
      </c>
      <c r="F290" t="s">
        <v>274</v>
      </c>
      <c r="G290" s="28">
        <v>1000</v>
      </c>
      <c r="H290" s="32">
        <v>75.08</v>
      </c>
      <c r="I290" s="32">
        <v>14800</v>
      </c>
      <c r="J290" t="s">
        <v>239</v>
      </c>
      <c r="K290" t="s">
        <v>234</v>
      </c>
      <c r="L290" t="s">
        <v>235</v>
      </c>
      <c r="M290" t="s">
        <v>236</v>
      </c>
      <c r="N290" t="s">
        <v>237</v>
      </c>
      <c r="O290" s="27">
        <v>46058</v>
      </c>
    </row>
    <row r="291" spans="2:15" hidden="1" x14ac:dyDescent="0.3">
      <c r="B291">
        <v>15974810</v>
      </c>
      <c r="C291" t="s">
        <v>231</v>
      </c>
      <c r="D291">
        <v>49894</v>
      </c>
      <c r="E291" t="s">
        <v>150</v>
      </c>
      <c r="F291" t="s">
        <v>314</v>
      </c>
      <c r="G291" s="28">
        <v>584</v>
      </c>
      <c r="H291" s="32">
        <v>74.87</v>
      </c>
      <c r="I291" s="32">
        <v>12652.67</v>
      </c>
      <c r="J291" t="s">
        <v>239</v>
      </c>
      <c r="K291" t="s">
        <v>245</v>
      </c>
      <c r="L291" t="s">
        <v>235</v>
      </c>
      <c r="M291" t="s">
        <v>236</v>
      </c>
      <c r="N291" t="s">
        <v>240</v>
      </c>
      <c r="O291" s="27">
        <v>46062</v>
      </c>
    </row>
    <row r="292" spans="2:15" hidden="1" x14ac:dyDescent="0.3">
      <c r="B292">
        <v>542586</v>
      </c>
      <c r="C292" t="s">
        <v>260</v>
      </c>
      <c r="D292">
        <v>21468</v>
      </c>
      <c r="E292" t="s">
        <v>150</v>
      </c>
      <c r="F292" t="s">
        <v>271</v>
      </c>
      <c r="G292" s="28">
        <v>800</v>
      </c>
      <c r="H292" s="32">
        <v>73.489999999999995</v>
      </c>
      <c r="I292" s="32">
        <v>14488</v>
      </c>
      <c r="J292" t="s">
        <v>239</v>
      </c>
      <c r="K292" t="s">
        <v>234</v>
      </c>
      <c r="L292" t="s">
        <v>235</v>
      </c>
      <c r="M292" t="s">
        <v>236</v>
      </c>
      <c r="N292" t="s">
        <v>237</v>
      </c>
      <c r="O292" s="27">
        <v>46058</v>
      </c>
    </row>
    <row r="293" spans="2:15" hidden="1" x14ac:dyDescent="0.3">
      <c r="B293">
        <v>542586</v>
      </c>
      <c r="C293" t="s">
        <v>260</v>
      </c>
      <c r="D293">
        <v>21468</v>
      </c>
      <c r="E293" t="s">
        <v>150</v>
      </c>
      <c r="F293" t="s">
        <v>289</v>
      </c>
      <c r="G293" s="28">
        <v>700</v>
      </c>
      <c r="H293" s="32">
        <v>73.430000000000007</v>
      </c>
      <c r="I293" s="32">
        <v>14476</v>
      </c>
      <c r="J293" t="s">
        <v>239</v>
      </c>
      <c r="K293" t="s">
        <v>234</v>
      </c>
      <c r="L293" t="s">
        <v>235</v>
      </c>
      <c r="M293" t="s">
        <v>236</v>
      </c>
      <c r="N293" t="s">
        <v>237</v>
      </c>
      <c r="O293" s="27">
        <v>46058</v>
      </c>
    </row>
    <row r="294" spans="2:15" hidden="1" x14ac:dyDescent="0.3">
      <c r="B294">
        <v>542586</v>
      </c>
      <c r="C294" t="s">
        <v>260</v>
      </c>
      <c r="D294">
        <v>21468</v>
      </c>
      <c r="E294" t="s">
        <v>150</v>
      </c>
      <c r="F294" t="s">
        <v>277</v>
      </c>
      <c r="G294" s="28">
        <v>400</v>
      </c>
      <c r="H294" s="32">
        <v>72.88</v>
      </c>
      <c r="I294" s="32">
        <v>14368</v>
      </c>
      <c r="J294" t="s">
        <v>239</v>
      </c>
      <c r="K294" t="s">
        <v>234</v>
      </c>
      <c r="L294" t="s">
        <v>235</v>
      </c>
      <c r="M294" t="s">
        <v>236</v>
      </c>
      <c r="N294" t="s">
        <v>237</v>
      </c>
      <c r="O294" s="27">
        <v>46058</v>
      </c>
    </row>
    <row r="295" spans="2:15" hidden="1" x14ac:dyDescent="0.3">
      <c r="B295">
        <v>542586</v>
      </c>
      <c r="C295" t="s">
        <v>260</v>
      </c>
      <c r="D295">
        <v>21468</v>
      </c>
      <c r="E295" t="s">
        <v>150</v>
      </c>
      <c r="F295" t="s">
        <v>263</v>
      </c>
      <c r="G295" s="28">
        <v>1000</v>
      </c>
      <c r="H295" s="32">
        <v>70.3</v>
      </c>
      <c r="I295" s="32">
        <v>13858</v>
      </c>
      <c r="J295" t="s">
        <v>239</v>
      </c>
      <c r="K295" t="s">
        <v>234</v>
      </c>
      <c r="L295" t="s">
        <v>235</v>
      </c>
      <c r="M295" t="s">
        <v>236</v>
      </c>
      <c r="N295" t="s">
        <v>237</v>
      </c>
      <c r="O295" s="27">
        <v>46058</v>
      </c>
    </row>
    <row r="296" spans="2:15" hidden="1" x14ac:dyDescent="0.3">
      <c r="B296">
        <v>542586</v>
      </c>
      <c r="C296" t="s">
        <v>260</v>
      </c>
      <c r="D296">
        <v>21468</v>
      </c>
      <c r="E296" t="s">
        <v>150</v>
      </c>
      <c r="F296" t="s">
        <v>164</v>
      </c>
      <c r="G296" s="28">
        <v>300</v>
      </c>
      <c r="H296" s="32">
        <v>69.44</v>
      </c>
      <c r="I296" s="32">
        <v>13689</v>
      </c>
      <c r="J296" t="s">
        <v>239</v>
      </c>
      <c r="K296" t="s">
        <v>234</v>
      </c>
      <c r="L296" t="s">
        <v>235</v>
      </c>
      <c r="M296" t="s">
        <v>236</v>
      </c>
      <c r="N296" t="s">
        <v>237</v>
      </c>
      <c r="O296" s="27">
        <v>46058</v>
      </c>
    </row>
    <row r="297" spans="2:15" hidden="1" x14ac:dyDescent="0.3">
      <c r="B297">
        <v>5751194</v>
      </c>
      <c r="C297" t="s">
        <v>260</v>
      </c>
      <c r="D297">
        <v>25104</v>
      </c>
      <c r="E297" t="s">
        <v>150</v>
      </c>
      <c r="F297" t="s">
        <v>409</v>
      </c>
      <c r="G297" s="28">
        <v>300</v>
      </c>
      <c r="H297" s="32">
        <v>68.53</v>
      </c>
      <c r="I297" s="32">
        <v>16455</v>
      </c>
      <c r="J297" t="s">
        <v>239</v>
      </c>
      <c r="K297" t="s">
        <v>234</v>
      </c>
      <c r="L297" t="s">
        <v>235</v>
      </c>
      <c r="M297" t="s">
        <v>236</v>
      </c>
      <c r="N297" t="s">
        <v>240</v>
      </c>
      <c r="O297" s="27">
        <v>46064</v>
      </c>
    </row>
    <row r="298" spans="2:15" hidden="1" x14ac:dyDescent="0.3">
      <c r="B298">
        <v>357627</v>
      </c>
      <c r="C298" t="s">
        <v>231</v>
      </c>
      <c r="D298">
        <v>72444</v>
      </c>
      <c r="E298" t="s">
        <v>150</v>
      </c>
      <c r="F298" t="s">
        <v>289</v>
      </c>
      <c r="G298" s="28">
        <v>524</v>
      </c>
      <c r="H298" s="32">
        <v>66.56</v>
      </c>
      <c r="I298" s="32">
        <v>11258.69</v>
      </c>
      <c r="J298" t="s">
        <v>239</v>
      </c>
      <c r="K298" t="s">
        <v>245</v>
      </c>
      <c r="L298" t="s">
        <v>235</v>
      </c>
      <c r="M298" t="s">
        <v>236</v>
      </c>
      <c r="N298" t="s">
        <v>237</v>
      </c>
      <c r="O298" s="27">
        <v>46055</v>
      </c>
    </row>
    <row r="299" spans="2:15" hidden="1" x14ac:dyDescent="0.3">
      <c r="B299">
        <v>9850540</v>
      </c>
      <c r="C299" t="s">
        <v>231</v>
      </c>
      <c r="D299">
        <v>23648</v>
      </c>
      <c r="E299" t="s">
        <v>150</v>
      </c>
      <c r="F299" t="s">
        <v>285</v>
      </c>
      <c r="G299" s="28">
        <v>200</v>
      </c>
      <c r="H299" s="32">
        <v>65.849999999999994</v>
      </c>
      <c r="I299" s="32">
        <v>11762</v>
      </c>
      <c r="J299" t="s">
        <v>239</v>
      </c>
      <c r="K299" t="s">
        <v>234</v>
      </c>
      <c r="L299" t="s">
        <v>235</v>
      </c>
      <c r="M299" t="s">
        <v>236</v>
      </c>
      <c r="N299" t="s">
        <v>240</v>
      </c>
      <c r="O299" s="27">
        <v>46058</v>
      </c>
    </row>
    <row r="300" spans="2:15" hidden="1" x14ac:dyDescent="0.3">
      <c r="B300">
        <v>5751194</v>
      </c>
      <c r="C300" t="s">
        <v>260</v>
      </c>
      <c r="D300">
        <v>25104</v>
      </c>
      <c r="E300" t="s">
        <v>150</v>
      </c>
      <c r="F300" t="s">
        <v>317</v>
      </c>
      <c r="G300" s="28">
        <v>300</v>
      </c>
      <c r="H300" s="32">
        <v>65.17</v>
      </c>
      <c r="I300" s="32">
        <v>15648</v>
      </c>
      <c r="J300" t="s">
        <v>239</v>
      </c>
      <c r="K300" t="s">
        <v>234</v>
      </c>
      <c r="L300" t="s">
        <v>235</v>
      </c>
      <c r="M300" t="s">
        <v>236</v>
      </c>
      <c r="N300" t="s">
        <v>240</v>
      </c>
      <c r="O300" s="27">
        <v>46064</v>
      </c>
    </row>
    <row r="301" spans="2:15" hidden="1" x14ac:dyDescent="0.3">
      <c r="B301">
        <v>575946</v>
      </c>
      <c r="C301" t="s">
        <v>231</v>
      </c>
      <c r="D301">
        <v>25619</v>
      </c>
      <c r="E301" t="s">
        <v>150</v>
      </c>
      <c r="F301" t="s">
        <v>289</v>
      </c>
      <c r="G301" s="28">
        <v>493</v>
      </c>
      <c r="H301" s="32">
        <v>63.97</v>
      </c>
      <c r="I301" s="32">
        <v>10592.62</v>
      </c>
      <c r="J301" t="s">
        <v>239</v>
      </c>
      <c r="K301" t="s">
        <v>245</v>
      </c>
      <c r="L301" t="s">
        <v>235</v>
      </c>
      <c r="M301" t="s">
        <v>236</v>
      </c>
      <c r="N301" t="s">
        <v>237</v>
      </c>
      <c r="O301" s="27">
        <v>46055</v>
      </c>
    </row>
    <row r="302" spans="2:15" hidden="1" x14ac:dyDescent="0.3">
      <c r="B302">
        <v>5751194</v>
      </c>
      <c r="C302" t="s">
        <v>260</v>
      </c>
      <c r="D302">
        <v>25104</v>
      </c>
      <c r="E302" t="s">
        <v>150</v>
      </c>
      <c r="F302" t="s">
        <v>455</v>
      </c>
      <c r="G302" s="28">
        <v>120</v>
      </c>
      <c r="H302" s="32">
        <v>63.23</v>
      </c>
      <c r="I302" s="32">
        <v>15182</v>
      </c>
      <c r="J302" t="s">
        <v>239</v>
      </c>
      <c r="K302" t="s">
        <v>234</v>
      </c>
      <c r="L302" t="s">
        <v>235</v>
      </c>
      <c r="M302" t="s">
        <v>236</v>
      </c>
      <c r="N302" t="s">
        <v>240</v>
      </c>
      <c r="O302" s="27">
        <v>46064</v>
      </c>
    </row>
    <row r="303" spans="2:15" hidden="1" x14ac:dyDescent="0.3">
      <c r="B303">
        <v>542586</v>
      </c>
      <c r="C303" t="s">
        <v>260</v>
      </c>
      <c r="D303">
        <v>21468</v>
      </c>
      <c r="E303" t="s">
        <v>150</v>
      </c>
      <c r="F303" t="s">
        <v>276</v>
      </c>
      <c r="G303" s="28">
        <v>400</v>
      </c>
      <c r="H303" s="32">
        <v>63.04</v>
      </c>
      <c r="I303" s="32">
        <v>12428</v>
      </c>
      <c r="J303" t="s">
        <v>239</v>
      </c>
      <c r="K303" t="s">
        <v>234</v>
      </c>
      <c r="L303" t="s">
        <v>235</v>
      </c>
      <c r="M303" t="s">
        <v>236</v>
      </c>
      <c r="N303" t="s">
        <v>237</v>
      </c>
      <c r="O303" s="27">
        <v>46058</v>
      </c>
    </row>
    <row r="304" spans="2:15" hidden="1" x14ac:dyDescent="0.3">
      <c r="B304">
        <v>238658</v>
      </c>
      <c r="C304" t="s">
        <v>231</v>
      </c>
      <c r="D304">
        <v>21468</v>
      </c>
      <c r="E304" t="s">
        <v>150</v>
      </c>
      <c r="F304" t="s">
        <v>298</v>
      </c>
      <c r="G304" s="28">
        <v>385</v>
      </c>
      <c r="H304" s="32">
        <v>62.65</v>
      </c>
      <c r="I304" s="32">
        <v>6703.49</v>
      </c>
      <c r="J304" t="s">
        <v>239</v>
      </c>
      <c r="K304" t="s">
        <v>245</v>
      </c>
      <c r="L304" t="s">
        <v>235</v>
      </c>
      <c r="M304" t="s">
        <v>236</v>
      </c>
      <c r="N304" t="s">
        <v>237</v>
      </c>
      <c r="O304" s="27">
        <v>46063</v>
      </c>
    </row>
    <row r="305" spans="2:15" hidden="1" x14ac:dyDescent="0.3">
      <c r="B305">
        <v>575946</v>
      </c>
      <c r="C305" t="s">
        <v>231</v>
      </c>
      <c r="D305">
        <v>25619</v>
      </c>
      <c r="E305" t="s">
        <v>150</v>
      </c>
      <c r="F305" t="s">
        <v>258</v>
      </c>
      <c r="G305" s="28">
        <v>950</v>
      </c>
      <c r="H305" s="32">
        <v>62</v>
      </c>
      <c r="I305" s="32">
        <v>10273.14</v>
      </c>
      <c r="J305" t="s">
        <v>239</v>
      </c>
      <c r="K305" t="s">
        <v>245</v>
      </c>
      <c r="L305" t="s">
        <v>235</v>
      </c>
      <c r="M305" t="s">
        <v>236</v>
      </c>
      <c r="N305" t="s">
        <v>240</v>
      </c>
      <c r="O305" s="27">
        <v>46055</v>
      </c>
    </row>
    <row r="306" spans="2:15" hidden="1" x14ac:dyDescent="0.3">
      <c r="B306">
        <v>357627</v>
      </c>
      <c r="C306" t="s">
        <v>231</v>
      </c>
      <c r="D306">
        <v>72444</v>
      </c>
      <c r="E306" t="s">
        <v>150</v>
      </c>
      <c r="F306" t="s">
        <v>258</v>
      </c>
      <c r="G306" s="28">
        <v>965</v>
      </c>
      <c r="H306" s="32">
        <v>61.64</v>
      </c>
      <c r="I306" s="32">
        <v>10435.35</v>
      </c>
      <c r="J306" t="s">
        <v>239</v>
      </c>
      <c r="K306" t="s">
        <v>245</v>
      </c>
      <c r="L306" t="s">
        <v>235</v>
      </c>
      <c r="M306" t="s">
        <v>236</v>
      </c>
      <c r="N306" t="s">
        <v>240</v>
      </c>
      <c r="O306" s="27">
        <v>46055</v>
      </c>
    </row>
    <row r="307" spans="2:15" hidden="1" x14ac:dyDescent="0.3">
      <c r="B307">
        <v>3478209</v>
      </c>
      <c r="C307" t="s">
        <v>231</v>
      </c>
      <c r="D307">
        <v>21559</v>
      </c>
      <c r="E307" t="s">
        <v>150</v>
      </c>
      <c r="F307" t="s">
        <v>246</v>
      </c>
      <c r="G307" s="28">
        <v>381</v>
      </c>
      <c r="H307" s="32">
        <v>61.42</v>
      </c>
      <c r="I307" s="32">
        <v>14156.87</v>
      </c>
      <c r="J307" t="s">
        <v>239</v>
      </c>
      <c r="K307" t="s">
        <v>245</v>
      </c>
      <c r="L307" t="s">
        <v>235</v>
      </c>
      <c r="M307" t="s">
        <v>236</v>
      </c>
      <c r="N307" t="s">
        <v>237</v>
      </c>
      <c r="O307" s="27">
        <v>46063</v>
      </c>
    </row>
    <row r="308" spans="2:15" hidden="1" x14ac:dyDescent="0.3">
      <c r="B308">
        <v>4238598</v>
      </c>
      <c r="C308" t="s">
        <v>231</v>
      </c>
      <c r="D308">
        <v>38517</v>
      </c>
      <c r="E308" t="s">
        <v>150</v>
      </c>
      <c r="F308" t="s">
        <v>163</v>
      </c>
      <c r="G308" s="28">
        <v>424</v>
      </c>
      <c r="H308" s="32">
        <v>61.2</v>
      </c>
      <c r="I308" s="32">
        <v>5919.41</v>
      </c>
      <c r="J308" t="s">
        <v>239</v>
      </c>
      <c r="K308" t="s">
        <v>245</v>
      </c>
      <c r="L308" t="s">
        <v>235</v>
      </c>
      <c r="M308" t="s">
        <v>236</v>
      </c>
      <c r="N308" t="s">
        <v>237</v>
      </c>
      <c r="O308" s="27">
        <v>46063</v>
      </c>
    </row>
    <row r="309" spans="2:15" hidden="1" x14ac:dyDescent="0.3">
      <c r="B309">
        <v>3478209</v>
      </c>
      <c r="C309" t="s">
        <v>231</v>
      </c>
      <c r="D309">
        <v>21559</v>
      </c>
      <c r="E309" t="s">
        <v>150</v>
      </c>
      <c r="F309" t="s">
        <v>369</v>
      </c>
      <c r="G309" s="28">
        <v>363</v>
      </c>
      <c r="H309" s="32">
        <v>60.26</v>
      </c>
      <c r="I309" s="32">
        <v>20003.07</v>
      </c>
      <c r="J309" t="s">
        <v>239</v>
      </c>
      <c r="K309" t="s">
        <v>245</v>
      </c>
      <c r="L309" t="s">
        <v>235</v>
      </c>
      <c r="M309" t="s">
        <v>236</v>
      </c>
      <c r="N309" t="s">
        <v>240</v>
      </c>
      <c r="O309" s="27">
        <v>46063</v>
      </c>
    </row>
    <row r="310" spans="2:15" hidden="1" x14ac:dyDescent="0.3">
      <c r="B310">
        <v>2735150</v>
      </c>
      <c r="C310" t="s">
        <v>231</v>
      </c>
      <c r="D310">
        <v>49894</v>
      </c>
      <c r="E310" t="s">
        <v>150</v>
      </c>
      <c r="F310" t="s">
        <v>298</v>
      </c>
      <c r="G310" s="28">
        <v>360</v>
      </c>
      <c r="H310" s="32">
        <v>58.72</v>
      </c>
      <c r="I310" s="32">
        <v>6268.18</v>
      </c>
      <c r="J310" t="s">
        <v>239</v>
      </c>
      <c r="K310" t="s">
        <v>245</v>
      </c>
      <c r="L310" t="s">
        <v>235</v>
      </c>
      <c r="M310" t="s">
        <v>236</v>
      </c>
      <c r="N310" t="s">
        <v>237</v>
      </c>
      <c r="O310" s="27">
        <v>46063</v>
      </c>
    </row>
    <row r="311" spans="2:15" hidden="1" x14ac:dyDescent="0.3">
      <c r="B311">
        <v>11409889</v>
      </c>
      <c r="C311" t="s">
        <v>231</v>
      </c>
      <c r="D311">
        <v>25104</v>
      </c>
      <c r="E311" t="s">
        <v>150</v>
      </c>
      <c r="F311" t="s">
        <v>333</v>
      </c>
      <c r="G311" s="28">
        <v>600</v>
      </c>
      <c r="H311" s="32">
        <v>57.8</v>
      </c>
      <c r="I311" s="32">
        <v>10920</v>
      </c>
      <c r="J311" t="s">
        <v>239</v>
      </c>
      <c r="K311" t="s">
        <v>234</v>
      </c>
      <c r="L311" t="s">
        <v>235</v>
      </c>
      <c r="M311" t="s">
        <v>236</v>
      </c>
      <c r="N311" t="s">
        <v>240</v>
      </c>
      <c r="O311" s="27">
        <v>46072</v>
      </c>
    </row>
    <row r="312" spans="2:15" hidden="1" x14ac:dyDescent="0.3">
      <c r="B312">
        <v>74468</v>
      </c>
      <c r="C312" t="s">
        <v>260</v>
      </c>
      <c r="D312">
        <v>69519</v>
      </c>
      <c r="E312" t="s">
        <v>150</v>
      </c>
      <c r="F312" t="s">
        <v>306</v>
      </c>
      <c r="G312" s="28">
        <v>684</v>
      </c>
      <c r="H312" s="32">
        <v>57.02</v>
      </c>
      <c r="I312" s="32">
        <v>6117.57</v>
      </c>
      <c r="J312" t="s">
        <v>267</v>
      </c>
      <c r="K312" t="s">
        <v>245</v>
      </c>
      <c r="L312" t="s">
        <v>235</v>
      </c>
      <c r="M312" t="s">
        <v>236</v>
      </c>
      <c r="N312" t="s">
        <v>240</v>
      </c>
      <c r="O312" s="27">
        <v>46063</v>
      </c>
    </row>
    <row r="313" spans="2:15" hidden="1" x14ac:dyDescent="0.3">
      <c r="B313">
        <v>4238598</v>
      </c>
      <c r="C313" t="s">
        <v>231</v>
      </c>
      <c r="D313">
        <v>38517</v>
      </c>
      <c r="E313" t="s">
        <v>150</v>
      </c>
      <c r="F313" t="s">
        <v>298</v>
      </c>
      <c r="G313" s="28">
        <v>387</v>
      </c>
      <c r="H313" s="32">
        <v>56.72</v>
      </c>
      <c r="I313" s="32">
        <v>6738.35</v>
      </c>
      <c r="J313" t="s">
        <v>239</v>
      </c>
      <c r="K313" t="s">
        <v>245</v>
      </c>
      <c r="L313" t="s">
        <v>235</v>
      </c>
      <c r="M313" t="s">
        <v>236</v>
      </c>
      <c r="N313" t="s">
        <v>237</v>
      </c>
      <c r="O313" s="27">
        <v>46063</v>
      </c>
    </row>
    <row r="314" spans="2:15" hidden="1" x14ac:dyDescent="0.3">
      <c r="B314">
        <v>2579681</v>
      </c>
      <c r="C314" t="s">
        <v>231</v>
      </c>
      <c r="D314">
        <v>25619</v>
      </c>
      <c r="E314" t="s">
        <v>150</v>
      </c>
      <c r="F314" t="s">
        <v>298</v>
      </c>
      <c r="G314" s="28">
        <v>345</v>
      </c>
      <c r="H314" s="32">
        <v>56.7</v>
      </c>
      <c r="I314" s="32">
        <v>6006.96</v>
      </c>
      <c r="J314" t="s">
        <v>239</v>
      </c>
      <c r="K314" t="s">
        <v>245</v>
      </c>
      <c r="L314" t="s">
        <v>235</v>
      </c>
      <c r="M314" t="s">
        <v>236</v>
      </c>
      <c r="N314" t="s">
        <v>237</v>
      </c>
      <c r="O314" s="27">
        <v>46063</v>
      </c>
    </row>
    <row r="315" spans="2:15" hidden="1" x14ac:dyDescent="0.3">
      <c r="B315">
        <v>542586</v>
      </c>
      <c r="C315" t="s">
        <v>260</v>
      </c>
      <c r="D315">
        <v>21468</v>
      </c>
      <c r="E315" t="s">
        <v>150</v>
      </c>
      <c r="F315" t="s">
        <v>246</v>
      </c>
      <c r="G315" s="28">
        <v>300</v>
      </c>
      <c r="H315" s="32">
        <v>56.67</v>
      </c>
      <c r="I315" s="32">
        <v>11172</v>
      </c>
      <c r="J315" t="s">
        <v>239</v>
      </c>
      <c r="K315" t="s">
        <v>234</v>
      </c>
      <c r="L315" t="s">
        <v>235</v>
      </c>
      <c r="M315" t="s">
        <v>236</v>
      </c>
      <c r="N315" t="s">
        <v>237</v>
      </c>
      <c r="O315" s="27">
        <v>46058</v>
      </c>
    </row>
    <row r="316" spans="2:15" hidden="1" x14ac:dyDescent="0.3">
      <c r="B316">
        <v>591394</v>
      </c>
      <c r="C316" t="s">
        <v>231</v>
      </c>
      <c r="D316">
        <v>69493</v>
      </c>
      <c r="E316" t="s">
        <v>150</v>
      </c>
      <c r="F316" t="s">
        <v>246</v>
      </c>
      <c r="G316" s="28">
        <v>349</v>
      </c>
      <c r="H316" s="32">
        <v>56.66</v>
      </c>
      <c r="I316" s="32">
        <v>12968.47</v>
      </c>
      <c r="J316" t="s">
        <v>239</v>
      </c>
      <c r="K316" t="s">
        <v>245</v>
      </c>
      <c r="L316" t="s">
        <v>235</v>
      </c>
      <c r="M316" t="s">
        <v>236</v>
      </c>
      <c r="N316" t="s">
        <v>237</v>
      </c>
      <c r="O316" s="27">
        <v>46063</v>
      </c>
    </row>
    <row r="317" spans="2:15" hidden="1" x14ac:dyDescent="0.3">
      <c r="B317">
        <v>2278263</v>
      </c>
      <c r="C317" t="s">
        <v>231</v>
      </c>
      <c r="D317">
        <v>22674</v>
      </c>
      <c r="E317" t="s">
        <v>150</v>
      </c>
      <c r="F317" t="s">
        <v>298</v>
      </c>
      <c r="G317" s="28">
        <v>340</v>
      </c>
      <c r="H317" s="32">
        <v>55.95</v>
      </c>
      <c r="I317" s="32">
        <v>5920.02</v>
      </c>
      <c r="J317" t="s">
        <v>239</v>
      </c>
      <c r="K317" t="s">
        <v>245</v>
      </c>
      <c r="L317" t="s">
        <v>235</v>
      </c>
      <c r="M317" t="s">
        <v>236</v>
      </c>
      <c r="N317" t="s">
        <v>237</v>
      </c>
      <c r="O317" s="27">
        <v>46063</v>
      </c>
    </row>
    <row r="318" spans="2:15" x14ac:dyDescent="0.3">
      <c r="B318">
        <v>5658854</v>
      </c>
      <c r="C318" t="s">
        <v>231</v>
      </c>
      <c r="D318">
        <v>22103</v>
      </c>
      <c r="E318" t="s">
        <v>150</v>
      </c>
      <c r="F318" t="s">
        <v>335</v>
      </c>
      <c r="G318" s="28">
        <v>73</v>
      </c>
      <c r="H318" s="32">
        <v>55.78</v>
      </c>
      <c r="I318" s="32">
        <v>11102.57</v>
      </c>
      <c r="J318" t="s">
        <v>330</v>
      </c>
      <c r="K318" t="s">
        <v>234</v>
      </c>
      <c r="L318" t="s">
        <v>235</v>
      </c>
      <c r="M318" t="s">
        <v>236</v>
      </c>
      <c r="N318" t="s">
        <v>240</v>
      </c>
      <c r="O318" s="27">
        <v>46076</v>
      </c>
    </row>
    <row r="319" spans="2:15" hidden="1" x14ac:dyDescent="0.3">
      <c r="B319">
        <v>591394</v>
      </c>
      <c r="C319" t="s">
        <v>231</v>
      </c>
      <c r="D319">
        <v>69493</v>
      </c>
      <c r="E319" t="s">
        <v>150</v>
      </c>
      <c r="F319" t="s">
        <v>369</v>
      </c>
      <c r="G319" s="28">
        <v>328</v>
      </c>
      <c r="H319" s="32">
        <v>54.99</v>
      </c>
      <c r="I319" s="32">
        <v>18074.5</v>
      </c>
      <c r="J319" t="s">
        <v>239</v>
      </c>
      <c r="K319" t="s">
        <v>245</v>
      </c>
      <c r="L319" t="s">
        <v>235</v>
      </c>
      <c r="M319" t="s">
        <v>236</v>
      </c>
      <c r="N319" t="s">
        <v>240</v>
      </c>
      <c r="O319" s="27">
        <v>46063</v>
      </c>
    </row>
    <row r="320" spans="2:15" x14ac:dyDescent="0.3">
      <c r="B320">
        <v>7397602</v>
      </c>
      <c r="C320" t="s">
        <v>231</v>
      </c>
      <c r="D320">
        <v>22103</v>
      </c>
      <c r="E320" t="s">
        <v>150</v>
      </c>
      <c r="F320" t="s">
        <v>164</v>
      </c>
      <c r="G320" s="28">
        <v>213</v>
      </c>
      <c r="H320" s="32">
        <v>54.8</v>
      </c>
      <c r="I320" s="32">
        <v>10340.92</v>
      </c>
      <c r="J320" t="s">
        <v>239</v>
      </c>
      <c r="K320" t="s">
        <v>245</v>
      </c>
      <c r="L320" t="s">
        <v>235</v>
      </c>
      <c r="M320" t="s">
        <v>236</v>
      </c>
      <c r="N320" t="s">
        <v>240</v>
      </c>
      <c r="O320" s="27">
        <v>46072</v>
      </c>
    </row>
    <row r="321" spans="2:15" hidden="1" x14ac:dyDescent="0.3">
      <c r="B321">
        <v>3478209</v>
      </c>
      <c r="C321" t="s">
        <v>231</v>
      </c>
      <c r="D321">
        <v>21559</v>
      </c>
      <c r="E321" t="s">
        <v>150</v>
      </c>
      <c r="F321" t="s">
        <v>282</v>
      </c>
      <c r="G321" s="28">
        <v>323</v>
      </c>
      <c r="H321" s="32">
        <v>53.28</v>
      </c>
      <c r="I321" s="32">
        <v>16500.21</v>
      </c>
      <c r="J321" t="s">
        <v>239</v>
      </c>
      <c r="K321" t="s">
        <v>245</v>
      </c>
      <c r="L321" t="s">
        <v>235</v>
      </c>
      <c r="M321" t="s">
        <v>236</v>
      </c>
      <c r="N321" t="s">
        <v>240</v>
      </c>
      <c r="O321" s="27">
        <v>46063</v>
      </c>
    </row>
    <row r="322" spans="2:15" hidden="1" x14ac:dyDescent="0.3">
      <c r="B322">
        <v>2013549</v>
      </c>
      <c r="C322" t="s">
        <v>231</v>
      </c>
      <c r="D322">
        <v>23648</v>
      </c>
      <c r="E322" t="s">
        <v>150</v>
      </c>
      <c r="F322" t="s">
        <v>289</v>
      </c>
      <c r="G322" s="28">
        <v>500</v>
      </c>
      <c r="H322" s="32">
        <v>52.89</v>
      </c>
      <c r="I322" s="32">
        <v>10295</v>
      </c>
      <c r="J322" t="s">
        <v>239</v>
      </c>
      <c r="K322" t="s">
        <v>234</v>
      </c>
      <c r="L322" t="s">
        <v>235</v>
      </c>
      <c r="M322" t="s">
        <v>236</v>
      </c>
      <c r="N322" t="s">
        <v>237</v>
      </c>
      <c r="O322" s="27">
        <v>46059</v>
      </c>
    </row>
    <row r="323" spans="2:15" hidden="1" x14ac:dyDescent="0.3">
      <c r="B323">
        <v>2013549</v>
      </c>
      <c r="C323" t="s">
        <v>231</v>
      </c>
      <c r="D323">
        <v>23648</v>
      </c>
      <c r="E323" t="s">
        <v>150</v>
      </c>
      <c r="F323" t="s">
        <v>272</v>
      </c>
      <c r="G323" s="28">
        <v>1600</v>
      </c>
      <c r="H323" s="32">
        <v>52.44</v>
      </c>
      <c r="I323" s="32">
        <v>10208</v>
      </c>
      <c r="J323" t="s">
        <v>239</v>
      </c>
      <c r="K323" t="s">
        <v>234</v>
      </c>
      <c r="L323" t="s">
        <v>235</v>
      </c>
      <c r="M323" t="s">
        <v>236</v>
      </c>
      <c r="N323" t="s">
        <v>237</v>
      </c>
      <c r="O323" s="27">
        <v>46059</v>
      </c>
    </row>
    <row r="324" spans="2:15" x14ac:dyDescent="0.3">
      <c r="B324">
        <v>7397602</v>
      </c>
      <c r="C324" t="s">
        <v>231</v>
      </c>
      <c r="D324">
        <v>22103</v>
      </c>
      <c r="E324" t="s">
        <v>150</v>
      </c>
      <c r="F324" t="s">
        <v>243</v>
      </c>
      <c r="G324" s="28">
        <v>384</v>
      </c>
      <c r="H324" s="32">
        <v>51.64</v>
      </c>
      <c r="I324" s="32">
        <v>10403.94</v>
      </c>
      <c r="J324" t="s">
        <v>239</v>
      </c>
      <c r="K324" t="s">
        <v>245</v>
      </c>
      <c r="L324" t="s">
        <v>235</v>
      </c>
      <c r="M324" t="s">
        <v>236</v>
      </c>
      <c r="N324" t="s">
        <v>240</v>
      </c>
      <c r="O324" s="27">
        <v>46072</v>
      </c>
    </row>
    <row r="325" spans="2:15" x14ac:dyDescent="0.3">
      <c r="B325">
        <v>7397602</v>
      </c>
      <c r="C325" t="s">
        <v>231</v>
      </c>
      <c r="D325">
        <v>22103</v>
      </c>
      <c r="E325" t="s">
        <v>150</v>
      </c>
      <c r="F325" t="s">
        <v>164</v>
      </c>
      <c r="G325" s="28">
        <v>327</v>
      </c>
      <c r="H325" s="32">
        <v>51.43</v>
      </c>
      <c r="I325" s="32">
        <v>15895.79</v>
      </c>
      <c r="J325" t="s">
        <v>239</v>
      </c>
      <c r="K325" t="s">
        <v>245</v>
      </c>
      <c r="L325" t="s">
        <v>235</v>
      </c>
      <c r="M325" t="s">
        <v>236</v>
      </c>
      <c r="N325" t="s">
        <v>240</v>
      </c>
      <c r="O325" s="27">
        <v>46063</v>
      </c>
    </row>
    <row r="326" spans="2:15" hidden="1" x14ac:dyDescent="0.3">
      <c r="B326">
        <v>5933489</v>
      </c>
      <c r="C326" t="s">
        <v>231</v>
      </c>
      <c r="D326">
        <v>23648</v>
      </c>
      <c r="E326" t="s">
        <v>150</v>
      </c>
      <c r="F326" t="s">
        <v>349</v>
      </c>
      <c r="G326" s="28">
        <v>97</v>
      </c>
      <c r="H326" s="32">
        <v>51.41</v>
      </c>
      <c r="I326" s="32">
        <v>4881.08</v>
      </c>
      <c r="J326" t="s">
        <v>330</v>
      </c>
      <c r="K326" t="s">
        <v>234</v>
      </c>
      <c r="L326" t="s">
        <v>235</v>
      </c>
      <c r="M326" t="s">
        <v>236</v>
      </c>
      <c r="N326" t="s">
        <v>240</v>
      </c>
      <c r="O326" s="27">
        <v>46064</v>
      </c>
    </row>
    <row r="327" spans="2:15" hidden="1" x14ac:dyDescent="0.3">
      <c r="B327">
        <v>2998615</v>
      </c>
      <c r="C327" t="s">
        <v>231</v>
      </c>
      <c r="D327">
        <v>69579</v>
      </c>
      <c r="E327" t="s">
        <v>150</v>
      </c>
      <c r="F327" t="s">
        <v>336</v>
      </c>
      <c r="G327" s="28">
        <v>70</v>
      </c>
      <c r="H327" s="32">
        <v>50.81</v>
      </c>
      <c r="I327" s="32">
        <v>5120.66</v>
      </c>
      <c r="J327" t="s">
        <v>330</v>
      </c>
      <c r="K327" t="s">
        <v>234</v>
      </c>
      <c r="L327" t="s">
        <v>235</v>
      </c>
      <c r="M327" t="s">
        <v>236</v>
      </c>
      <c r="N327" t="s">
        <v>240</v>
      </c>
      <c r="O327" s="27">
        <v>46063</v>
      </c>
    </row>
    <row r="328" spans="2:15" hidden="1" x14ac:dyDescent="0.3">
      <c r="B328">
        <v>2013549</v>
      </c>
      <c r="C328" t="s">
        <v>231</v>
      </c>
      <c r="D328">
        <v>23648</v>
      </c>
      <c r="E328" t="s">
        <v>150</v>
      </c>
      <c r="F328" t="s">
        <v>263</v>
      </c>
      <c r="G328" s="28">
        <v>700</v>
      </c>
      <c r="H328" s="32">
        <v>50.78</v>
      </c>
      <c r="I328" s="32">
        <v>9884</v>
      </c>
      <c r="J328" t="s">
        <v>239</v>
      </c>
      <c r="K328" t="s">
        <v>234</v>
      </c>
      <c r="L328" t="s">
        <v>235</v>
      </c>
      <c r="M328" t="s">
        <v>236</v>
      </c>
      <c r="N328" t="s">
        <v>237</v>
      </c>
      <c r="O328" s="27">
        <v>46059</v>
      </c>
    </row>
    <row r="329" spans="2:15" hidden="1" x14ac:dyDescent="0.3">
      <c r="B329">
        <v>2569374</v>
      </c>
      <c r="C329" t="s">
        <v>231</v>
      </c>
      <c r="D329">
        <v>71997</v>
      </c>
      <c r="E329" t="s">
        <v>150</v>
      </c>
      <c r="F329" t="s">
        <v>163</v>
      </c>
      <c r="G329" s="28">
        <v>333</v>
      </c>
      <c r="H329" s="32">
        <v>50.08</v>
      </c>
      <c r="I329" s="32">
        <v>4648.88</v>
      </c>
      <c r="J329" t="s">
        <v>239</v>
      </c>
      <c r="K329" t="s">
        <v>245</v>
      </c>
      <c r="L329" t="s">
        <v>235</v>
      </c>
      <c r="M329" t="s">
        <v>236</v>
      </c>
      <c r="N329" t="s">
        <v>237</v>
      </c>
      <c r="O329" s="27">
        <v>46063</v>
      </c>
    </row>
    <row r="330" spans="2:15" hidden="1" x14ac:dyDescent="0.3">
      <c r="B330">
        <v>3666312</v>
      </c>
      <c r="C330" t="s">
        <v>231</v>
      </c>
      <c r="D330">
        <v>21468</v>
      </c>
      <c r="E330" t="s">
        <v>150</v>
      </c>
      <c r="F330" t="s">
        <v>255</v>
      </c>
      <c r="G330" s="28">
        <v>59</v>
      </c>
      <c r="H330" s="32">
        <v>49.99</v>
      </c>
      <c r="I330" s="32">
        <v>4948.6099999999997</v>
      </c>
      <c r="J330" t="s">
        <v>256</v>
      </c>
      <c r="K330" t="s">
        <v>234</v>
      </c>
      <c r="L330" t="s">
        <v>235</v>
      </c>
      <c r="M330" t="s">
        <v>236</v>
      </c>
      <c r="N330" t="s">
        <v>240</v>
      </c>
      <c r="O330" s="27">
        <v>46076</v>
      </c>
    </row>
    <row r="331" spans="2:15" hidden="1" x14ac:dyDescent="0.3">
      <c r="B331">
        <v>3666312</v>
      </c>
      <c r="C331" t="s">
        <v>231</v>
      </c>
      <c r="D331">
        <v>21468</v>
      </c>
      <c r="E331" t="s">
        <v>150</v>
      </c>
      <c r="F331" t="s">
        <v>255</v>
      </c>
      <c r="G331" s="28">
        <v>59</v>
      </c>
      <c r="H331" s="32">
        <v>49.93</v>
      </c>
      <c r="I331" s="32">
        <v>4943.93</v>
      </c>
      <c r="J331" t="s">
        <v>256</v>
      </c>
      <c r="K331" t="s">
        <v>234</v>
      </c>
      <c r="L331" t="s">
        <v>235</v>
      </c>
      <c r="M331" t="s">
        <v>236</v>
      </c>
      <c r="N331" t="s">
        <v>237</v>
      </c>
      <c r="O331" s="27">
        <v>46058</v>
      </c>
    </row>
    <row r="332" spans="2:15" hidden="1" x14ac:dyDescent="0.3">
      <c r="B332">
        <v>591394</v>
      </c>
      <c r="C332" t="s">
        <v>231</v>
      </c>
      <c r="D332">
        <v>69493</v>
      </c>
      <c r="E332" t="s">
        <v>150</v>
      </c>
      <c r="F332" t="s">
        <v>282</v>
      </c>
      <c r="G332" s="28">
        <v>292</v>
      </c>
      <c r="H332" s="32">
        <v>48.6</v>
      </c>
      <c r="I332" s="32">
        <v>14916.19</v>
      </c>
      <c r="J332" t="s">
        <v>239</v>
      </c>
      <c r="K332" t="s">
        <v>245</v>
      </c>
      <c r="L332" t="s">
        <v>235</v>
      </c>
      <c r="M332" t="s">
        <v>236</v>
      </c>
      <c r="N332" t="s">
        <v>240</v>
      </c>
      <c r="O332" s="27">
        <v>46063</v>
      </c>
    </row>
    <row r="333" spans="2:15" hidden="1" x14ac:dyDescent="0.3">
      <c r="B333">
        <v>307208</v>
      </c>
      <c r="C333" t="s">
        <v>231</v>
      </c>
      <c r="D333">
        <v>25619</v>
      </c>
      <c r="E333" t="s">
        <v>150</v>
      </c>
      <c r="F333" t="s">
        <v>298</v>
      </c>
      <c r="G333" s="28">
        <v>289</v>
      </c>
      <c r="H333" s="32">
        <v>48.2</v>
      </c>
      <c r="I333" s="32">
        <v>5031.78</v>
      </c>
      <c r="J333" t="s">
        <v>239</v>
      </c>
      <c r="K333" t="s">
        <v>245</v>
      </c>
      <c r="L333" t="s">
        <v>235</v>
      </c>
      <c r="M333" t="s">
        <v>236</v>
      </c>
      <c r="N333" t="s">
        <v>237</v>
      </c>
      <c r="O333" s="27">
        <v>46063</v>
      </c>
    </row>
    <row r="334" spans="2:15" hidden="1" x14ac:dyDescent="0.3">
      <c r="B334">
        <v>2013549</v>
      </c>
      <c r="C334" t="s">
        <v>231</v>
      </c>
      <c r="D334">
        <v>23648</v>
      </c>
      <c r="E334" t="s">
        <v>150</v>
      </c>
      <c r="F334" t="s">
        <v>274</v>
      </c>
      <c r="G334" s="28">
        <v>600</v>
      </c>
      <c r="H334" s="32">
        <v>48.06</v>
      </c>
      <c r="I334" s="32">
        <v>9354</v>
      </c>
      <c r="J334" t="s">
        <v>239</v>
      </c>
      <c r="K334" t="s">
        <v>234</v>
      </c>
      <c r="L334" t="s">
        <v>235</v>
      </c>
      <c r="M334" t="s">
        <v>236</v>
      </c>
      <c r="N334" t="s">
        <v>237</v>
      </c>
      <c r="O334" s="27">
        <v>46059</v>
      </c>
    </row>
    <row r="335" spans="2:15" hidden="1" x14ac:dyDescent="0.3">
      <c r="B335">
        <v>2013549</v>
      </c>
      <c r="C335" t="s">
        <v>231</v>
      </c>
      <c r="D335">
        <v>23648</v>
      </c>
      <c r="E335" t="s">
        <v>150</v>
      </c>
      <c r="F335" t="s">
        <v>276</v>
      </c>
      <c r="G335" s="28">
        <v>300</v>
      </c>
      <c r="H335" s="32">
        <v>47.82</v>
      </c>
      <c r="I335" s="32">
        <v>9309</v>
      </c>
      <c r="J335" t="s">
        <v>239</v>
      </c>
      <c r="K335" t="s">
        <v>234</v>
      </c>
      <c r="L335" t="s">
        <v>235</v>
      </c>
      <c r="M335" t="s">
        <v>236</v>
      </c>
      <c r="N335" t="s">
        <v>237</v>
      </c>
      <c r="O335" s="27">
        <v>46059</v>
      </c>
    </row>
    <row r="336" spans="2:15" x14ac:dyDescent="0.3">
      <c r="B336">
        <v>7397602</v>
      </c>
      <c r="C336" t="s">
        <v>231</v>
      </c>
      <c r="D336">
        <v>22103</v>
      </c>
      <c r="E336" t="s">
        <v>150</v>
      </c>
      <c r="F336" t="s">
        <v>298</v>
      </c>
      <c r="G336" s="28">
        <v>505</v>
      </c>
      <c r="H336" s="32">
        <v>47.46</v>
      </c>
      <c r="I336" s="32">
        <v>8998.2000000000007</v>
      </c>
      <c r="J336" t="s">
        <v>239</v>
      </c>
      <c r="K336" t="s">
        <v>245</v>
      </c>
      <c r="L336" t="s">
        <v>235</v>
      </c>
      <c r="M336" t="s">
        <v>236</v>
      </c>
      <c r="N336" t="s">
        <v>240</v>
      </c>
      <c r="O336" s="27">
        <v>46072</v>
      </c>
    </row>
    <row r="337" spans="2:15" hidden="1" x14ac:dyDescent="0.3">
      <c r="B337">
        <v>9799059</v>
      </c>
      <c r="C337" t="s">
        <v>260</v>
      </c>
      <c r="D337">
        <v>38675</v>
      </c>
      <c r="E337" t="s">
        <v>150</v>
      </c>
      <c r="F337" t="s">
        <v>298</v>
      </c>
      <c r="G337" s="28">
        <v>508</v>
      </c>
      <c r="H337" s="32">
        <v>47.22</v>
      </c>
      <c r="I337" s="32">
        <v>9050.68</v>
      </c>
      <c r="J337" t="s">
        <v>239</v>
      </c>
      <c r="K337" t="s">
        <v>245</v>
      </c>
      <c r="L337" t="s">
        <v>235</v>
      </c>
      <c r="M337" t="s">
        <v>236</v>
      </c>
      <c r="N337" t="s">
        <v>240</v>
      </c>
      <c r="O337" s="27">
        <v>46072</v>
      </c>
    </row>
    <row r="338" spans="2:15" hidden="1" x14ac:dyDescent="0.3">
      <c r="B338">
        <v>18702217</v>
      </c>
      <c r="C338" t="s">
        <v>260</v>
      </c>
      <c r="D338">
        <v>74304</v>
      </c>
      <c r="E338" t="s">
        <v>150</v>
      </c>
      <c r="F338" t="s">
        <v>258</v>
      </c>
      <c r="G338" s="28">
        <v>651</v>
      </c>
      <c r="H338" s="32">
        <v>47.09</v>
      </c>
      <c r="I338" s="32">
        <v>7039.8</v>
      </c>
      <c r="J338" t="s">
        <v>239</v>
      </c>
      <c r="K338" t="s">
        <v>245</v>
      </c>
      <c r="L338" t="s">
        <v>235</v>
      </c>
      <c r="M338" t="s">
        <v>236</v>
      </c>
      <c r="N338" t="s">
        <v>240</v>
      </c>
      <c r="O338" s="27">
        <v>46055</v>
      </c>
    </row>
    <row r="339" spans="2:15" hidden="1" x14ac:dyDescent="0.3">
      <c r="B339">
        <v>9799059</v>
      </c>
      <c r="C339" t="s">
        <v>260</v>
      </c>
      <c r="D339">
        <v>38675</v>
      </c>
      <c r="E339" t="s">
        <v>150</v>
      </c>
      <c r="F339" t="s">
        <v>164</v>
      </c>
      <c r="G339" s="28">
        <v>188</v>
      </c>
      <c r="H339" s="32">
        <v>46.82</v>
      </c>
      <c r="I339" s="32">
        <v>9129.92</v>
      </c>
      <c r="J339" t="s">
        <v>239</v>
      </c>
      <c r="K339" t="s">
        <v>245</v>
      </c>
      <c r="L339" t="s">
        <v>235</v>
      </c>
      <c r="M339" t="s">
        <v>236</v>
      </c>
      <c r="N339" t="s">
        <v>240</v>
      </c>
      <c r="O339" s="27">
        <v>46072</v>
      </c>
    </row>
    <row r="340" spans="2:15" hidden="1" x14ac:dyDescent="0.3">
      <c r="B340">
        <v>18702217</v>
      </c>
      <c r="C340" t="s">
        <v>260</v>
      </c>
      <c r="D340">
        <v>74304</v>
      </c>
      <c r="E340" t="s">
        <v>150</v>
      </c>
      <c r="F340" t="s">
        <v>289</v>
      </c>
      <c r="G340" s="28">
        <v>325</v>
      </c>
      <c r="H340" s="32">
        <v>46.66</v>
      </c>
      <c r="I340" s="32">
        <v>6982.96</v>
      </c>
      <c r="J340" t="s">
        <v>239</v>
      </c>
      <c r="K340" t="s">
        <v>245</v>
      </c>
      <c r="L340" t="s">
        <v>235</v>
      </c>
      <c r="M340" t="s">
        <v>236</v>
      </c>
      <c r="N340" t="s">
        <v>237</v>
      </c>
      <c r="O340" s="27">
        <v>46055</v>
      </c>
    </row>
    <row r="341" spans="2:15" hidden="1" x14ac:dyDescent="0.3">
      <c r="B341">
        <v>389066</v>
      </c>
      <c r="C341" t="s">
        <v>260</v>
      </c>
      <c r="D341">
        <v>21559</v>
      </c>
      <c r="E341" t="s">
        <v>150</v>
      </c>
      <c r="F341" t="s">
        <v>272</v>
      </c>
      <c r="G341" s="28">
        <v>1400</v>
      </c>
      <c r="H341" s="32">
        <v>46.66</v>
      </c>
      <c r="I341" s="32">
        <v>9142</v>
      </c>
      <c r="J341" t="s">
        <v>239</v>
      </c>
      <c r="K341" t="s">
        <v>234</v>
      </c>
      <c r="L341" t="s">
        <v>235</v>
      </c>
      <c r="M341" t="s">
        <v>236</v>
      </c>
      <c r="N341" t="s">
        <v>237</v>
      </c>
      <c r="O341" s="27">
        <v>46072</v>
      </c>
    </row>
    <row r="342" spans="2:15" hidden="1" x14ac:dyDescent="0.3">
      <c r="B342">
        <v>310157</v>
      </c>
      <c r="C342" t="s">
        <v>231</v>
      </c>
      <c r="D342">
        <v>68542</v>
      </c>
      <c r="E342" t="s">
        <v>150</v>
      </c>
      <c r="F342" t="s">
        <v>386</v>
      </c>
      <c r="G342" s="28">
        <v>431</v>
      </c>
      <c r="H342" s="32">
        <v>46.65</v>
      </c>
      <c r="I342" s="32">
        <v>42343.64</v>
      </c>
      <c r="J342" t="s">
        <v>267</v>
      </c>
      <c r="K342" t="s">
        <v>245</v>
      </c>
      <c r="L342" t="s">
        <v>235</v>
      </c>
      <c r="M342" t="s">
        <v>236</v>
      </c>
      <c r="N342" t="s">
        <v>237</v>
      </c>
      <c r="O342" s="27">
        <v>46057</v>
      </c>
    </row>
    <row r="343" spans="2:15" hidden="1" x14ac:dyDescent="0.3">
      <c r="B343">
        <v>2013549</v>
      </c>
      <c r="C343" t="s">
        <v>231</v>
      </c>
      <c r="D343">
        <v>23648</v>
      </c>
      <c r="E343" t="s">
        <v>150</v>
      </c>
      <c r="F343" t="s">
        <v>271</v>
      </c>
      <c r="G343" s="28">
        <v>500</v>
      </c>
      <c r="H343" s="32">
        <v>46.6</v>
      </c>
      <c r="I343" s="32">
        <v>9070</v>
      </c>
      <c r="J343" t="s">
        <v>239</v>
      </c>
      <c r="K343" t="s">
        <v>234</v>
      </c>
      <c r="L343" t="s">
        <v>235</v>
      </c>
      <c r="M343" t="s">
        <v>236</v>
      </c>
      <c r="N343" t="s">
        <v>237</v>
      </c>
      <c r="O343" s="27">
        <v>46059</v>
      </c>
    </row>
    <row r="344" spans="2:15" hidden="1" x14ac:dyDescent="0.3">
      <c r="B344">
        <v>4382412</v>
      </c>
      <c r="C344" t="s">
        <v>231</v>
      </c>
      <c r="D344">
        <v>49894</v>
      </c>
      <c r="E344" t="s">
        <v>150</v>
      </c>
      <c r="F344" t="s">
        <v>163</v>
      </c>
      <c r="G344" s="28">
        <v>600</v>
      </c>
      <c r="H344" s="32">
        <v>45.78</v>
      </c>
      <c r="I344" s="32">
        <v>8604</v>
      </c>
      <c r="J344" t="s">
        <v>239</v>
      </c>
      <c r="K344" t="s">
        <v>234</v>
      </c>
      <c r="L344" t="s">
        <v>235</v>
      </c>
      <c r="M344" t="s">
        <v>236</v>
      </c>
      <c r="N344" t="s">
        <v>240</v>
      </c>
      <c r="O344" s="27">
        <v>46076</v>
      </c>
    </row>
    <row r="345" spans="2:15" hidden="1" x14ac:dyDescent="0.3">
      <c r="B345">
        <v>389066</v>
      </c>
      <c r="C345" t="s">
        <v>260</v>
      </c>
      <c r="D345">
        <v>21559</v>
      </c>
      <c r="E345" t="s">
        <v>150</v>
      </c>
      <c r="F345" t="s">
        <v>271</v>
      </c>
      <c r="G345" s="28">
        <v>500</v>
      </c>
      <c r="H345" s="32">
        <v>45.66</v>
      </c>
      <c r="I345" s="32">
        <v>8945</v>
      </c>
      <c r="J345" t="s">
        <v>239</v>
      </c>
      <c r="K345" t="s">
        <v>234</v>
      </c>
      <c r="L345" t="s">
        <v>235</v>
      </c>
      <c r="M345" t="s">
        <v>236</v>
      </c>
      <c r="N345" t="s">
        <v>237</v>
      </c>
      <c r="O345" s="27">
        <v>46072</v>
      </c>
    </row>
    <row r="346" spans="2:15" hidden="1" x14ac:dyDescent="0.3">
      <c r="B346">
        <v>11824888</v>
      </c>
      <c r="C346" t="s">
        <v>231</v>
      </c>
      <c r="D346">
        <v>71881</v>
      </c>
      <c r="E346" t="s">
        <v>150</v>
      </c>
      <c r="F346" t="s">
        <v>298</v>
      </c>
      <c r="G346" s="28">
        <v>307</v>
      </c>
      <c r="H346" s="32">
        <v>45.55</v>
      </c>
      <c r="I346" s="32">
        <v>5345.43</v>
      </c>
      <c r="J346" t="s">
        <v>239</v>
      </c>
      <c r="K346" t="s">
        <v>245</v>
      </c>
      <c r="L346" t="s">
        <v>235</v>
      </c>
      <c r="M346" t="s">
        <v>236</v>
      </c>
      <c r="N346" t="s">
        <v>237</v>
      </c>
      <c r="O346" s="27">
        <v>46063</v>
      </c>
    </row>
    <row r="347" spans="2:15" hidden="1" x14ac:dyDescent="0.3">
      <c r="B347">
        <v>18702217</v>
      </c>
      <c r="C347" t="s">
        <v>260</v>
      </c>
      <c r="D347">
        <v>74304</v>
      </c>
      <c r="E347" t="s">
        <v>150</v>
      </c>
      <c r="F347" t="s">
        <v>289</v>
      </c>
      <c r="G347" s="28">
        <v>400</v>
      </c>
      <c r="H347" s="32">
        <v>45.37</v>
      </c>
      <c r="I347" s="32">
        <v>8576</v>
      </c>
      <c r="J347" t="s">
        <v>239</v>
      </c>
      <c r="K347" t="s">
        <v>234</v>
      </c>
      <c r="L347" t="s">
        <v>235</v>
      </c>
      <c r="M347" t="s">
        <v>236</v>
      </c>
      <c r="N347" t="s">
        <v>237</v>
      </c>
      <c r="O347" s="27">
        <v>46072</v>
      </c>
    </row>
    <row r="348" spans="2:15" hidden="1" x14ac:dyDescent="0.3">
      <c r="B348">
        <v>389066</v>
      </c>
      <c r="C348" t="s">
        <v>260</v>
      </c>
      <c r="D348">
        <v>21559</v>
      </c>
      <c r="E348" t="s">
        <v>150</v>
      </c>
      <c r="F348" t="s">
        <v>263</v>
      </c>
      <c r="G348" s="28">
        <v>600</v>
      </c>
      <c r="H348" s="32">
        <v>45.3</v>
      </c>
      <c r="I348" s="32">
        <v>8874</v>
      </c>
      <c r="J348" t="s">
        <v>239</v>
      </c>
      <c r="K348" t="s">
        <v>234</v>
      </c>
      <c r="L348" t="s">
        <v>235</v>
      </c>
      <c r="M348" t="s">
        <v>236</v>
      </c>
      <c r="N348" t="s">
        <v>237</v>
      </c>
      <c r="O348" s="27">
        <v>46072</v>
      </c>
    </row>
    <row r="349" spans="2:15" x14ac:dyDescent="0.3">
      <c r="B349">
        <v>7397602</v>
      </c>
      <c r="C349" t="s">
        <v>231</v>
      </c>
      <c r="D349">
        <v>22103</v>
      </c>
      <c r="E349" t="s">
        <v>150</v>
      </c>
      <c r="F349" t="s">
        <v>246</v>
      </c>
      <c r="G349" s="28">
        <v>231</v>
      </c>
      <c r="H349" s="32">
        <v>45.08</v>
      </c>
      <c r="I349" s="32">
        <v>8773.64</v>
      </c>
      <c r="J349" t="s">
        <v>239</v>
      </c>
      <c r="K349" t="s">
        <v>245</v>
      </c>
      <c r="L349" t="s">
        <v>235</v>
      </c>
      <c r="M349" t="s">
        <v>236</v>
      </c>
      <c r="N349" t="s">
        <v>240</v>
      </c>
      <c r="O349" s="27">
        <v>46072</v>
      </c>
    </row>
    <row r="350" spans="2:15" hidden="1" x14ac:dyDescent="0.3">
      <c r="B350">
        <v>18702217</v>
      </c>
      <c r="C350" t="s">
        <v>260</v>
      </c>
      <c r="D350">
        <v>74304</v>
      </c>
      <c r="E350" t="s">
        <v>150</v>
      </c>
      <c r="F350" t="s">
        <v>272</v>
      </c>
      <c r="G350" s="28">
        <v>1300</v>
      </c>
      <c r="H350" s="32">
        <v>44.78</v>
      </c>
      <c r="I350" s="32">
        <v>8463</v>
      </c>
      <c r="J350" t="s">
        <v>239</v>
      </c>
      <c r="K350" t="s">
        <v>234</v>
      </c>
      <c r="L350" t="s">
        <v>235</v>
      </c>
      <c r="M350" t="s">
        <v>236</v>
      </c>
      <c r="N350" t="s">
        <v>237</v>
      </c>
      <c r="O350" s="27">
        <v>46072</v>
      </c>
    </row>
    <row r="351" spans="2:15" hidden="1" x14ac:dyDescent="0.3">
      <c r="B351">
        <v>18702217</v>
      </c>
      <c r="C351" t="s">
        <v>260</v>
      </c>
      <c r="D351">
        <v>74304</v>
      </c>
      <c r="E351" t="s">
        <v>150</v>
      </c>
      <c r="F351" t="s">
        <v>274</v>
      </c>
      <c r="G351" s="28">
        <v>500</v>
      </c>
      <c r="H351" s="32">
        <v>44.34</v>
      </c>
      <c r="I351" s="32">
        <v>8380</v>
      </c>
      <c r="J351" t="s">
        <v>239</v>
      </c>
      <c r="K351" t="s">
        <v>234</v>
      </c>
      <c r="L351" t="s">
        <v>235</v>
      </c>
      <c r="M351" t="s">
        <v>236</v>
      </c>
      <c r="N351" t="s">
        <v>237</v>
      </c>
      <c r="O351" s="27">
        <v>46072</v>
      </c>
    </row>
    <row r="352" spans="2:15" hidden="1" x14ac:dyDescent="0.3">
      <c r="B352">
        <v>542586</v>
      </c>
      <c r="C352" t="s">
        <v>260</v>
      </c>
      <c r="D352">
        <v>21468</v>
      </c>
      <c r="E352" t="s">
        <v>150</v>
      </c>
      <c r="F352" t="s">
        <v>160</v>
      </c>
      <c r="G352" s="28">
        <v>100</v>
      </c>
      <c r="H352" s="32">
        <v>44.27</v>
      </c>
      <c r="I352" s="32">
        <v>8728</v>
      </c>
      <c r="J352" t="s">
        <v>239</v>
      </c>
      <c r="K352" t="s">
        <v>234</v>
      </c>
      <c r="L352" t="s">
        <v>235</v>
      </c>
      <c r="M352" t="s">
        <v>236</v>
      </c>
      <c r="N352" t="s">
        <v>237</v>
      </c>
      <c r="O352" s="27">
        <v>46058</v>
      </c>
    </row>
    <row r="353" spans="2:15" hidden="1" x14ac:dyDescent="0.3">
      <c r="B353">
        <v>4358018</v>
      </c>
      <c r="C353" t="s">
        <v>231</v>
      </c>
      <c r="D353">
        <v>23410</v>
      </c>
      <c r="E353" t="s">
        <v>150</v>
      </c>
      <c r="F353" t="s">
        <v>369</v>
      </c>
      <c r="G353" s="28">
        <v>148</v>
      </c>
      <c r="H353" s="32">
        <v>44.22</v>
      </c>
      <c r="I353" s="32">
        <v>7649.63</v>
      </c>
      <c r="J353" t="s">
        <v>239</v>
      </c>
      <c r="K353" t="s">
        <v>245</v>
      </c>
      <c r="L353" t="s">
        <v>235</v>
      </c>
      <c r="M353" t="s">
        <v>236</v>
      </c>
      <c r="N353" t="s">
        <v>240</v>
      </c>
      <c r="O353" s="27">
        <v>46055</v>
      </c>
    </row>
    <row r="354" spans="2:15" x14ac:dyDescent="0.3">
      <c r="B354">
        <v>5658854</v>
      </c>
      <c r="C354" t="s">
        <v>231</v>
      </c>
      <c r="D354">
        <v>22103</v>
      </c>
      <c r="E354" t="s">
        <v>150</v>
      </c>
      <c r="F354" t="s">
        <v>160</v>
      </c>
      <c r="G354" s="28">
        <v>100</v>
      </c>
      <c r="H354" s="32">
        <v>44.22</v>
      </c>
      <c r="I354" s="32">
        <v>8801</v>
      </c>
      <c r="J354" t="s">
        <v>239</v>
      </c>
      <c r="K354" t="s">
        <v>234</v>
      </c>
      <c r="L354" t="s">
        <v>235</v>
      </c>
      <c r="M354" t="s">
        <v>236</v>
      </c>
      <c r="N354" t="s">
        <v>237</v>
      </c>
      <c r="O354" s="27">
        <v>46076</v>
      </c>
    </row>
    <row r="355" spans="2:15" hidden="1" x14ac:dyDescent="0.3">
      <c r="B355">
        <v>18702217</v>
      </c>
      <c r="C355" t="s">
        <v>260</v>
      </c>
      <c r="D355">
        <v>74304</v>
      </c>
      <c r="E355" t="s">
        <v>150</v>
      </c>
      <c r="F355" t="s">
        <v>160</v>
      </c>
      <c r="G355" s="28">
        <v>100</v>
      </c>
      <c r="H355" s="32">
        <v>44.18</v>
      </c>
      <c r="I355" s="32">
        <v>8350</v>
      </c>
      <c r="J355" t="s">
        <v>239</v>
      </c>
      <c r="K355" t="s">
        <v>234</v>
      </c>
      <c r="L355" t="s">
        <v>235</v>
      </c>
      <c r="M355" t="s">
        <v>236</v>
      </c>
      <c r="N355" t="s">
        <v>237</v>
      </c>
      <c r="O355" s="27">
        <v>46072</v>
      </c>
    </row>
    <row r="356" spans="2:15" hidden="1" x14ac:dyDescent="0.3">
      <c r="B356">
        <v>18702217</v>
      </c>
      <c r="C356" t="s">
        <v>260</v>
      </c>
      <c r="D356">
        <v>74304</v>
      </c>
      <c r="E356" t="s">
        <v>150</v>
      </c>
      <c r="F356" t="s">
        <v>277</v>
      </c>
      <c r="G356" s="28">
        <v>200</v>
      </c>
      <c r="H356" s="32">
        <v>43.77</v>
      </c>
      <c r="I356" s="32">
        <v>8272</v>
      </c>
      <c r="J356" t="s">
        <v>239</v>
      </c>
      <c r="K356" t="s">
        <v>234</v>
      </c>
      <c r="L356" t="s">
        <v>235</v>
      </c>
      <c r="M356" t="s">
        <v>236</v>
      </c>
      <c r="N356" t="s">
        <v>237</v>
      </c>
      <c r="O356" s="27">
        <v>46072</v>
      </c>
    </row>
    <row r="357" spans="2:15" hidden="1" x14ac:dyDescent="0.3">
      <c r="B357">
        <v>389066</v>
      </c>
      <c r="C357" t="s">
        <v>260</v>
      </c>
      <c r="D357">
        <v>21559</v>
      </c>
      <c r="E357" t="s">
        <v>150</v>
      </c>
      <c r="F357" t="s">
        <v>289</v>
      </c>
      <c r="G357" s="28">
        <v>400</v>
      </c>
      <c r="H357" s="32">
        <v>43.57</v>
      </c>
      <c r="I357" s="32">
        <v>8536</v>
      </c>
      <c r="J357" t="s">
        <v>239</v>
      </c>
      <c r="K357" t="s">
        <v>234</v>
      </c>
      <c r="L357" t="s">
        <v>235</v>
      </c>
      <c r="M357" t="s">
        <v>236</v>
      </c>
      <c r="N357" t="s">
        <v>237</v>
      </c>
      <c r="O357" s="27">
        <v>46072</v>
      </c>
    </row>
    <row r="358" spans="2:15" hidden="1" x14ac:dyDescent="0.3">
      <c r="B358">
        <v>15255517</v>
      </c>
      <c r="C358" t="s">
        <v>231</v>
      </c>
      <c r="D358">
        <v>23648</v>
      </c>
      <c r="E358" t="s">
        <v>150</v>
      </c>
      <c r="F358" t="s">
        <v>289</v>
      </c>
      <c r="G358" s="28">
        <v>308</v>
      </c>
      <c r="H358" s="32">
        <v>43.41</v>
      </c>
      <c r="I358" s="32">
        <v>6617.7</v>
      </c>
      <c r="J358" t="s">
        <v>239</v>
      </c>
      <c r="K358" t="s">
        <v>245</v>
      </c>
      <c r="L358" t="s">
        <v>235</v>
      </c>
      <c r="M358" t="s">
        <v>236</v>
      </c>
      <c r="N358" t="s">
        <v>237</v>
      </c>
      <c r="O358" s="27">
        <v>46055</v>
      </c>
    </row>
    <row r="359" spans="2:15" x14ac:dyDescent="0.3">
      <c r="B359">
        <v>4745805</v>
      </c>
      <c r="C359" t="s">
        <v>231</v>
      </c>
      <c r="D359">
        <v>22103</v>
      </c>
      <c r="E359" t="s">
        <v>150</v>
      </c>
      <c r="F359" t="s">
        <v>298</v>
      </c>
      <c r="G359" s="28">
        <v>253</v>
      </c>
      <c r="H359" s="32">
        <v>42.8</v>
      </c>
      <c r="I359" s="32">
        <v>4405.24</v>
      </c>
      <c r="J359" t="s">
        <v>239</v>
      </c>
      <c r="K359" t="s">
        <v>245</v>
      </c>
      <c r="L359" t="s">
        <v>235</v>
      </c>
      <c r="M359" t="s">
        <v>236</v>
      </c>
      <c r="N359" t="s">
        <v>237</v>
      </c>
      <c r="O359" s="27">
        <v>46063</v>
      </c>
    </row>
    <row r="360" spans="2:15" hidden="1" x14ac:dyDescent="0.3">
      <c r="B360">
        <v>389066</v>
      </c>
      <c r="C360" t="s">
        <v>260</v>
      </c>
      <c r="D360">
        <v>21559</v>
      </c>
      <c r="E360" t="s">
        <v>150</v>
      </c>
      <c r="F360" t="s">
        <v>274</v>
      </c>
      <c r="G360" s="28">
        <v>500</v>
      </c>
      <c r="H360" s="32">
        <v>42.72</v>
      </c>
      <c r="I360" s="32">
        <v>8370</v>
      </c>
      <c r="J360" t="s">
        <v>239</v>
      </c>
      <c r="K360" t="s">
        <v>234</v>
      </c>
      <c r="L360" t="s">
        <v>235</v>
      </c>
      <c r="M360" t="s">
        <v>236</v>
      </c>
      <c r="N360" t="s">
        <v>237</v>
      </c>
      <c r="O360" s="27">
        <v>46072</v>
      </c>
    </row>
    <row r="361" spans="2:15" hidden="1" x14ac:dyDescent="0.3">
      <c r="B361">
        <v>389066</v>
      </c>
      <c r="C361" t="s">
        <v>260</v>
      </c>
      <c r="D361">
        <v>21559</v>
      </c>
      <c r="E361" t="s">
        <v>150</v>
      </c>
      <c r="F361" t="s">
        <v>160</v>
      </c>
      <c r="G361" s="28">
        <v>100</v>
      </c>
      <c r="H361" s="32">
        <v>42.65</v>
      </c>
      <c r="I361" s="32">
        <v>8356</v>
      </c>
      <c r="J361" t="s">
        <v>239</v>
      </c>
      <c r="K361" t="s">
        <v>234</v>
      </c>
      <c r="L361" t="s">
        <v>235</v>
      </c>
      <c r="M361" t="s">
        <v>236</v>
      </c>
      <c r="N361" t="s">
        <v>237</v>
      </c>
      <c r="O361" s="27">
        <v>46072</v>
      </c>
    </row>
    <row r="362" spans="2:15" hidden="1" x14ac:dyDescent="0.3">
      <c r="B362">
        <v>9799059</v>
      </c>
      <c r="C362" t="s">
        <v>260</v>
      </c>
      <c r="D362">
        <v>38675</v>
      </c>
      <c r="E362" t="s">
        <v>150</v>
      </c>
      <c r="F362" t="s">
        <v>246</v>
      </c>
      <c r="G362" s="28">
        <v>212</v>
      </c>
      <c r="H362" s="32">
        <v>42.47</v>
      </c>
      <c r="I362" s="32">
        <v>8053.92</v>
      </c>
      <c r="J362" t="s">
        <v>239</v>
      </c>
      <c r="K362" t="s">
        <v>245</v>
      </c>
      <c r="L362" t="s">
        <v>235</v>
      </c>
      <c r="M362" t="s">
        <v>236</v>
      </c>
      <c r="N362" t="s">
        <v>240</v>
      </c>
      <c r="O362" s="27">
        <v>46072</v>
      </c>
    </row>
    <row r="363" spans="2:15" hidden="1" x14ac:dyDescent="0.3">
      <c r="B363">
        <v>9799059</v>
      </c>
      <c r="C363" t="s">
        <v>260</v>
      </c>
      <c r="D363">
        <v>38675</v>
      </c>
      <c r="E363" t="s">
        <v>150</v>
      </c>
      <c r="F363" t="s">
        <v>243</v>
      </c>
      <c r="G363" s="28">
        <v>312</v>
      </c>
      <c r="H363" s="32">
        <v>42.46</v>
      </c>
      <c r="I363" s="32">
        <v>8453.39</v>
      </c>
      <c r="J363" t="s">
        <v>239</v>
      </c>
      <c r="K363" t="s">
        <v>245</v>
      </c>
      <c r="L363" t="s">
        <v>235</v>
      </c>
      <c r="M363" t="s">
        <v>236</v>
      </c>
      <c r="N363" t="s">
        <v>240</v>
      </c>
      <c r="O363" s="27">
        <v>46072</v>
      </c>
    </row>
    <row r="364" spans="2:15" hidden="1" x14ac:dyDescent="0.3">
      <c r="B364">
        <v>389066</v>
      </c>
      <c r="C364" t="s">
        <v>260</v>
      </c>
      <c r="D364">
        <v>21559</v>
      </c>
      <c r="E364" t="s">
        <v>150</v>
      </c>
      <c r="F364" t="s">
        <v>277</v>
      </c>
      <c r="G364" s="28">
        <v>200</v>
      </c>
      <c r="H364" s="32">
        <v>42.24</v>
      </c>
      <c r="I364" s="32">
        <v>8276</v>
      </c>
      <c r="J364" t="s">
        <v>239</v>
      </c>
      <c r="K364" t="s">
        <v>234</v>
      </c>
      <c r="L364" t="s">
        <v>235</v>
      </c>
      <c r="M364" t="s">
        <v>236</v>
      </c>
      <c r="N364" t="s">
        <v>237</v>
      </c>
      <c r="O364" s="27">
        <v>46072</v>
      </c>
    </row>
    <row r="365" spans="2:15" x14ac:dyDescent="0.3">
      <c r="B365">
        <v>5658854</v>
      </c>
      <c r="C365" t="s">
        <v>231</v>
      </c>
      <c r="D365">
        <v>22103</v>
      </c>
      <c r="E365" t="s">
        <v>150</v>
      </c>
      <c r="F365" t="s">
        <v>243</v>
      </c>
      <c r="G365" s="28">
        <v>300</v>
      </c>
      <c r="H365" s="32">
        <v>41.33</v>
      </c>
      <c r="I365" s="32">
        <v>8226</v>
      </c>
      <c r="J365" t="s">
        <v>239</v>
      </c>
      <c r="K365" t="s">
        <v>234</v>
      </c>
      <c r="L365" t="s">
        <v>235</v>
      </c>
      <c r="M365" t="s">
        <v>236</v>
      </c>
      <c r="N365" t="s">
        <v>240</v>
      </c>
      <c r="O365" s="27">
        <v>46076</v>
      </c>
    </row>
    <row r="366" spans="2:15" hidden="1" x14ac:dyDescent="0.3">
      <c r="B366">
        <v>4358018</v>
      </c>
      <c r="C366" t="s">
        <v>231</v>
      </c>
      <c r="D366">
        <v>23410</v>
      </c>
      <c r="E366" t="s">
        <v>150</v>
      </c>
      <c r="F366" t="s">
        <v>282</v>
      </c>
      <c r="G366" s="28">
        <v>139</v>
      </c>
      <c r="H366" s="32">
        <v>40.82</v>
      </c>
      <c r="I366" s="32">
        <v>7069.68</v>
      </c>
      <c r="J366" t="s">
        <v>239</v>
      </c>
      <c r="K366" t="s">
        <v>245</v>
      </c>
      <c r="L366" t="s">
        <v>235</v>
      </c>
      <c r="M366" t="s">
        <v>236</v>
      </c>
      <c r="N366" t="s">
        <v>240</v>
      </c>
      <c r="O366" s="27">
        <v>46055</v>
      </c>
    </row>
    <row r="367" spans="2:15" hidden="1" x14ac:dyDescent="0.3">
      <c r="B367">
        <v>15255517</v>
      </c>
      <c r="C367" t="s">
        <v>231</v>
      </c>
      <c r="D367">
        <v>23648</v>
      </c>
      <c r="E367" t="s">
        <v>150</v>
      </c>
      <c r="F367" t="s">
        <v>258</v>
      </c>
      <c r="G367" s="28">
        <v>572</v>
      </c>
      <c r="H367" s="32">
        <v>40.54</v>
      </c>
      <c r="I367" s="32">
        <v>6185.51</v>
      </c>
      <c r="J367" t="s">
        <v>239</v>
      </c>
      <c r="K367" t="s">
        <v>245</v>
      </c>
      <c r="L367" t="s">
        <v>235</v>
      </c>
      <c r="M367" t="s">
        <v>236</v>
      </c>
      <c r="N367" t="s">
        <v>240</v>
      </c>
      <c r="O367" s="27">
        <v>46055</v>
      </c>
    </row>
    <row r="368" spans="2:15" x14ac:dyDescent="0.3">
      <c r="B368">
        <v>7397602</v>
      </c>
      <c r="C368" t="s">
        <v>231</v>
      </c>
      <c r="D368">
        <v>22103</v>
      </c>
      <c r="E368" t="s">
        <v>150</v>
      </c>
      <c r="F368" t="s">
        <v>287</v>
      </c>
      <c r="G368" s="28">
        <v>259</v>
      </c>
      <c r="H368" s="32">
        <v>40.200000000000003</v>
      </c>
      <c r="I368" s="32">
        <v>8128.77</v>
      </c>
      <c r="J368" t="s">
        <v>239</v>
      </c>
      <c r="K368" t="s">
        <v>245</v>
      </c>
      <c r="L368" t="s">
        <v>235</v>
      </c>
      <c r="M368" t="s">
        <v>236</v>
      </c>
      <c r="N368" t="s">
        <v>237</v>
      </c>
      <c r="O368" s="27">
        <v>46063</v>
      </c>
    </row>
    <row r="369" spans="2:15" hidden="1" x14ac:dyDescent="0.3">
      <c r="B369">
        <v>18702217</v>
      </c>
      <c r="C369" t="s">
        <v>260</v>
      </c>
      <c r="D369">
        <v>74304</v>
      </c>
      <c r="E369" t="s">
        <v>150</v>
      </c>
      <c r="F369" t="s">
        <v>246</v>
      </c>
      <c r="G369" s="28">
        <v>200</v>
      </c>
      <c r="H369" s="32">
        <v>40.200000000000003</v>
      </c>
      <c r="I369" s="32">
        <v>7598</v>
      </c>
      <c r="J369" t="s">
        <v>239</v>
      </c>
      <c r="K369" t="s">
        <v>234</v>
      </c>
      <c r="L369" t="s">
        <v>235</v>
      </c>
      <c r="M369" t="s">
        <v>236</v>
      </c>
      <c r="N369" t="s">
        <v>237</v>
      </c>
      <c r="O369" s="27">
        <v>46072</v>
      </c>
    </row>
    <row r="370" spans="2:15" hidden="1" x14ac:dyDescent="0.3">
      <c r="B370">
        <v>366105</v>
      </c>
      <c r="C370" t="s">
        <v>231</v>
      </c>
      <c r="D370">
        <v>69519</v>
      </c>
      <c r="E370" t="s">
        <v>150</v>
      </c>
      <c r="F370" t="s">
        <v>306</v>
      </c>
      <c r="G370" s="28">
        <v>519</v>
      </c>
      <c r="H370" s="32">
        <v>40.17</v>
      </c>
      <c r="I370" s="32">
        <v>4641.84</v>
      </c>
      <c r="J370" t="s">
        <v>267</v>
      </c>
      <c r="K370" t="s">
        <v>245</v>
      </c>
      <c r="L370" t="s">
        <v>235</v>
      </c>
      <c r="M370" t="s">
        <v>236</v>
      </c>
      <c r="N370" t="s">
        <v>240</v>
      </c>
      <c r="O370" s="27">
        <v>46063</v>
      </c>
    </row>
    <row r="371" spans="2:15" hidden="1" x14ac:dyDescent="0.3">
      <c r="B371">
        <v>238658</v>
      </c>
      <c r="C371" t="s">
        <v>231</v>
      </c>
      <c r="D371">
        <v>21468</v>
      </c>
      <c r="E371" t="s">
        <v>150</v>
      </c>
      <c r="F371" t="s">
        <v>163</v>
      </c>
      <c r="G371" s="28">
        <v>248</v>
      </c>
      <c r="H371" s="32">
        <v>39.770000000000003</v>
      </c>
      <c r="I371" s="32">
        <v>3462.18</v>
      </c>
      <c r="J371" t="s">
        <v>239</v>
      </c>
      <c r="K371" t="s">
        <v>245</v>
      </c>
      <c r="L371" t="s">
        <v>235</v>
      </c>
      <c r="M371" t="s">
        <v>236</v>
      </c>
      <c r="N371" t="s">
        <v>237</v>
      </c>
      <c r="O371" s="27">
        <v>46063</v>
      </c>
    </row>
    <row r="372" spans="2:15" hidden="1" x14ac:dyDescent="0.3">
      <c r="B372">
        <v>4382412</v>
      </c>
      <c r="C372" t="s">
        <v>231</v>
      </c>
      <c r="D372">
        <v>49894</v>
      </c>
      <c r="E372" t="s">
        <v>150</v>
      </c>
      <c r="F372" t="s">
        <v>329</v>
      </c>
      <c r="G372" s="28">
        <v>85</v>
      </c>
      <c r="H372" s="32">
        <v>39.590000000000003</v>
      </c>
      <c r="I372" s="32">
        <v>7440.9</v>
      </c>
      <c r="J372" t="s">
        <v>330</v>
      </c>
      <c r="K372" t="s">
        <v>234</v>
      </c>
      <c r="L372" t="s">
        <v>235</v>
      </c>
      <c r="M372" t="s">
        <v>236</v>
      </c>
      <c r="N372" t="s">
        <v>240</v>
      </c>
      <c r="O372" s="27">
        <v>46076</v>
      </c>
    </row>
    <row r="373" spans="2:15" hidden="1" x14ac:dyDescent="0.3">
      <c r="B373">
        <v>4535206</v>
      </c>
      <c r="C373" t="s">
        <v>231</v>
      </c>
      <c r="D373">
        <v>68542</v>
      </c>
      <c r="E373" t="s">
        <v>150</v>
      </c>
      <c r="F373" t="s">
        <v>386</v>
      </c>
      <c r="G373" s="28">
        <v>344</v>
      </c>
      <c r="H373" s="32">
        <v>39.35</v>
      </c>
      <c r="I373" s="32">
        <v>33796.11</v>
      </c>
      <c r="J373" t="s">
        <v>267</v>
      </c>
      <c r="K373" t="s">
        <v>245</v>
      </c>
      <c r="L373" t="s">
        <v>235</v>
      </c>
      <c r="M373" t="s">
        <v>236</v>
      </c>
      <c r="N373" t="s">
        <v>237</v>
      </c>
      <c r="O373" s="27">
        <v>46057</v>
      </c>
    </row>
    <row r="374" spans="2:15" hidden="1" x14ac:dyDescent="0.3">
      <c r="B374">
        <v>18702217</v>
      </c>
      <c r="C374" t="s">
        <v>260</v>
      </c>
      <c r="D374">
        <v>74304</v>
      </c>
      <c r="E374" t="s">
        <v>150</v>
      </c>
      <c r="F374" t="s">
        <v>263</v>
      </c>
      <c r="G374" s="28">
        <v>500</v>
      </c>
      <c r="H374" s="32">
        <v>39.28</v>
      </c>
      <c r="I374" s="32">
        <v>7425</v>
      </c>
      <c r="J374" t="s">
        <v>239</v>
      </c>
      <c r="K374" t="s">
        <v>234</v>
      </c>
      <c r="L374" t="s">
        <v>235</v>
      </c>
      <c r="M374" t="s">
        <v>236</v>
      </c>
      <c r="N374" t="s">
        <v>237</v>
      </c>
      <c r="O374" s="27">
        <v>46072</v>
      </c>
    </row>
    <row r="375" spans="2:15" hidden="1" x14ac:dyDescent="0.3">
      <c r="B375">
        <v>2013549</v>
      </c>
      <c r="C375" t="s">
        <v>231</v>
      </c>
      <c r="D375">
        <v>23648</v>
      </c>
      <c r="E375" t="s">
        <v>150</v>
      </c>
      <c r="F375" t="s">
        <v>277</v>
      </c>
      <c r="G375" s="28">
        <v>200</v>
      </c>
      <c r="H375" s="32">
        <v>39.24</v>
      </c>
      <c r="I375" s="32">
        <v>7638</v>
      </c>
      <c r="J375" t="s">
        <v>239</v>
      </c>
      <c r="K375" t="s">
        <v>234</v>
      </c>
      <c r="L375" t="s">
        <v>235</v>
      </c>
      <c r="M375" t="s">
        <v>236</v>
      </c>
      <c r="N375" t="s">
        <v>237</v>
      </c>
      <c r="O375" s="27">
        <v>46059</v>
      </c>
    </row>
    <row r="376" spans="2:15" hidden="1" x14ac:dyDescent="0.3">
      <c r="B376">
        <v>2013549</v>
      </c>
      <c r="C376" t="s">
        <v>231</v>
      </c>
      <c r="D376">
        <v>23648</v>
      </c>
      <c r="E376" t="s">
        <v>150</v>
      </c>
      <c r="F376" t="s">
        <v>335</v>
      </c>
      <c r="G376" s="28">
        <v>53</v>
      </c>
      <c r="H376" s="32">
        <v>38.89</v>
      </c>
      <c r="I376" s="32">
        <v>7569.46</v>
      </c>
      <c r="J376" t="s">
        <v>330</v>
      </c>
      <c r="K376" t="s">
        <v>234</v>
      </c>
      <c r="L376" t="s">
        <v>235</v>
      </c>
      <c r="M376" t="s">
        <v>236</v>
      </c>
      <c r="N376" t="s">
        <v>240</v>
      </c>
      <c r="O376" s="27">
        <v>46059</v>
      </c>
    </row>
    <row r="377" spans="2:15" hidden="1" x14ac:dyDescent="0.3">
      <c r="B377">
        <v>389066</v>
      </c>
      <c r="C377" t="s">
        <v>260</v>
      </c>
      <c r="D377">
        <v>21559</v>
      </c>
      <c r="E377" t="s">
        <v>150</v>
      </c>
      <c r="F377" t="s">
        <v>246</v>
      </c>
      <c r="G377" s="28">
        <v>200</v>
      </c>
      <c r="H377" s="32">
        <v>38.89</v>
      </c>
      <c r="I377" s="32">
        <v>7620</v>
      </c>
      <c r="J377" t="s">
        <v>239</v>
      </c>
      <c r="K377" t="s">
        <v>234</v>
      </c>
      <c r="L377" t="s">
        <v>235</v>
      </c>
      <c r="M377" t="s">
        <v>236</v>
      </c>
      <c r="N377" t="s">
        <v>237</v>
      </c>
      <c r="O377" s="27">
        <v>46072</v>
      </c>
    </row>
    <row r="378" spans="2:15" hidden="1" x14ac:dyDescent="0.3">
      <c r="B378">
        <v>2973255</v>
      </c>
      <c r="C378" t="s">
        <v>260</v>
      </c>
      <c r="D378">
        <v>69519</v>
      </c>
      <c r="E378" t="s">
        <v>150</v>
      </c>
      <c r="F378" t="s">
        <v>306</v>
      </c>
      <c r="G378" s="28">
        <v>505</v>
      </c>
      <c r="H378" s="32">
        <v>38.75</v>
      </c>
      <c r="I378" s="32">
        <v>4516.6400000000003</v>
      </c>
      <c r="J378" t="s">
        <v>267</v>
      </c>
      <c r="K378" t="s">
        <v>245</v>
      </c>
      <c r="L378" t="s">
        <v>235</v>
      </c>
      <c r="M378" t="s">
        <v>236</v>
      </c>
      <c r="N378" t="s">
        <v>240</v>
      </c>
      <c r="O378" s="27">
        <v>46063</v>
      </c>
    </row>
    <row r="379" spans="2:15" hidden="1" x14ac:dyDescent="0.3">
      <c r="B379">
        <v>2013549</v>
      </c>
      <c r="C379" t="s">
        <v>231</v>
      </c>
      <c r="D379">
        <v>23648</v>
      </c>
      <c r="E379" t="s">
        <v>150</v>
      </c>
      <c r="F379" t="s">
        <v>255</v>
      </c>
      <c r="G379" s="28">
        <v>92</v>
      </c>
      <c r="H379" s="32">
        <v>38.700000000000003</v>
      </c>
      <c r="I379" s="32">
        <v>7533.12</v>
      </c>
      <c r="J379" t="s">
        <v>256</v>
      </c>
      <c r="K379" t="s">
        <v>234</v>
      </c>
      <c r="L379" t="s">
        <v>235</v>
      </c>
      <c r="M379" t="s">
        <v>236</v>
      </c>
      <c r="N379" t="s">
        <v>240</v>
      </c>
      <c r="O379" s="27">
        <v>46059</v>
      </c>
    </row>
    <row r="380" spans="2:15" x14ac:dyDescent="0.3">
      <c r="B380">
        <v>5658854</v>
      </c>
      <c r="C380" t="s">
        <v>231</v>
      </c>
      <c r="D380">
        <v>22103</v>
      </c>
      <c r="E380" t="s">
        <v>150</v>
      </c>
      <c r="F380" t="s">
        <v>835</v>
      </c>
      <c r="G380" s="28">
        <v>428</v>
      </c>
      <c r="H380" s="32">
        <v>38.26</v>
      </c>
      <c r="I380" s="32">
        <v>7614.12</v>
      </c>
      <c r="J380" t="s">
        <v>239</v>
      </c>
      <c r="K380" t="s">
        <v>234</v>
      </c>
      <c r="L380" t="s">
        <v>235</v>
      </c>
      <c r="M380" t="s">
        <v>236</v>
      </c>
      <c r="N380" t="s">
        <v>240</v>
      </c>
      <c r="O380" s="27">
        <v>46076</v>
      </c>
    </row>
    <row r="381" spans="2:15" hidden="1" x14ac:dyDescent="0.3">
      <c r="B381">
        <v>2735150</v>
      </c>
      <c r="C381" t="s">
        <v>231</v>
      </c>
      <c r="D381">
        <v>49894</v>
      </c>
      <c r="E381" t="s">
        <v>150</v>
      </c>
      <c r="F381" t="s">
        <v>163</v>
      </c>
      <c r="G381" s="28">
        <v>238</v>
      </c>
      <c r="H381" s="32">
        <v>38.24</v>
      </c>
      <c r="I381" s="32">
        <v>3322.69</v>
      </c>
      <c r="J381" t="s">
        <v>239</v>
      </c>
      <c r="K381" t="s">
        <v>245</v>
      </c>
      <c r="L381" t="s">
        <v>235</v>
      </c>
      <c r="M381" t="s">
        <v>236</v>
      </c>
      <c r="N381" t="s">
        <v>237</v>
      </c>
      <c r="O381" s="27">
        <v>46063</v>
      </c>
    </row>
    <row r="382" spans="2:15" hidden="1" x14ac:dyDescent="0.3">
      <c r="B382">
        <v>4382412</v>
      </c>
      <c r="C382" t="s">
        <v>231</v>
      </c>
      <c r="D382">
        <v>49894</v>
      </c>
      <c r="E382" t="s">
        <v>150</v>
      </c>
      <c r="F382" t="s">
        <v>298</v>
      </c>
      <c r="G382" s="28">
        <v>400</v>
      </c>
      <c r="H382" s="32">
        <v>38.01</v>
      </c>
      <c r="I382" s="32">
        <v>7144</v>
      </c>
      <c r="J382" t="s">
        <v>239</v>
      </c>
      <c r="K382" t="s">
        <v>234</v>
      </c>
      <c r="L382" t="s">
        <v>235</v>
      </c>
      <c r="M382" t="s">
        <v>236</v>
      </c>
      <c r="N382" t="s">
        <v>240</v>
      </c>
      <c r="O382" s="27">
        <v>46076</v>
      </c>
    </row>
    <row r="383" spans="2:15" x14ac:dyDescent="0.3">
      <c r="B383">
        <v>79379</v>
      </c>
      <c r="C383" t="s">
        <v>231</v>
      </c>
      <c r="D383">
        <v>22103</v>
      </c>
      <c r="E383" t="s">
        <v>150</v>
      </c>
      <c r="F383" t="s">
        <v>163</v>
      </c>
      <c r="G383" s="28">
        <v>480</v>
      </c>
      <c r="H383" s="32">
        <v>38</v>
      </c>
      <c r="I383" s="32">
        <v>6830.19</v>
      </c>
      <c r="J383" t="s">
        <v>239</v>
      </c>
      <c r="K383" t="s">
        <v>245</v>
      </c>
      <c r="L383" t="s">
        <v>235</v>
      </c>
      <c r="M383" t="s">
        <v>236</v>
      </c>
      <c r="N383" t="s">
        <v>237</v>
      </c>
      <c r="O383" s="27">
        <v>46072</v>
      </c>
    </row>
    <row r="384" spans="2:15" hidden="1" x14ac:dyDescent="0.3">
      <c r="B384">
        <v>18702217</v>
      </c>
      <c r="C384" t="s">
        <v>260</v>
      </c>
      <c r="D384">
        <v>74304</v>
      </c>
      <c r="E384" t="s">
        <v>150</v>
      </c>
      <c r="F384" t="s">
        <v>271</v>
      </c>
      <c r="G384" s="28">
        <v>400</v>
      </c>
      <c r="H384" s="32">
        <v>37.86</v>
      </c>
      <c r="I384" s="32">
        <v>7156</v>
      </c>
      <c r="J384" t="s">
        <v>239</v>
      </c>
      <c r="K384" t="s">
        <v>234</v>
      </c>
      <c r="L384" t="s">
        <v>235</v>
      </c>
      <c r="M384" t="s">
        <v>236</v>
      </c>
      <c r="N384" t="s">
        <v>237</v>
      </c>
      <c r="O384" s="27">
        <v>46072</v>
      </c>
    </row>
    <row r="385" spans="2:15" hidden="1" x14ac:dyDescent="0.3">
      <c r="B385">
        <v>4358018</v>
      </c>
      <c r="C385" t="s">
        <v>231</v>
      </c>
      <c r="D385">
        <v>23410</v>
      </c>
      <c r="E385" t="s">
        <v>150</v>
      </c>
      <c r="F385" t="s">
        <v>298</v>
      </c>
      <c r="G385" s="28">
        <v>399</v>
      </c>
      <c r="H385" s="32">
        <v>37.82</v>
      </c>
      <c r="I385" s="32">
        <v>6550.48</v>
      </c>
      <c r="J385" t="s">
        <v>239</v>
      </c>
      <c r="K385" t="s">
        <v>245</v>
      </c>
      <c r="L385" t="s">
        <v>235</v>
      </c>
      <c r="M385" t="s">
        <v>236</v>
      </c>
      <c r="N385" t="s">
        <v>237</v>
      </c>
      <c r="O385" s="27">
        <v>46055</v>
      </c>
    </row>
    <row r="386" spans="2:15" hidden="1" x14ac:dyDescent="0.3">
      <c r="B386">
        <v>18547873</v>
      </c>
      <c r="C386" t="s">
        <v>260</v>
      </c>
      <c r="D386">
        <v>38517</v>
      </c>
      <c r="E386" t="s">
        <v>150</v>
      </c>
      <c r="F386" t="s">
        <v>289</v>
      </c>
      <c r="G386" s="28">
        <v>247</v>
      </c>
      <c r="H386" s="32">
        <v>37.479999999999997</v>
      </c>
      <c r="I386" s="32">
        <v>5307.05</v>
      </c>
      <c r="J386" t="s">
        <v>239</v>
      </c>
      <c r="K386" t="s">
        <v>245</v>
      </c>
      <c r="L386" t="s">
        <v>235</v>
      </c>
      <c r="M386" t="s">
        <v>236</v>
      </c>
      <c r="N386" t="s">
        <v>237</v>
      </c>
      <c r="O386" s="27">
        <v>46055</v>
      </c>
    </row>
    <row r="387" spans="2:15" x14ac:dyDescent="0.3">
      <c r="B387">
        <v>7397602</v>
      </c>
      <c r="C387" t="s">
        <v>231</v>
      </c>
      <c r="D387">
        <v>22103</v>
      </c>
      <c r="E387" t="s">
        <v>150</v>
      </c>
      <c r="F387" t="s">
        <v>251</v>
      </c>
      <c r="G387" s="28">
        <v>146</v>
      </c>
      <c r="H387" s="32">
        <v>37.44</v>
      </c>
      <c r="I387" s="32">
        <v>7222.93</v>
      </c>
      <c r="J387" t="s">
        <v>239</v>
      </c>
      <c r="K387" t="s">
        <v>245</v>
      </c>
      <c r="L387" t="s">
        <v>235</v>
      </c>
      <c r="M387" t="s">
        <v>236</v>
      </c>
      <c r="N387" t="s">
        <v>237</v>
      </c>
      <c r="O387" s="27">
        <v>46072</v>
      </c>
    </row>
    <row r="388" spans="2:15" hidden="1" x14ac:dyDescent="0.3">
      <c r="B388">
        <v>18797810</v>
      </c>
      <c r="C388" t="s">
        <v>231</v>
      </c>
      <c r="D388">
        <v>74304</v>
      </c>
      <c r="E388" t="s">
        <v>150</v>
      </c>
      <c r="F388" t="s">
        <v>298</v>
      </c>
      <c r="G388" s="28">
        <v>216</v>
      </c>
      <c r="H388" s="32">
        <v>37.17</v>
      </c>
      <c r="I388" s="32">
        <v>3761.06</v>
      </c>
      <c r="J388" t="s">
        <v>239</v>
      </c>
      <c r="K388" t="s">
        <v>245</v>
      </c>
      <c r="L388" t="s">
        <v>235</v>
      </c>
      <c r="M388" t="s">
        <v>236</v>
      </c>
      <c r="N388" t="s">
        <v>237</v>
      </c>
      <c r="O388" s="27">
        <v>46063</v>
      </c>
    </row>
    <row r="389" spans="2:15" hidden="1" x14ac:dyDescent="0.3">
      <c r="B389">
        <v>272204</v>
      </c>
      <c r="C389" t="s">
        <v>231</v>
      </c>
      <c r="D389">
        <v>23648</v>
      </c>
      <c r="E389" t="s">
        <v>150</v>
      </c>
      <c r="F389" t="s">
        <v>164</v>
      </c>
      <c r="G389" s="28">
        <v>232</v>
      </c>
      <c r="H389" s="32">
        <v>37.06</v>
      </c>
      <c r="I389" s="32">
        <v>11277.52</v>
      </c>
      <c r="J389" t="s">
        <v>239</v>
      </c>
      <c r="K389" t="s">
        <v>245</v>
      </c>
      <c r="L389" t="s">
        <v>235</v>
      </c>
      <c r="M389" t="s">
        <v>236</v>
      </c>
      <c r="N389" t="s">
        <v>240</v>
      </c>
      <c r="O389" s="27">
        <v>46063</v>
      </c>
    </row>
    <row r="390" spans="2:15" x14ac:dyDescent="0.3">
      <c r="B390">
        <v>79379</v>
      </c>
      <c r="C390" t="s">
        <v>231</v>
      </c>
      <c r="D390">
        <v>22103</v>
      </c>
      <c r="E390" t="s">
        <v>150</v>
      </c>
      <c r="F390" t="s">
        <v>164</v>
      </c>
      <c r="G390" s="28">
        <v>137</v>
      </c>
      <c r="H390" s="32">
        <v>37.04</v>
      </c>
      <c r="I390" s="32">
        <v>6657.8</v>
      </c>
      <c r="J390" t="s">
        <v>239</v>
      </c>
      <c r="K390" t="s">
        <v>245</v>
      </c>
      <c r="L390" t="s">
        <v>235</v>
      </c>
      <c r="M390" t="s">
        <v>236</v>
      </c>
      <c r="N390" t="s">
        <v>237</v>
      </c>
      <c r="O390" s="27">
        <v>46072</v>
      </c>
    </row>
    <row r="391" spans="2:15" x14ac:dyDescent="0.3">
      <c r="B391">
        <v>3105908</v>
      </c>
      <c r="C391" t="s">
        <v>231</v>
      </c>
      <c r="D391">
        <v>22103</v>
      </c>
      <c r="E391" t="s">
        <v>150</v>
      </c>
      <c r="F391" t="s">
        <v>289</v>
      </c>
      <c r="G391" s="28">
        <v>248</v>
      </c>
      <c r="H391" s="32">
        <v>36.68</v>
      </c>
      <c r="I391" s="32">
        <v>5328.54</v>
      </c>
      <c r="J391" t="s">
        <v>239</v>
      </c>
      <c r="K391" t="s">
        <v>245</v>
      </c>
      <c r="L391" t="s">
        <v>235</v>
      </c>
      <c r="M391" t="s">
        <v>236</v>
      </c>
      <c r="N391" t="s">
        <v>237</v>
      </c>
      <c r="O391" s="27">
        <v>46055</v>
      </c>
    </row>
    <row r="392" spans="2:15" hidden="1" x14ac:dyDescent="0.3">
      <c r="B392">
        <v>3548394</v>
      </c>
      <c r="C392" t="s">
        <v>260</v>
      </c>
      <c r="D392">
        <v>25104</v>
      </c>
      <c r="E392" t="s">
        <v>150</v>
      </c>
      <c r="F392" t="s">
        <v>323</v>
      </c>
      <c r="G392" s="28">
        <v>573</v>
      </c>
      <c r="H392" s="32">
        <v>36.090000000000003</v>
      </c>
      <c r="I392" s="32">
        <v>3928.04</v>
      </c>
      <c r="J392" t="s">
        <v>267</v>
      </c>
      <c r="K392" t="s">
        <v>245</v>
      </c>
      <c r="L392" t="s">
        <v>235</v>
      </c>
      <c r="M392" t="s">
        <v>236</v>
      </c>
      <c r="N392" t="s">
        <v>240</v>
      </c>
      <c r="O392" s="27">
        <v>46057</v>
      </c>
    </row>
    <row r="393" spans="2:15" hidden="1" x14ac:dyDescent="0.3">
      <c r="B393">
        <v>3274546</v>
      </c>
      <c r="C393" t="s">
        <v>260</v>
      </c>
      <c r="D393">
        <v>22674</v>
      </c>
      <c r="E393" t="s">
        <v>150</v>
      </c>
      <c r="F393" t="s">
        <v>163</v>
      </c>
      <c r="G393" s="28">
        <v>234</v>
      </c>
      <c r="H393" s="32">
        <v>35.94</v>
      </c>
      <c r="I393" s="32">
        <v>3266.71</v>
      </c>
      <c r="J393" t="s">
        <v>239</v>
      </c>
      <c r="K393" t="s">
        <v>245</v>
      </c>
      <c r="L393" t="s">
        <v>235</v>
      </c>
      <c r="M393" t="s">
        <v>236</v>
      </c>
      <c r="N393" t="s">
        <v>237</v>
      </c>
      <c r="O393" s="27">
        <v>46063</v>
      </c>
    </row>
    <row r="394" spans="2:15" hidden="1" x14ac:dyDescent="0.3">
      <c r="B394">
        <v>2229229</v>
      </c>
      <c r="C394" t="s">
        <v>260</v>
      </c>
      <c r="D394">
        <v>40901</v>
      </c>
      <c r="E394" t="s">
        <v>150</v>
      </c>
      <c r="F394" t="s">
        <v>289</v>
      </c>
      <c r="G394" s="28">
        <v>238</v>
      </c>
      <c r="H394" s="32">
        <v>35.880000000000003</v>
      </c>
      <c r="I394" s="32">
        <v>5113.68</v>
      </c>
      <c r="J394" t="s">
        <v>239</v>
      </c>
      <c r="K394" t="s">
        <v>245</v>
      </c>
      <c r="L394" t="s">
        <v>235</v>
      </c>
      <c r="M394" t="s">
        <v>236</v>
      </c>
      <c r="N394" t="s">
        <v>237</v>
      </c>
      <c r="O394" s="27">
        <v>46055</v>
      </c>
    </row>
    <row r="395" spans="2:15" hidden="1" x14ac:dyDescent="0.3">
      <c r="B395">
        <v>18547873</v>
      </c>
      <c r="C395" t="s">
        <v>260</v>
      </c>
      <c r="D395">
        <v>38517</v>
      </c>
      <c r="E395" t="s">
        <v>150</v>
      </c>
      <c r="F395" t="s">
        <v>258</v>
      </c>
      <c r="G395" s="28">
        <v>470</v>
      </c>
      <c r="H395" s="32">
        <v>35.83</v>
      </c>
      <c r="I395" s="32">
        <v>5082.5</v>
      </c>
      <c r="J395" t="s">
        <v>239</v>
      </c>
      <c r="K395" t="s">
        <v>245</v>
      </c>
      <c r="L395" t="s">
        <v>235</v>
      </c>
      <c r="M395" t="s">
        <v>236</v>
      </c>
      <c r="N395" t="s">
        <v>240</v>
      </c>
      <c r="O395" s="27">
        <v>46055</v>
      </c>
    </row>
    <row r="396" spans="2:15" hidden="1" x14ac:dyDescent="0.3">
      <c r="B396">
        <v>2922242</v>
      </c>
      <c r="C396" t="s">
        <v>260</v>
      </c>
      <c r="D396">
        <v>69519</v>
      </c>
      <c r="E396" t="s">
        <v>150</v>
      </c>
      <c r="F396" t="s">
        <v>329</v>
      </c>
      <c r="G396" s="28">
        <v>78</v>
      </c>
      <c r="H396" s="32">
        <v>35.83</v>
      </c>
      <c r="I396" s="32">
        <v>6662.23</v>
      </c>
      <c r="J396" t="s">
        <v>330</v>
      </c>
      <c r="K396" t="s">
        <v>234</v>
      </c>
      <c r="L396" t="s">
        <v>235</v>
      </c>
      <c r="M396" t="s">
        <v>236</v>
      </c>
      <c r="N396" t="s">
        <v>237</v>
      </c>
      <c r="O396" s="27">
        <v>46062</v>
      </c>
    </row>
    <row r="397" spans="2:15" hidden="1" x14ac:dyDescent="0.3">
      <c r="B397">
        <v>2569374</v>
      </c>
      <c r="C397" t="s">
        <v>231</v>
      </c>
      <c r="D397">
        <v>71997</v>
      </c>
      <c r="E397" t="s">
        <v>150</v>
      </c>
      <c r="F397" t="s">
        <v>298</v>
      </c>
      <c r="G397" s="28">
        <v>233</v>
      </c>
      <c r="H397" s="32">
        <v>35.729999999999997</v>
      </c>
      <c r="I397" s="32">
        <v>4056.81</v>
      </c>
      <c r="J397" t="s">
        <v>239</v>
      </c>
      <c r="K397" t="s">
        <v>245</v>
      </c>
      <c r="L397" t="s">
        <v>235</v>
      </c>
      <c r="M397" t="s">
        <v>236</v>
      </c>
      <c r="N397" t="s">
        <v>237</v>
      </c>
      <c r="O397" s="27">
        <v>46063</v>
      </c>
    </row>
    <row r="398" spans="2:15" x14ac:dyDescent="0.3">
      <c r="B398">
        <v>7397602</v>
      </c>
      <c r="C398" t="s">
        <v>231</v>
      </c>
      <c r="D398">
        <v>22103</v>
      </c>
      <c r="E398" t="s">
        <v>150</v>
      </c>
      <c r="F398" t="s">
        <v>163</v>
      </c>
      <c r="G398" s="28">
        <v>474</v>
      </c>
      <c r="H398" s="32">
        <v>35.65</v>
      </c>
      <c r="I398" s="32">
        <v>6745.25</v>
      </c>
      <c r="J398" t="s">
        <v>239</v>
      </c>
      <c r="K398" t="s">
        <v>245</v>
      </c>
      <c r="L398" t="s">
        <v>235</v>
      </c>
      <c r="M398" t="s">
        <v>236</v>
      </c>
      <c r="N398" t="s">
        <v>237</v>
      </c>
      <c r="O398" s="27">
        <v>46072</v>
      </c>
    </row>
    <row r="399" spans="2:15" hidden="1" x14ac:dyDescent="0.3">
      <c r="B399">
        <v>2278263</v>
      </c>
      <c r="C399" t="s">
        <v>231</v>
      </c>
      <c r="D399">
        <v>22674</v>
      </c>
      <c r="E399" t="s">
        <v>150</v>
      </c>
      <c r="F399" t="s">
        <v>163</v>
      </c>
      <c r="G399" s="28">
        <v>220</v>
      </c>
      <c r="H399" s="32">
        <v>35.630000000000003</v>
      </c>
      <c r="I399" s="32">
        <v>3071.31</v>
      </c>
      <c r="J399" t="s">
        <v>239</v>
      </c>
      <c r="K399" t="s">
        <v>245</v>
      </c>
      <c r="L399" t="s">
        <v>235</v>
      </c>
      <c r="M399" t="s">
        <v>236</v>
      </c>
      <c r="N399" t="s">
        <v>237</v>
      </c>
      <c r="O399" s="27">
        <v>46063</v>
      </c>
    </row>
    <row r="400" spans="2:15" hidden="1" x14ac:dyDescent="0.3">
      <c r="B400">
        <v>2579681</v>
      </c>
      <c r="C400" t="s">
        <v>231</v>
      </c>
      <c r="D400">
        <v>25619</v>
      </c>
      <c r="E400" t="s">
        <v>150</v>
      </c>
      <c r="F400" t="s">
        <v>163</v>
      </c>
      <c r="G400" s="28">
        <v>220</v>
      </c>
      <c r="H400" s="32">
        <v>35.61</v>
      </c>
      <c r="I400" s="32">
        <v>3071.31</v>
      </c>
      <c r="J400" t="s">
        <v>239</v>
      </c>
      <c r="K400" t="s">
        <v>245</v>
      </c>
      <c r="L400" t="s">
        <v>235</v>
      </c>
      <c r="M400" t="s">
        <v>236</v>
      </c>
      <c r="N400" t="s">
        <v>237</v>
      </c>
      <c r="O400" s="27">
        <v>46063</v>
      </c>
    </row>
    <row r="401" spans="2:15" hidden="1" x14ac:dyDescent="0.3">
      <c r="B401">
        <v>2033851</v>
      </c>
      <c r="C401" t="s">
        <v>231</v>
      </c>
      <c r="D401">
        <v>24415</v>
      </c>
      <c r="E401" t="s">
        <v>150</v>
      </c>
      <c r="F401" t="s">
        <v>281</v>
      </c>
      <c r="G401" s="28">
        <v>2</v>
      </c>
      <c r="H401" s="32">
        <v>35.03</v>
      </c>
      <c r="I401" s="32">
        <v>0</v>
      </c>
      <c r="J401" t="s">
        <v>233</v>
      </c>
      <c r="K401" t="s">
        <v>245</v>
      </c>
      <c r="L401" t="s">
        <v>235</v>
      </c>
      <c r="M401" t="s">
        <v>265</v>
      </c>
      <c r="N401" t="s">
        <v>240</v>
      </c>
      <c r="O401" s="27">
        <v>46062</v>
      </c>
    </row>
    <row r="402" spans="2:15" hidden="1" x14ac:dyDescent="0.3">
      <c r="B402">
        <v>2922242</v>
      </c>
      <c r="C402" t="s">
        <v>260</v>
      </c>
      <c r="D402">
        <v>69519</v>
      </c>
      <c r="E402" t="s">
        <v>150</v>
      </c>
      <c r="F402" t="s">
        <v>272</v>
      </c>
      <c r="G402" s="28">
        <v>1000</v>
      </c>
      <c r="H402" s="32">
        <v>34.47</v>
      </c>
      <c r="I402" s="32">
        <v>6410</v>
      </c>
      <c r="J402" t="s">
        <v>239</v>
      </c>
      <c r="K402" t="s">
        <v>234</v>
      </c>
      <c r="L402" t="s">
        <v>235</v>
      </c>
      <c r="M402" t="s">
        <v>236</v>
      </c>
      <c r="N402" t="s">
        <v>237</v>
      </c>
      <c r="O402" s="27">
        <v>46062</v>
      </c>
    </row>
    <row r="403" spans="2:15" x14ac:dyDescent="0.3">
      <c r="B403">
        <v>3105908</v>
      </c>
      <c r="C403" t="s">
        <v>231</v>
      </c>
      <c r="D403">
        <v>22103</v>
      </c>
      <c r="E403" t="s">
        <v>150</v>
      </c>
      <c r="F403" t="s">
        <v>258</v>
      </c>
      <c r="G403" s="28">
        <v>451</v>
      </c>
      <c r="H403" s="32">
        <v>33.53</v>
      </c>
      <c r="I403" s="32">
        <v>4877.04</v>
      </c>
      <c r="J403" t="s">
        <v>239</v>
      </c>
      <c r="K403" t="s">
        <v>245</v>
      </c>
      <c r="L403" t="s">
        <v>235</v>
      </c>
      <c r="M403" t="s">
        <v>236</v>
      </c>
      <c r="N403" t="s">
        <v>240</v>
      </c>
      <c r="O403" s="27">
        <v>46055</v>
      </c>
    </row>
    <row r="404" spans="2:15" hidden="1" x14ac:dyDescent="0.3">
      <c r="B404">
        <v>250134</v>
      </c>
      <c r="C404" t="s">
        <v>231</v>
      </c>
      <c r="D404">
        <v>22674</v>
      </c>
      <c r="E404" t="s">
        <v>150</v>
      </c>
      <c r="F404" t="s">
        <v>298</v>
      </c>
      <c r="G404" s="28">
        <v>192</v>
      </c>
      <c r="H404" s="32">
        <v>33.43</v>
      </c>
      <c r="I404" s="32">
        <v>3343.08</v>
      </c>
      <c r="J404" t="s">
        <v>239</v>
      </c>
      <c r="K404" t="s">
        <v>245</v>
      </c>
      <c r="L404" t="s">
        <v>235</v>
      </c>
      <c r="M404" t="s">
        <v>236</v>
      </c>
      <c r="N404" t="s">
        <v>237</v>
      </c>
      <c r="O404" s="27">
        <v>46063</v>
      </c>
    </row>
    <row r="405" spans="2:15" hidden="1" x14ac:dyDescent="0.3">
      <c r="B405">
        <v>18702217</v>
      </c>
      <c r="C405" t="s">
        <v>260</v>
      </c>
      <c r="D405">
        <v>74304</v>
      </c>
      <c r="E405" t="s">
        <v>150</v>
      </c>
      <c r="F405" t="s">
        <v>276</v>
      </c>
      <c r="G405" s="28">
        <v>200</v>
      </c>
      <c r="H405" s="32">
        <v>33.43</v>
      </c>
      <c r="I405" s="32">
        <v>6318</v>
      </c>
      <c r="J405" t="s">
        <v>239</v>
      </c>
      <c r="K405" t="s">
        <v>234</v>
      </c>
      <c r="L405" t="s">
        <v>235</v>
      </c>
      <c r="M405" t="s">
        <v>236</v>
      </c>
      <c r="N405" t="s">
        <v>237</v>
      </c>
      <c r="O405" s="27">
        <v>46072</v>
      </c>
    </row>
    <row r="406" spans="2:15" hidden="1" x14ac:dyDescent="0.3">
      <c r="B406">
        <v>2922242</v>
      </c>
      <c r="C406" t="s">
        <v>260</v>
      </c>
      <c r="D406">
        <v>69519</v>
      </c>
      <c r="E406" t="s">
        <v>150</v>
      </c>
      <c r="F406" t="s">
        <v>274</v>
      </c>
      <c r="G406" s="28">
        <v>400</v>
      </c>
      <c r="H406" s="32">
        <v>33.43</v>
      </c>
      <c r="I406" s="32">
        <v>6216</v>
      </c>
      <c r="J406" t="s">
        <v>239</v>
      </c>
      <c r="K406" t="s">
        <v>234</v>
      </c>
      <c r="L406" t="s">
        <v>235</v>
      </c>
      <c r="M406" t="s">
        <v>236</v>
      </c>
      <c r="N406" t="s">
        <v>237</v>
      </c>
      <c r="O406" s="27">
        <v>46062</v>
      </c>
    </row>
    <row r="407" spans="2:15" hidden="1" x14ac:dyDescent="0.3">
      <c r="B407">
        <v>2922242</v>
      </c>
      <c r="C407" t="s">
        <v>260</v>
      </c>
      <c r="D407">
        <v>69519</v>
      </c>
      <c r="E407" t="s">
        <v>150</v>
      </c>
      <c r="F407" t="s">
        <v>289</v>
      </c>
      <c r="G407" s="28">
        <v>300</v>
      </c>
      <c r="H407" s="32">
        <v>33.31</v>
      </c>
      <c r="I407" s="32">
        <v>6195</v>
      </c>
      <c r="J407" t="s">
        <v>239</v>
      </c>
      <c r="K407" t="s">
        <v>234</v>
      </c>
      <c r="L407" t="s">
        <v>235</v>
      </c>
      <c r="M407" t="s">
        <v>236</v>
      </c>
      <c r="N407" t="s">
        <v>237</v>
      </c>
      <c r="O407" s="27">
        <v>46062</v>
      </c>
    </row>
    <row r="408" spans="2:15" hidden="1" x14ac:dyDescent="0.3">
      <c r="B408">
        <v>2922242</v>
      </c>
      <c r="C408" t="s">
        <v>260</v>
      </c>
      <c r="D408">
        <v>69519</v>
      </c>
      <c r="E408" t="s">
        <v>150</v>
      </c>
      <c r="F408" t="s">
        <v>276</v>
      </c>
      <c r="G408" s="28">
        <v>200</v>
      </c>
      <c r="H408" s="32">
        <v>33.21</v>
      </c>
      <c r="I408" s="32">
        <v>6176</v>
      </c>
      <c r="J408" t="s">
        <v>239</v>
      </c>
      <c r="K408" t="s">
        <v>234</v>
      </c>
      <c r="L408" t="s">
        <v>235</v>
      </c>
      <c r="M408" t="s">
        <v>236</v>
      </c>
      <c r="N408" t="s">
        <v>237</v>
      </c>
      <c r="O408" s="27">
        <v>46062</v>
      </c>
    </row>
    <row r="409" spans="2:15" x14ac:dyDescent="0.3">
      <c r="B409">
        <v>5658854</v>
      </c>
      <c r="C409" t="s">
        <v>231</v>
      </c>
      <c r="D409">
        <v>22103</v>
      </c>
      <c r="E409" t="s">
        <v>150</v>
      </c>
      <c r="F409" t="s">
        <v>338</v>
      </c>
      <c r="G409" s="28">
        <v>100</v>
      </c>
      <c r="H409" s="32">
        <v>33.04</v>
      </c>
      <c r="I409" s="32">
        <v>6575</v>
      </c>
      <c r="J409" t="s">
        <v>239</v>
      </c>
      <c r="K409" t="s">
        <v>234</v>
      </c>
      <c r="L409" t="s">
        <v>235</v>
      </c>
      <c r="M409" t="s">
        <v>236</v>
      </c>
      <c r="N409" t="s">
        <v>240</v>
      </c>
      <c r="O409" s="27">
        <v>46076</v>
      </c>
    </row>
    <row r="410" spans="2:15" hidden="1" x14ac:dyDescent="0.3">
      <c r="B410">
        <v>18731282</v>
      </c>
      <c r="C410" t="s">
        <v>231</v>
      </c>
      <c r="D410">
        <v>40901</v>
      </c>
      <c r="E410" t="s">
        <v>150</v>
      </c>
      <c r="F410" t="s">
        <v>277</v>
      </c>
      <c r="G410" s="28">
        <v>167</v>
      </c>
      <c r="H410" s="32">
        <v>33</v>
      </c>
      <c r="I410" s="32">
        <v>6063.55</v>
      </c>
      <c r="J410" t="s">
        <v>239</v>
      </c>
      <c r="K410" t="s">
        <v>245</v>
      </c>
      <c r="L410" t="s">
        <v>235</v>
      </c>
      <c r="M410" t="s">
        <v>236</v>
      </c>
      <c r="N410" t="s">
        <v>237</v>
      </c>
      <c r="O410" s="27">
        <v>46055</v>
      </c>
    </row>
    <row r="411" spans="2:15" hidden="1" x14ac:dyDescent="0.3">
      <c r="B411">
        <v>2229229</v>
      </c>
      <c r="C411" t="s">
        <v>260</v>
      </c>
      <c r="D411">
        <v>40901</v>
      </c>
      <c r="E411" t="s">
        <v>150</v>
      </c>
      <c r="F411" t="s">
        <v>258</v>
      </c>
      <c r="G411" s="28">
        <v>431</v>
      </c>
      <c r="H411" s="32">
        <v>32.64</v>
      </c>
      <c r="I411" s="32">
        <v>4660.76</v>
      </c>
      <c r="J411" t="s">
        <v>239</v>
      </c>
      <c r="K411" t="s">
        <v>245</v>
      </c>
      <c r="L411" t="s">
        <v>235</v>
      </c>
      <c r="M411" t="s">
        <v>236</v>
      </c>
      <c r="N411" t="s">
        <v>240</v>
      </c>
      <c r="O411" s="27">
        <v>46055</v>
      </c>
    </row>
    <row r="412" spans="2:15" hidden="1" x14ac:dyDescent="0.3">
      <c r="B412">
        <v>18872460</v>
      </c>
      <c r="C412" t="s">
        <v>231</v>
      </c>
      <c r="D412">
        <v>74304</v>
      </c>
      <c r="E412" t="s">
        <v>150</v>
      </c>
      <c r="F412" t="s">
        <v>276</v>
      </c>
      <c r="G412" s="28">
        <v>206</v>
      </c>
      <c r="H412" s="32">
        <v>32.47</v>
      </c>
      <c r="I412" s="32">
        <v>6235.82</v>
      </c>
      <c r="J412" t="s">
        <v>239</v>
      </c>
      <c r="K412" t="s">
        <v>245</v>
      </c>
      <c r="L412" t="s">
        <v>235</v>
      </c>
      <c r="M412" t="s">
        <v>236</v>
      </c>
      <c r="N412" t="s">
        <v>240</v>
      </c>
      <c r="O412" s="27">
        <v>46055</v>
      </c>
    </row>
    <row r="413" spans="2:15" hidden="1" x14ac:dyDescent="0.3">
      <c r="B413">
        <v>389066</v>
      </c>
      <c r="C413" t="s">
        <v>260</v>
      </c>
      <c r="D413">
        <v>21559</v>
      </c>
      <c r="E413" t="s">
        <v>150</v>
      </c>
      <c r="F413" t="s">
        <v>276</v>
      </c>
      <c r="G413" s="28">
        <v>200</v>
      </c>
      <c r="H413" s="32">
        <v>32.21</v>
      </c>
      <c r="I413" s="32">
        <v>6310</v>
      </c>
      <c r="J413" t="s">
        <v>239</v>
      </c>
      <c r="K413" t="s">
        <v>234</v>
      </c>
      <c r="L413" t="s">
        <v>235</v>
      </c>
      <c r="M413" t="s">
        <v>236</v>
      </c>
      <c r="N413" t="s">
        <v>237</v>
      </c>
      <c r="O413" s="27">
        <v>46072</v>
      </c>
    </row>
    <row r="414" spans="2:15" hidden="1" x14ac:dyDescent="0.3">
      <c r="B414">
        <v>2727239</v>
      </c>
      <c r="C414" t="s">
        <v>231</v>
      </c>
      <c r="D414">
        <v>21559</v>
      </c>
      <c r="E414" t="s">
        <v>150</v>
      </c>
      <c r="F414" t="s">
        <v>298</v>
      </c>
      <c r="G414" s="28">
        <v>182</v>
      </c>
      <c r="H414" s="32">
        <v>31.99</v>
      </c>
      <c r="I414" s="32">
        <v>3168.95</v>
      </c>
      <c r="J414" t="s">
        <v>239</v>
      </c>
      <c r="K414" t="s">
        <v>245</v>
      </c>
      <c r="L414" t="s">
        <v>235</v>
      </c>
      <c r="M414" t="s">
        <v>236</v>
      </c>
      <c r="N414" t="s">
        <v>237</v>
      </c>
      <c r="O414" s="27">
        <v>46063</v>
      </c>
    </row>
    <row r="415" spans="2:15" hidden="1" x14ac:dyDescent="0.3">
      <c r="B415">
        <v>15947590</v>
      </c>
      <c r="C415" t="s">
        <v>231</v>
      </c>
      <c r="D415">
        <v>69519</v>
      </c>
      <c r="E415" t="s">
        <v>150</v>
      </c>
      <c r="F415" t="s">
        <v>298</v>
      </c>
      <c r="G415" s="28">
        <v>182</v>
      </c>
      <c r="H415" s="32">
        <v>31.94</v>
      </c>
      <c r="I415" s="32">
        <v>3168.95</v>
      </c>
      <c r="J415" t="s">
        <v>239</v>
      </c>
      <c r="K415" t="s">
        <v>245</v>
      </c>
      <c r="L415" t="s">
        <v>235</v>
      </c>
      <c r="M415" t="s">
        <v>236</v>
      </c>
      <c r="N415" t="s">
        <v>237</v>
      </c>
      <c r="O415" s="27">
        <v>46063</v>
      </c>
    </row>
    <row r="416" spans="2:15" hidden="1" x14ac:dyDescent="0.3">
      <c r="B416">
        <v>2891613</v>
      </c>
      <c r="C416" t="s">
        <v>260</v>
      </c>
      <c r="D416">
        <v>22674</v>
      </c>
      <c r="E416" t="s">
        <v>150</v>
      </c>
      <c r="F416" t="s">
        <v>340</v>
      </c>
      <c r="G416" s="28">
        <v>99</v>
      </c>
      <c r="H416" s="32">
        <v>31.89</v>
      </c>
      <c r="I416" s="32">
        <v>5882.52</v>
      </c>
      <c r="J416" t="s">
        <v>330</v>
      </c>
      <c r="K416" t="s">
        <v>234</v>
      </c>
      <c r="L416" t="s">
        <v>235</v>
      </c>
      <c r="M416" t="s">
        <v>236</v>
      </c>
      <c r="N416" t="s">
        <v>237</v>
      </c>
      <c r="O416" s="27">
        <v>46064</v>
      </c>
    </row>
    <row r="417" spans="2:15" hidden="1" x14ac:dyDescent="0.3">
      <c r="B417">
        <v>9673848</v>
      </c>
      <c r="C417" t="s">
        <v>231</v>
      </c>
      <c r="D417">
        <v>22674</v>
      </c>
      <c r="E417" t="s">
        <v>150</v>
      </c>
      <c r="F417" t="s">
        <v>340</v>
      </c>
      <c r="G417" s="28">
        <v>99</v>
      </c>
      <c r="H417" s="32">
        <v>31.87</v>
      </c>
      <c r="I417" s="32">
        <v>5878.62</v>
      </c>
      <c r="J417" t="s">
        <v>330</v>
      </c>
      <c r="K417" t="s">
        <v>234</v>
      </c>
      <c r="L417" t="s">
        <v>235</v>
      </c>
      <c r="M417" t="s">
        <v>236</v>
      </c>
      <c r="N417" t="s">
        <v>237</v>
      </c>
      <c r="O417" s="27">
        <v>46064</v>
      </c>
    </row>
    <row r="418" spans="2:15" hidden="1" x14ac:dyDescent="0.3">
      <c r="B418">
        <v>575946</v>
      </c>
      <c r="C418" t="s">
        <v>231</v>
      </c>
      <c r="D418">
        <v>25619</v>
      </c>
      <c r="E418" t="s">
        <v>150</v>
      </c>
      <c r="F418" t="s">
        <v>340</v>
      </c>
      <c r="G418" s="28">
        <v>99</v>
      </c>
      <c r="H418" s="32">
        <v>31.85</v>
      </c>
      <c r="I418" s="32">
        <v>5874.66</v>
      </c>
      <c r="J418" t="s">
        <v>330</v>
      </c>
      <c r="K418" t="s">
        <v>234</v>
      </c>
      <c r="L418" t="s">
        <v>235</v>
      </c>
      <c r="M418" t="s">
        <v>236</v>
      </c>
      <c r="N418" t="s">
        <v>237</v>
      </c>
      <c r="O418" s="27">
        <v>46064</v>
      </c>
    </row>
    <row r="419" spans="2:15" hidden="1" x14ac:dyDescent="0.3">
      <c r="B419">
        <v>11824888</v>
      </c>
      <c r="C419" t="s">
        <v>231</v>
      </c>
      <c r="D419">
        <v>71881</v>
      </c>
      <c r="E419" t="s">
        <v>150</v>
      </c>
      <c r="F419" t="s">
        <v>246</v>
      </c>
      <c r="G419" s="28">
        <v>198</v>
      </c>
      <c r="H419" s="32">
        <v>31.68</v>
      </c>
      <c r="I419" s="32">
        <v>7355.57</v>
      </c>
      <c r="J419" t="s">
        <v>239</v>
      </c>
      <c r="K419" t="s">
        <v>245</v>
      </c>
      <c r="L419" t="s">
        <v>235</v>
      </c>
      <c r="M419" t="s">
        <v>236</v>
      </c>
      <c r="N419" t="s">
        <v>237</v>
      </c>
      <c r="O419" s="27">
        <v>46063</v>
      </c>
    </row>
    <row r="420" spans="2:15" x14ac:dyDescent="0.3">
      <c r="B420">
        <v>79379</v>
      </c>
      <c r="C420" t="s">
        <v>231</v>
      </c>
      <c r="D420">
        <v>22103</v>
      </c>
      <c r="E420" t="s">
        <v>150</v>
      </c>
      <c r="F420" t="s">
        <v>246</v>
      </c>
      <c r="G420" s="28">
        <v>148</v>
      </c>
      <c r="H420" s="32">
        <v>31.28</v>
      </c>
      <c r="I420" s="32">
        <v>5621.45</v>
      </c>
      <c r="J420" t="s">
        <v>239</v>
      </c>
      <c r="K420" t="s">
        <v>245</v>
      </c>
      <c r="L420" t="s">
        <v>235</v>
      </c>
      <c r="M420" t="s">
        <v>236</v>
      </c>
      <c r="N420" t="s">
        <v>237</v>
      </c>
      <c r="O420" s="27">
        <v>46072</v>
      </c>
    </row>
    <row r="421" spans="2:15" hidden="1" x14ac:dyDescent="0.3">
      <c r="B421">
        <v>3907511</v>
      </c>
      <c r="C421" t="s">
        <v>231</v>
      </c>
      <c r="D421">
        <v>23648</v>
      </c>
      <c r="E421" t="s">
        <v>150</v>
      </c>
      <c r="F421" t="s">
        <v>289</v>
      </c>
      <c r="G421" s="28">
        <v>186</v>
      </c>
      <c r="H421" s="32">
        <v>31.15</v>
      </c>
      <c r="I421" s="32">
        <v>3996.4</v>
      </c>
      <c r="J421" t="s">
        <v>239</v>
      </c>
      <c r="K421" t="s">
        <v>245</v>
      </c>
      <c r="L421" t="s">
        <v>235</v>
      </c>
      <c r="M421" t="s">
        <v>236</v>
      </c>
      <c r="N421" t="s">
        <v>237</v>
      </c>
      <c r="O421" s="27">
        <v>46055</v>
      </c>
    </row>
    <row r="422" spans="2:15" x14ac:dyDescent="0.3">
      <c r="B422">
        <v>79379</v>
      </c>
      <c r="C422" t="s">
        <v>231</v>
      </c>
      <c r="D422">
        <v>22103</v>
      </c>
      <c r="E422" t="s">
        <v>150</v>
      </c>
      <c r="F422" t="s">
        <v>298</v>
      </c>
      <c r="G422" s="28">
        <v>313</v>
      </c>
      <c r="H422" s="32">
        <v>31.04</v>
      </c>
      <c r="I422" s="32">
        <v>5578.65</v>
      </c>
      <c r="J422" t="s">
        <v>239</v>
      </c>
      <c r="K422" t="s">
        <v>245</v>
      </c>
      <c r="L422" t="s">
        <v>235</v>
      </c>
      <c r="M422" t="s">
        <v>236</v>
      </c>
      <c r="N422" t="s">
        <v>237</v>
      </c>
      <c r="O422" s="27">
        <v>46072</v>
      </c>
    </row>
    <row r="423" spans="2:15" hidden="1" x14ac:dyDescent="0.3">
      <c r="B423">
        <v>542586</v>
      </c>
      <c r="C423" t="s">
        <v>260</v>
      </c>
      <c r="D423">
        <v>21468</v>
      </c>
      <c r="E423" t="s">
        <v>150</v>
      </c>
      <c r="F423" t="s">
        <v>329</v>
      </c>
      <c r="G423" s="28">
        <v>70</v>
      </c>
      <c r="H423" s="32">
        <v>31</v>
      </c>
      <c r="I423" s="32">
        <v>6110.3</v>
      </c>
      <c r="J423" t="s">
        <v>330</v>
      </c>
      <c r="K423" t="s">
        <v>234</v>
      </c>
      <c r="L423" t="s">
        <v>235</v>
      </c>
      <c r="M423" t="s">
        <v>236</v>
      </c>
      <c r="N423" t="s">
        <v>237</v>
      </c>
      <c r="O423" s="27">
        <v>46058</v>
      </c>
    </row>
    <row r="424" spans="2:15" hidden="1" x14ac:dyDescent="0.3">
      <c r="B424">
        <v>2922242</v>
      </c>
      <c r="C424" t="s">
        <v>260</v>
      </c>
      <c r="D424">
        <v>69519</v>
      </c>
      <c r="E424" t="s">
        <v>150</v>
      </c>
      <c r="F424" t="s">
        <v>263</v>
      </c>
      <c r="G424" s="28">
        <v>400</v>
      </c>
      <c r="H424" s="32">
        <v>30.91</v>
      </c>
      <c r="I424" s="32">
        <v>5748</v>
      </c>
      <c r="J424" t="s">
        <v>239</v>
      </c>
      <c r="K424" t="s">
        <v>234</v>
      </c>
      <c r="L424" t="s">
        <v>235</v>
      </c>
      <c r="M424" t="s">
        <v>236</v>
      </c>
      <c r="N424" t="s">
        <v>237</v>
      </c>
      <c r="O424" s="27">
        <v>46062</v>
      </c>
    </row>
    <row r="425" spans="2:15" hidden="1" x14ac:dyDescent="0.3">
      <c r="B425">
        <v>325473</v>
      </c>
      <c r="C425" t="s">
        <v>231</v>
      </c>
      <c r="D425">
        <v>22674</v>
      </c>
      <c r="E425" t="s">
        <v>150</v>
      </c>
      <c r="F425" t="s">
        <v>298</v>
      </c>
      <c r="G425" s="28">
        <v>174</v>
      </c>
      <c r="H425" s="32">
        <v>30.71</v>
      </c>
      <c r="I425" s="32">
        <v>3029.76</v>
      </c>
      <c r="J425" t="s">
        <v>239</v>
      </c>
      <c r="K425" t="s">
        <v>245</v>
      </c>
      <c r="L425" t="s">
        <v>235</v>
      </c>
      <c r="M425" t="s">
        <v>236</v>
      </c>
      <c r="N425" t="s">
        <v>237</v>
      </c>
      <c r="O425" s="27">
        <v>46063</v>
      </c>
    </row>
    <row r="426" spans="2:15" x14ac:dyDescent="0.3">
      <c r="B426">
        <v>79379</v>
      </c>
      <c r="C426" t="s">
        <v>231</v>
      </c>
      <c r="D426">
        <v>22103</v>
      </c>
      <c r="E426" t="s">
        <v>150</v>
      </c>
      <c r="F426" t="s">
        <v>160</v>
      </c>
      <c r="G426" s="28">
        <v>66</v>
      </c>
      <c r="H426" s="32">
        <v>30.6</v>
      </c>
      <c r="I426" s="32">
        <v>5499.39</v>
      </c>
      <c r="J426" t="s">
        <v>239</v>
      </c>
      <c r="K426" t="s">
        <v>245</v>
      </c>
      <c r="L426" t="s">
        <v>235</v>
      </c>
      <c r="M426" t="s">
        <v>236</v>
      </c>
      <c r="N426" t="s">
        <v>237</v>
      </c>
      <c r="O426" s="27">
        <v>46072</v>
      </c>
    </row>
    <row r="427" spans="2:15" hidden="1" x14ac:dyDescent="0.3">
      <c r="B427">
        <v>307208</v>
      </c>
      <c r="C427" t="s">
        <v>231</v>
      </c>
      <c r="D427">
        <v>25619</v>
      </c>
      <c r="E427" t="s">
        <v>150</v>
      </c>
      <c r="F427" t="s">
        <v>163</v>
      </c>
      <c r="G427" s="28">
        <v>186</v>
      </c>
      <c r="H427" s="32">
        <v>30.46</v>
      </c>
      <c r="I427" s="32">
        <v>2596.73</v>
      </c>
      <c r="J427" t="s">
        <v>239</v>
      </c>
      <c r="K427" t="s">
        <v>245</v>
      </c>
      <c r="L427" t="s">
        <v>235</v>
      </c>
      <c r="M427" t="s">
        <v>236</v>
      </c>
      <c r="N427" t="s">
        <v>237</v>
      </c>
      <c r="O427" s="27">
        <v>46063</v>
      </c>
    </row>
    <row r="428" spans="2:15" hidden="1" x14ac:dyDescent="0.3">
      <c r="B428">
        <v>2013549</v>
      </c>
      <c r="C428" t="s">
        <v>231</v>
      </c>
      <c r="D428">
        <v>23648</v>
      </c>
      <c r="E428" t="s">
        <v>150</v>
      </c>
      <c r="F428" t="s">
        <v>268</v>
      </c>
      <c r="G428" s="28">
        <v>600</v>
      </c>
      <c r="H428" s="32">
        <v>30.27</v>
      </c>
      <c r="I428" s="32">
        <v>5892</v>
      </c>
      <c r="J428" t="s">
        <v>239</v>
      </c>
      <c r="K428" t="s">
        <v>234</v>
      </c>
      <c r="L428" t="s">
        <v>235</v>
      </c>
      <c r="M428" t="s">
        <v>236</v>
      </c>
      <c r="N428" t="s">
        <v>240</v>
      </c>
      <c r="O428" s="27">
        <v>46059</v>
      </c>
    </row>
    <row r="429" spans="2:15" hidden="1" x14ac:dyDescent="0.3">
      <c r="B429">
        <v>3907511</v>
      </c>
      <c r="C429" t="s">
        <v>231</v>
      </c>
      <c r="D429">
        <v>23648</v>
      </c>
      <c r="E429" t="s">
        <v>150</v>
      </c>
      <c r="F429" t="s">
        <v>258</v>
      </c>
      <c r="G429" s="28">
        <v>360</v>
      </c>
      <c r="H429" s="32">
        <v>30.27</v>
      </c>
      <c r="I429" s="32">
        <v>3892.98</v>
      </c>
      <c r="J429" t="s">
        <v>239</v>
      </c>
      <c r="K429" t="s">
        <v>245</v>
      </c>
      <c r="L429" t="s">
        <v>235</v>
      </c>
      <c r="M429" t="s">
        <v>236</v>
      </c>
      <c r="N429" t="s">
        <v>240</v>
      </c>
      <c r="O429" s="27">
        <v>46055</v>
      </c>
    </row>
    <row r="430" spans="2:15" hidden="1" x14ac:dyDescent="0.3">
      <c r="B430">
        <v>3343807</v>
      </c>
      <c r="C430" t="s">
        <v>231</v>
      </c>
      <c r="D430">
        <v>69519</v>
      </c>
      <c r="E430" t="s">
        <v>150</v>
      </c>
      <c r="F430" t="s">
        <v>306</v>
      </c>
      <c r="G430" s="28">
        <v>296</v>
      </c>
      <c r="H430" s="32">
        <v>30.08</v>
      </c>
      <c r="I430" s="32">
        <v>2647.38</v>
      </c>
      <c r="J430" t="s">
        <v>267</v>
      </c>
      <c r="K430" t="s">
        <v>245</v>
      </c>
      <c r="L430" t="s">
        <v>235</v>
      </c>
      <c r="M430" t="s">
        <v>236</v>
      </c>
      <c r="N430" t="s">
        <v>240</v>
      </c>
      <c r="O430" s="27">
        <v>46063</v>
      </c>
    </row>
    <row r="431" spans="2:15" hidden="1" x14ac:dyDescent="0.3">
      <c r="B431">
        <v>3317498</v>
      </c>
      <c r="C431" t="s">
        <v>231</v>
      </c>
      <c r="D431">
        <v>69493</v>
      </c>
      <c r="E431" t="s">
        <v>150</v>
      </c>
      <c r="F431" t="s">
        <v>298</v>
      </c>
      <c r="G431" s="28">
        <v>167</v>
      </c>
      <c r="H431" s="32">
        <v>29.72</v>
      </c>
      <c r="I431" s="32">
        <v>2907.93</v>
      </c>
      <c r="J431" t="s">
        <v>239</v>
      </c>
      <c r="K431" t="s">
        <v>245</v>
      </c>
      <c r="L431" t="s">
        <v>235</v>
      </c>
      <c r="M431" t="s">
        <v>236</v>
      </c>
      <c r="N431" t="s">
        <v>237</v>
      </c>
      <c r="O431" s="27">
        <v>46063</v>
      </c>
    </row>
    <row r="432" spans="2:15" hidden="1" x14ac:dyDescent="0.3">
      <c r="B432">
        <v>2922242</v>
      </c>
      <c r="C432" t="s">
        <v>260</v>
      </c>
      <c r="D432">
        <v>69519</v>
      </c>
      <c r="E432" t="s">
        <v>150</v>
      </c>
      <c r="F432" t="s">
        <v>271</v>
      </c>
      <c r="G432" s="28">
        <v>300</v>
      </c>
      <c r="H432" s="32">
        <v>29.56</v>
      </c>
      <c r="I432" s="32">
        <v>5496</v>
      </c>
      <c r="J432" t="s">
        <v>239</v>
      </c>
      <c r="K432" t="s">
        <v>234</v>
      </c>
      <c r="L432" t="s">
        <v>235</v>
      </c>
      <c r="M432" t="s">
        <v>236</v>
      </c>
      <c r="N432" t="s">
        <v>237</v>
      </c>
      <c r="O432" s="27">
        <v>46062</v>
      </c>
    </row>
    <row r="433" spans="2:15" hidden="1" x14ac:dyDescent="0.3">
      <c r="B433">
        <v>15974810</v>
      </c>
      <c r="C433" t="s">
        <v>231</v>
      </c>
      <c r="D433">
        <v>49894</v>
      </c>
      <c r="E433" t="s">
        <v>150</v>
      </c>
      <c r="F433" t="s">
        <v>298</v>
      </c>
      <c r="G433" s="28">
        <v>166</v>
      </c>
      <c r="H433" s="32">
        <v>29.53</v>
      </c>
      <c r="I433" s="32">
        <v>2890.22</v>
      </c>
      <c r="J433" t="s">
        <v>239</v>
      </c>
      <c r="K433" t="s">
        <v>245</v>
      </c>
      <c r="L433" t="s">
        <v>235</v>
      </c>
      <c r="M433" t="s">
        <v>236</v>
      </c>
      <c r="N433" t="s">
        <v>237</v>
      </c>
      <c r="O433" s="27">
        <v>46063</v>
      </c>
    </row>
    <row r="434" spans="2:15" x14ac:dyDescent="0.3">
      <c r="B434">
        <v>8907980</v>
      </c>
      <c r="C434" t="s">
        <v>231</v>
      </c>
      <c r="D434">
        <v>22103</v>
      </c>
      <c r="E434" t="s">
        <v>150</v>
      </c>
      <c r="F434" t="s">
        <v>407</v>
      </c>
      <c r="G434" s="28">
        <v>72</v>
      </c>
      <c r="H434" s="32">
        <v>29.42</v>
      </c>
      <c r="I434" s="32">
        <v>3708.77</v>
      </c>
      <c r="J434" t="s">
        <v>239</v>
      </c>
      <c r="K434" t="s">
        <v>245</v>
      </c>
      <c r="L434" t="s">
        <v>235</v>
      </c>
      <c r="M434" t="s">
        <v>236</v>
      </c>
      <c r="N434" t="s">
        <v>237</v>
      </c>
      <c r="O434" s="27">
        <v>46072</v>
      </c>
    </row>
    <row r="435" spans="2:15" hidden="1" x14ac:dyDescent="0.3">
      <c r="B435">
        <v>374210</v>
      </c>
      <c r="C435" t="s">
        <v>260</v>
      </c>
      <c r="D435">
        <v>24415</v>
      </c>
      <c r="E435" t="s">
        <v>150</v>
      </c>
      <c r="F435" t="s">
        <v>407</v>
      </c>
      <c r="G435" s="28">
        <v>63</v>
      </c>
      <c r="H435" s="32">
        <v>29.26</v>
      </c>
      <c r="I435" s="32">
        <v>3245.6</v>
      </c>
      <c r="J435" t="s">
        <v>239</v>
      </c>
      <c r="K435" t="s">
        <v>245</v>
      </c>
      <c r="L435" t="s">
        <v>235</v>
      </c>
      <c r="M435" t="s">
        <v>236</v>
      </c>
      <c r="N435" t="s">
        <v>237</v>
      </c>
      <c r="O435" s="27">
        <v>46072</v>
      </c>
    </row>
    <row r="436" spans="2:15" hidden="1" x14ac:dyDescent="0.3">
      <c r="B436">
        <v>4358018</v>
      </c>
      <c r="C436" t="s">
        <v>231</v>
      </c>
      <c r="D436">
        <v>23410</v>
      </c>
      <c r="E436" t="s">
        <v>150</v>
      </c>
      <c r="F436" t="s">
        <v>246</v>
      </c>
      <c r="G436" s="28">
        <v>135</v>
      </c>
      <c r="H436" s="32">
        <v>28.8</v>
      </c>
      <c r="I436" s="32">
        <v>4988.37</v>
      </c>
      <c r="J436" t="s">
        <v>239</v>
      </c>
      <c r="K436" t="s">
        <v>245</v>
      </c>
      <c r="L436" t="s">
        <v>235</v>
      </c>
      <c r="M436" t="s">
        <v>236</v>
      </c>
      <c r="N436" t="s">
        <v>237</v>
      </c>
      <c r="O436" s="27">
        <v>46055</v>
      </c>
    </row>
    <row r="437" spans="2:15" hidden="1" x14ac:dyDescent="0.3">
      <c r="B437">
        <v>2410665</v>
      </c>
      <c r="C437" t="s">
        <v>231</v>
      </c>
      <c r="D437">
        <v>21559</v>
      </c>
      <c r="E437" t="s">
        <v>150</v>
      </c>
      <c r="F437" t="s">
        <v>298</v>
      </c>
      <c r="G437" s="28">
        <v>153</v>
      </c>
      <c r="H437" s="32">
        <v>28.77</v>
      </c>
      <c r="I437" s="32">
        <v>2664.08</v>
      </c>
      <c r="J437" t="s">
        <v>239</v>
      </c>
      <c r="K437" t="s">
        <v>245</v>
      </c>
      <c r="L437" t="s">
        <v>235</v>
      </c>
      <c r="M437" t="s">
        <v>236</v>
      </c>
      <c r="N437" t="s">
        <v>237</v>
      </c>
      <c r="O437" s="27">
        <v>46063</v>
      </c>
    </row>
    <row r="438" spans="2:15" hidden="1" x14ac:dyDescent="0.3">
      <c r="B438">
        <v>2496015</v>
      </c>
      <c r="C438" t="s">
        <v>231</v>
      </c>
      <c r="D438">
        <v>38517</v>
      </c>
      <c r="E438" t="s">
        <v>150</v>
      </c>
      <c r="F438" t="s">
        <v>298</v>
      </c>
      <c r="G438" s="28">
        <v>202</v>
      </c>
      <c r="H438" s="32">
        <v>28.74</v>
      </c>
      <c r="I438" s="32">
        <v>3517.1</v>
      </c>
      <c r="J438" t="s">
        <v>239</v>
      </c>
      <c r="K438" t="s">
        <v>245</v>
      </c>
      <c r="L438" t="s">
        <v>235</v>
      </c>
      <c r="M438" t="s">
        <v>236</v>
      </c>
      <c r="N438" t="s">
        <v>237</v>
      </c>
      <c r="O438" s="27">
        <v>46063</v>
      </c>
    </row>
    <row r="439" spans="2:15" hidden="1" x14ac:dyDescent="0.3">
      <c r="B439">
        <v>6468519</v>
      </c>
      <c r="C439" t="s">
        <v>231</v>
      </c>
      <c r="D439">
        <v>72444</v>
      </c>
      <c r="E439" t="s">
        <v>150</v>
      </c>
      <c r="F439" t="s">
        <v>407</v>
      </c>
      <c r="G439" s="28">
        <v>52</v>
      </c>
      <c r="H439" s="32">
        <v>28.32</v>
      </c>
      <c r="I439" s="32">
        <v>2678.47</v>
      </c>
      <c r="J439" t="s">
        <v>239</v>
      </c>
      <c r="K439" t="s">
        <v>245</v>
      </c>
      <c r="L439" t="s">
        <v>235</v>
      </c>
      <c r="M439" t="s">
        <v>236</v>
      </c>
      <c r="N439" t="s">
        <v>237</v>
      </c>
      <c r="O439" s="27">
        <v>46072</v>
      </c>
    </row>
    <row r="440" spans="2:15" hidden="1" x14ac:dyDescent="0.3">
      <c r="B440">
        <v>272204</v>
      </c>
      <c r="C440" t="s">
        <v>231</v>
      </c>
      <c r="D440">
        <v>23648</v>
      </c>
      <c r="E440" t="s">
        <v>150</v>
      </c>
      <c r="F440" t="s">
        <v>287</v>
      </c>
      <c r="G440" s="28">
        <v>180</v>
      </c>
      <c r="H440" s="32">
        <v>28.24</v>
      </c>
      <c r="I440" s="32">
        <v>5646.14</v>
      </c>
      <c r="J440" t="s">
        <v>239</v>
      </c>
      <c r="K440" t="s">
        <v>245</v>
      </c>
      <c r="L440" t="s">
        <v>235</v>
      </c>
      <c r="M440" t="s">
        <v>236</v>
      </c>
      <c r="N440" t="s">
        <v>237</v>
      </c>
      <c r="O440" s="27">
        <v>46063</v>
      </c>
    </row>
    <row r="441" spans="2:15" hidden="1" x14ac:dyDescent="0.3">
      <c r="B441">
        <v>374210</v>
      </c>
      <c r="C441" t="s">
        <v>260</v>
      </c>
      <c r="D441">
        <v>24415</v>
      </c>
      <c r="E441" t="s">
        <v>150</v>
      </c>
      <c r="F441" t="s">
        <v>320</v>
      </c>
      <c r="G441" s="28">
        <v>74</v>
      </c>
      <c r="H441" s="32">
        <v>27.86</v>
      </c>
      <c r="I441" s="32">
        <v>3040.12</v>
      </c>
      <c r="J441" t="s">
        <v>239</v>
      </c>
      <c r="K441" t="s">
        <v>245</v>
      </c>
      <c r="L441" t="s">
        <v>235</v>
      </c>
      <c r="M441" t="s">
        <v>236</v>
      </c>
      <c r="N441" t="s">
        <v>240</v>
      </c>
      <c r="O441" s="27">
        <v>46072</v>
      </c>
    </row>
    <row r="442" spans="2:15" hidden="1" x14ac:dyDescent="0.3">
      <c r="B442">
        <v>11409889</v>
      </c>
      <c r="C442" t="s">
        <v>231</v>
      </c>
      <c r="D442">
        <v>25104</v>
      </c>
      <c r="E442" t="s">
        <v>150</v>
      </c>
      <c r="F442" t="s">
        <v>437</v>
      </c>
      <c r="G442" s="28">
        <v>1100</v>
      </c>
      <c r="H442" s="32">
        <v>27.77</v>
      </c>
      <c r="I442" s="32">
        <v>5247</v>
      </c>
      <c r="J442" t="s">
        <v>239</v>
      </c>
      <c r="K442" t="s">
        <v>234</v>
      </c>
      <c r="L442" t="s">
        <v>235</v>
      </c>
      <c r="M442" t="s">
        <v>236</v>
      </c>
      <c r="N442" t="s">
        <v>240</v>
      </c>
      <c r="O442" s="27">
        <v>46072</v>
      </c>
    </row>
    <row r="443" spans="2:15" hidden="1" x14ac:dyDescent="0.3">
      <c r="B443">
        <v>2727175</v>
      </c>
      <c r="C443" t="s">
        <v>231</v>
      </c>
      <c r="D443">
        <v>23648</v>
      </c>
      <c r="E443" t="s">
        <v>150</v>
      </c>
      <c r="F443" t="s">
        <v>349</v>
      </c>
      <c r="G443" s="28">
        <v>98</v>
      </c>
      <c r="H443" s="32">
        <v>27.75</v>
      </c>
      <c r="I443" s="32">
        <v>4922.42</v>
      </c>
      <c r="J443" t="s">
        <v>330</v>
      </c>
      <c r="K443" t="s">
        <v>234</v>
      </c>
      <c r="L443" t="s">
        <v>235</v>
      </c>
      <c r="M443" t="s">
        <v>236</v>
      </c>
      <c r="N443" t="s">
        <v>240</v>
      </c>
      <c r="O443" s="27">
        <v>46064</v>
      </c>
    </row>
    <row r="444" spans="2:15" hidden="1" x14ac:dyDescent="0.3">
      <c r="B444">
        <v>6463394</v>
      </c>
      <c r="C444" t="s">
        <v>231</v>
      </c>
      <c r="D444">
        <v>23648</v>
      </c>
      <c r="E444" t="s">
        <v>150</v>
      </c>
      <c r="F444" t="s">
        <v>349</v>
      </c>
      <c r="G444" s="28">
        <v>98</v>
      </c>
      <c r="H444" s="32">
        <v>27.73</v>
      </c>
      <c r="I444" s="32">
        <v>4917.0600000000004</v>
      </c>
      <c r="J444" t="s">
        <v>330</v>
      </c>
      <c r="K444" t="s">
        <v>234</v>
      </c>
      <c r="L444" t="s">
        <v>235</v>
      </c>
      <c r="M444" t="s">
        <v>236</v>
      </c>
      <c r="N444" t="s">
        <v>240</v>
      </c>
      <c r="O444" s="27">
        <v>46064</v>
      </c>
    </row>
    <row r="445" spans="2:15" hidden="1" x14ac:dyDescent="0.3">
      <c r="B445">
        <v>5263260</v>
      </c>
      <c r="C445" t="s">
        <v>231</v>
      </c>
      <c r="D445">
        <v>23648</v>
      </c>
      <c r="E445" t="s">
        <v>150</v>
      </c>
      <c r="F445" t="s">
        <v>349</v>
      </c>
      <c r="G445" s="28">
        <v>98</v>
      </c>
      <c r="H445" s="32">
        <v>27.72</v>
      </c>
      <c r="I445" s="32">
        <v>4918.54</v>
      </c>
      <c r="J445" t="s">
        <v>330</v>
      </c>
      <c r="K445" t="s">
        <v>234</v>
      </c>
      <c r="L445" t="s">
        <v>235</v>
      </c>
      <c r="M445" t="s">
        <v>236</v>
      </c>
      <c r="N445" t="s">
        <v>240</v>
      </c>
      <c r="O445" s="27">
        <v>46064</v>
      </c>
    </row>
    <row r="446" spans="2:15" hidden="1" x14ac:dyDescent="0.3">
      <c r="B446">
        <v>4238598</v>
      </c>
      <c r="C446" t="s">
        <v>231</v>
      </c>
      <c r="D446">
        <v>38517</v>
      </c>
      <c r="E446" t="s">
        <v>150</v>
      </c>
      <c r="F446" t="s">
        <v>246</v>
      </c>
      <c r="G446" s="28">
        <v>174</v>
      </c>
      <c r="H446" s="32">
        <v>27.7</v>
      </c>
      <c r="I446" s="32">
        <v>6463.83</v>
      </c>
      <c r="J446" t="s">
        <v>239</v>
      </c>
      <c r="K446" t="s">
        <v>245</v>
      </c>
      <c r="L446" t="s">
        <v>235</v>
      </c>
      <c r="M446" t="s">
        <v>236</v>
      </c>
      <c r="N446" t="s">
        <v>237</v>
      </c>
      <c r="O446" s="27">
        <v>46063</v>
      </c>
    </row>
    <row r="447" spans="2:15" hidden="1" x14ac:dyDescent="0.3">
      <c r="B447">
        <v>2403987</v>
      </c>
      <c r="C447" t="s">
        <v>231</v>
      </c>
      <c r="D447">
        <v>23648</v>
      </c>
      <c r="E447" t="s">
        <v>150</v>
      </c>
      <c r="F447" t="s">
        <v>349</v>
      </c>
      <c r="G447" s="28">
        <v>98</v>
      </c>
      <c r="H447" s="32">
        <v>27.69</v>
      </c>
      <c r="I447" s="32">
        <v>4912.74</v>
      </c>
      <c r="J447" t="s">
        <v>330</v>
      </c>
      <c r="K447" t="s">
        <v>234</v>
      </c>
      <c r="L447" t="s">
        <v>235</v>
      </c>
      <c r="M447" t="s">
        <v>236</v>
      </c>
      <c r="N447" t="s">
        <v>240</v>
      </c>
      <c r="O447" s="27">
        <v>46064</v>
      </c>
    </row>
    <row r="448" spans="2:15" hidden="1" x14ac:dyDescent="0.3">
      <c r="B448">
        <v>6901714</v>
      </c>
      <c r="C448" t="s">
        <v>260</v>
      </c>
      <c r="D448">
        <v>71997</v>
      </c>
      <c r="E448" t="s">
        <v>150</v>
      </c>
      <c r="F448" t="s">
        <v>298</v>
      </c>
      <c r="G448" s="28">
        <v>152</v>
      </c>
      <c r="H448" s="32">
        <v>27.41</v>
      </c>
      <c r="I448" s="32">
        <v>2646.6</v>
      </c>
      <c r="J448" t="s">
        <v>239</v>
      </c>
      <c r="K448" t="s">
        <v>245</v>
      </c>
      <c r="L448" t="s">
        <v>235</v>
      </c>
      <c r="M448" t="s">
        <v>236</v>
      </c>
      <c r="N448" t="s">
        <v>237</v>
      </c>
      <c r="O448" s="27">
        <v>46063</v>
      </c>
    </row>
    <row r="449" spans="2:15" hidden="1" x14ac:dyDescent="0.3">
      <c r="B449">
        <v>238658</v>
      </c>
      <c r="C449" t="s">
        <v>231</v>
      </c>
      <c r="D449">
        <v>21468</v>
      </c>
      <c r="E449" t="s">
        <v>150</v>
      </c>
      <c r="F449" t="s">
        <v>369</v>
      </c>
      <c r="G449" s="28">
        <v>146</v>
      </c>
      <c r="H449" s="32">
        <v>27.38</v>
      </c>
      <c r="I449" s="32">
        <v>8045.49</v>
      </c>
      <c r="J449" t="s">
        <v>239</v>
      </c>
      <c r="K449" t="s">
        <v>245</v>
      </c>
      <c r="L449" t="s">
        <v>235</v>
      </c>
      <c r="M449" t="s">
        <v>236</v>
      </c>
      <c r="N449" t="s">
        <v>240</v>
      </c>
      <c r="O449" s="27">
        <v>46063</v>
      </c>
    </row>
    <row r="450" spans="2:15" hidden="1" x14ac:dyDescent="0.3">
      <c r="B450">
        <v>3106687</v>
      </c>
      <c r="C450" t="s">
        <v>231</v>
      </c>
      <c r="D450">
        <v>22674</v>
      </c>
      <c r="E450" t="s">
        <v>150</v>
      </c>
      <c r="F450" t="s">
        <v>349</v>
      </c>
      <c r="G450" s="28">
        <v>96</v>
      </c>
      <c r="H450" s="32">
        <v>27.29</v>
      </c>
      <c r="I450" s="32">
        <v>4844.16</v>
      </c>
      <c r="J450" t="s">
        <v>330</v>
      </c>
      <c r="K450" t="s">
        <v>234</v>
      </c>
      <c r="L450" t="s">
        <v>235</v>
      </c>
      <c r="M450" t="s">
        <v>236</v>
      </c>
      <c r="N450" t="s">
        <v>240</v>
      </c>
      <c r="O450" s="27">
        <v>46064</v>
      </c>
    </row>
    <row r="451" spans="2:15" hidden="1" x14ac:dyDescent="0.3">
      <c r="B451">
        <v>18731282</v>
      </c>
      <c r="C451" t="s">
        <v>231</v>
      </c>
      <c r="D451">
        <v>40901</v>
      </c>
      <c r="E451" t="s">
        <v>150</v>
      </c>
      <c r="F451" t="s">
        <v>289</v>
      </c>
      <c r="G451" s="28">
        <v>232</v>
      </c>
      <c r="H451" s="32">
        <v>27.22</v>
      </c>
      <c r="I451" s="32">
        <v>4984.76</v>
      </c>
      <c r="J451" t="s">
        <v>239</v>
      </c>
      <c r="K451" t="s">
        <v>245</v>
      </c>
      <c r="L451" t="s">
        <v>235</v>
      </c>
      <c r="M451" t="s">
        <v>236</v>
      </c>
      <c r="N451" t="s">
        <v>237</v>
      </c>
      <c r="O451" s="27">
        <v>46055</v>
      </c>
    </row>
    <row r="452" spans="2:15" hidden="1" x14ac:dyDescent="0.3">
      <c r="B452">
        <v>5933489</v>
      </c>
      <c r="C452" t="s">
        <v>231</v>
      </c>
      <c r="D452">
        <v>23648</v>
      </c>
      <c r="E452" t="s">
        <v>150</v>
      </c>
      <c r="F452" t="s">
        <v>298</v>
      </c>
      <c r="G452" s="28">
        <v>150</v>
      </c>
      <c r="H452" s="32">
        <v>27.16</v>
      </c>
      <c r="I452" s="32">
        <v>2611.7399999999998</v>
      </c>
      <c r="J452" t="s">
        <v>239</v>
      </c>
      <c r="K452" t="s">
        <v>245</v>
      </c>
      <c r="L452" t="s">
        <v>235</v>
      </c>
      <c r="M452" t="s">
        <v>236</v>
      </c>
      <c r="N452" t="s">
        <v>237</v>
      </c>
      <c r="O452" s="27">
        <v>46063</v>
      </c>
    </row>
    <row r="453" spans="2:15" x14ac:dyDescent="0.3">
      <c r="B453">
        <v>7397602</v>
      </c>
      <c r="C453" t="s">
        <v>231</v>
      </c>
      <c r="D453">
        <v>22103</v>
      </c>
      <c r="E453" t="s">
        <v>150</v>
      </c>
      <c r="F453" t="s">
        <v>319</v>
      </c>
      <c r="G453" s="28">
        <v>173</v>
      </c>
      <c r="H453" s="32">
        <v>27.03</v>
      </c>
      <c r="I453" s="32">
        <v>6995.77</v>
      </c>
      <c r="J453" t="s">
        <v>239</v>
      </c>
      <c r="K453" t="s">
        <v>245</v>
      </c>
      <c r="L453" t="s">
        <v>235</v>
      </c>
      <c r="M453" t="s">
        <v>236</v>
      </c>
      <c r="N453" t="s">
        <v>240</v>
      </c>
      <c r="O453" s="27">
        <v>46063</v>
      </c>
    </row>
    <row r="454" spans="2:15" hidden="1" x14ac:dyDescent="0.3">
      <c r="B454">
        <v>535004</v>
      </c>
      <c r="C454" t="s">
        <v>231</v>
      </c>
      <c r="D454">
        <v>22674</v>
      </c>
      <c r="E454" t="s">
        <v>150</v>
      </c>
      <c r="F454" t="s">
        <v>258</v>
      </c>
      <c r="G454" s="28">
        <v>267</v>
      </c>
      <c r="H454" s="32">
        <v>27</v>
      </c>
      <c r="I454" s="32">
        <v>2887.29</v>
      </c>
      <c r="J454" t="s">
        <v>239</v>
      </c>
      <c r="K454" t="s">
        <v>245</v>
      </c>
      <c r="L454" t="s">
        <v>235</v>
      </c>
      <c r="M454" t="s">
        <v>236</v>
      </c>
      <c r="N454" t="s">
        <v>240</v>
      </c>
      <c r="O454" s="27">
        <v>46055</v>
      </c>
    </row>
    <row r="455" spans="2:15" hidden="1" x14ac:dyDescent="0.3">
      <c r="B455">
        <v>238658</v>
      </c>
      <c r="C455" t="s">
        <v>231</v>
      </c>
      <c r="D455">
        <v>21468</v>
      </c>
      <c r="E455" t="s">
        <v>150</v>
      </c>
      <c r="F455" t="s">
        <v>246</v>
      </c>
      <c r="G455" s="28">
        <v>153</v>
      </c>
      <c r="H455" s="32">
        <v>26.88</v>
      </c>
      <c r="I455" s="32">
        <v>5683.82</v>
      </c>
      <c r="J455" t="s">
        <v>239</v>
      </c>
      <c r="K455" t="s">
        <v>245</v>
      </c>
      <c r="L455" t="s">
        <v>235</v>
      </c>
      <c r="M455" t="s">
        <v>236</v>
      </c>
      <c r="N455" t="s">
        <v>237</v>
      </c>
      <c r="O455" s="27">
        <v>46063</v>
      </c>
    </row>
    <row r="456" spans="2:15" hidden="1" x14ac:dyDescent="0.3">
      <c r="B456">
        <v>18731282</v>
      </c>
      <c r="C456" t="s">
        <v>231</v>
      </c>
      <c r="D456">
        <v>40901</v>
      </c>
      <c r="E456" t="s">
        <v>150</v>
      </c>
      <c r="F456" t="s">
        <v>274</v>
      </c>
      <c r="G456" s="28">
        <v>336</v>
      </c>
      <c r="H456" s="32">
        <v>26.86</v>
      </c>
      <c r="I456" s="32">
        <v>4935.04</v>
      </c>
      <c r="J456" t="s">
        <v>239</v>
      </c>
      <c r="K456" t="s">
        <v>245</v>
      </c>
      <c r="L456" t="s">
        <v>235</v>
      </c>
      <c r="M456" t="s">
        <v>236</v>
      </c>
      <c r="N456" t="s">
        <v>237</v>
      </c>
      <c r="O456" s="27">
        <v>46055</v>
      </c>
    </row>
    <row r="457" spans="2:15" x14ac:dyDescent="0.3">
      <c r="B457">
        <v>4745805</v>
      </c>
      <c r="C457" t="s">
        <v>231</v>
      </c>
      <c r="D457">
        <v>22103</v>
      </c>
      <c r="E457" t="s">
        <v>150</v>
      </c>
      <c r="F457" t="s">
        <v>163</v>
      </c>
      <c r="G457" s="28">
        <v>162</v>
      </c>
      <c r="H457" s="32">
        <v>26.85</v>
      </c>
      <c r="I457" s="32">
        <v>2261.64</v>
      </c>
      <c r="J457" t="s">
        <v>239</v>
      </c>
      <c r="K457" t="s">
        <v>245</v>
      </c>
      <c r="L457" t="s">
        <v>235</v>
      </c>
      <c r="M457" t="s">
        <v>236</v>
      </c>
      <c r="N457" t="s">
        <v>237</v>
      </c>
      <c r="O457" s="27">
        <v>46063</v>
      </c>
    </row>
    <row r="458" spans="2:15" hidden="1" x14ac:dyDescent="0.3">
      <c r="B458">
        <v>590816</v>
      </c>
      <c r="C458" t="s">
        <v>231</v>
      </c>
      <c r="D458">
        <v>38517</v>
      </c>
      <c r="E458" t="s">
        <v>150</v>
      </c>
      <c r="F458" t="s">
        <v>258</v>
      </c>
      <c r="G458" s="28">
        <v>278</v>
      </c>
      <c r="H458" s="32">
        <v>26.79</v>
      </c>
      <c r="I458" s="32">
        <v>3006.24</v>
      </c>
      <c r="J458" t="s">
        <v>239</v>
      </c>
      <c r="K458" t="s">
        <v>245</v>
      </c>
      <c r="L458" t="s">
        <v>235</v>
      </c>
      <c r="M458" t="s">
        <v>236</v>
      </c>
      <c r="N458" t="s">
        <v>240</v>
      </c>
      <c r="O458" s="27">
        <v>46055</v>
      </c>
    </row>
    <row r="459" spans="2:15" x14ac:dyDescent="0.3">
      <c r="B459">
        <v>7397602</v>
      </c>
      <c r="C459" t="s">
        <v>231</v>
      </c>
      <c r="D459">
        <v>22103</v>
      </c>
      <c r="E459" t="s">
        <v>150</v>
      </c>
      <c r="F459" t="s">
        <v>369</v>
      </c>
      <c r="G459" s="28">
        <v>80</v>
      </c>
      <c r="H459" s="32">
        <v>26.69</v>
      </c>
      <c r="I459" s="32">
        <v>4134.93</v>
      </c>
      <c r="J459" t="s">
        <v>239</v>
      </c>
      <c r="K459" t="s">
        <v>245</v>
      </c>
      <c r="L459" t="s">
        <v>235</v>
      </c>
      <c r="M459" t="s">
        <v>236</v>
      </c>
      <c r="N459" t="s">
        <v>240</v>
      </c>
      <c r="O459" s="27">
        <v>46055</v>
      </c>
    </row>
    <row r="460" spans="2:15" hidden="1" x14ac:dyDescent="0.3">
      <c r="B460">
        <v>3274546</v>
      </c>
      <c r="C460" t="s">
        <v>260</v>
      </c>
      <c r="D460">
        <v>22674</v>
      </c>
      <c r="E460" t="s">
        <v>150</v>
      </c>
      <c r="F460" t="s">
        <v>298</v>
      </c>
      <c r="G460" s="28">
        <v>169</v>
      </c>
      <c r="H460" s="32">
        <v>26.64</v>
      </c>
      <c r="I460" s="32">
        <v>2942.6</v>
      </c>
      <c r="J460" t="s">
        <v>239</v>
      </c>
      <c r="K460" t="s">
        <v>245</v>
      </c>
      <c r="L460" t="s">
        <v>235</v>
      </c>
      <c r="M460" t="s">
        <v>236</v>
      </c>
      <c r="N460" t="s">
        <v>237</v>
      </c>
      <c r="O460" s="27">
        <v>46063</v>
      </c>
    </row>
    <row r="461" spans="2:15" hidden="1" x14ac:dyDescent="0.3">
      <c r="B461">
        <v>590816</v>
      </c>
      <c r="C461" t="s">
        <v>231</v>
      </c>
      <c r="D461">
        <v>38517</v>
      </c>
      <c r="E461" t="s">
        <v>150</v>
      </c>
      <c r="F461" t="s">
        <v>289</v>
      </c>
      <c r="G461" s="28">
        <v>139</v>
      </c>
      <c r="H461" s="32">
        <v>26.57</v>
      </c>
      <c r="I461" s="32">
        <v>2986.56</v>
      </c>
      <c r="J461" t="s">
        <v>239</v>
      </c>
      <c r="K461" t="s">
        <v>245</v>
      </c>
      <c r="L461" t="s">
        <v>235</v>
      </c>
      <c r="M461" t="s">
        <v>236</v>
      </c>
      <c r="N461" t="s">
        <v>237</v>
      </c>
      <c r="O461" s="27">
        <v>46055</v>
      </c>
    </row>
    <row r="462" spans="2:15" hidden="1" x14ac:dyDescent="0.3">
      <c r="B462">
        <v>2013549</v>
      </c>
      <c r="C462" t="s">
        <v>231</v>
      </c>
      <c r="D462">
        <v>23648</v>
      </c>
      <c r="E462" t="s">
        <v>150</v>
      </c>
      <c r="F462" t="s">
        <v>343</v>
      </c>
      <c r="G462" s="28">
        <v>90</v>
      </c>
      <c r="H462" s="32">
        <v>26.5</v>
      </c>
      <c r="I462" s="32">
        <v>5157.8999999999996</v>
      </c>
      <c r="J462" t="s">
        <v>330</v>
      </c>
      <c r="K462" t="s">
        <v>234</v>
      </c>
      <c r="L462" t="s">
        <v>235</v>
      </c>
      <c r="M462" t="s">
        <v>236</v>
      </c>
      <c r="N462" t="s">
        <v>240</v>
      </c>
      <c r="O462" s="27">
        <v>46059</v>
      </c>
    </row>
    <row r="463" spans="2:15" hidden="1" x14ac:dyDescent="0.3">
      <c r="B463">
        <v>2410665</v>
      </c>
      <c r="C463" t="s">
        <v>231</v>
      </c>
      <c r="D463">
        <v>21559</v>
      </c>
      <c r="E463" t="s">
        <v>150</v>
      </c>
      <c r="F463" t="s">
        <v>349</v>
      </c>
      <c r="G463" s="28">
        <v>92</v>
      </c>
      <c r="H463" s="32">
        <v>26.4</v>
      </c>
      <c r="I463" s="32">
        <v>4684.2</v>
      </c>
      <c r="J463" t="s">
        <v>330</v>
      </c>
      <c r="K463" t="s">
        <v>234</v>
      </c>
      <c r="L463" t="s">
        <v>235</v>
      </c>
      <c r="M463" t="s">
        <v>236</v>
      </c>
      <c r="N463" t="s">
        <v>240</v>
      </c>
      <c r="O463" s="27">
        <v>46065</v>
      </c>
    </row>
    <row r="464" spans="2:15" hidden="1" x14ac:dyDescent="0.3">
      <c r="B464">
        <v>15255517</v>
      </c>
      <c r="C464" t="s">
        <v>231</v>
      </c>
      <c r="D464">
        <v>23648</v>
      </c>
      <c r="E464" t="s">
        <v>150</v>
      </c>
      <c r="F464" t="s">
        <v>349</v>
      </c>
      <c r="G464" s="28">
        <v>92</v>
      </c>
      <c r="H464" s="32">
        <v>26.38</v>
      </c>
      <c r="I464" s="32">
        <v>4678.2</v>
      </c>
      <c r="J464" t="s">
        <v>330</v>
      </c>
      <c r="K464" t="s">
        <v>234</v>
      </c>
      <c r="L464" t="s">
        <v>235</v>
      </c>
      <c r="M464" t="s">
        <v>236</v>
      </c>
      <c r="N464" t="s">
        <v>240</v>
      </c>
      <c r="O464" s="27">
        <v>46064</v>
      </c>
    </row>
    <row r="465" spans="2:15" hidden="1" x14ac:dyDescent="0.3">
      <c r="B465">
        <v>4415330</v>
      </c>
      <c r="C465" t="s">
        <v>260</v>
      </c>
      <c r="D465">
        <v>22674</v>
      </c>
      <c r="E465" t="s">
        <v>150</v>
      </c>
      <c r="F465" t="s">
        <v>298</v>
      </c>
      <c r="G465" s="28">
        <v>144</v>
      </c>
      <c r="H465" s="32">
        <v>26.2</v>
      </c>
      <c r="I465" s="32">
        <v>2507.27</v>
      </c>
      <c r="J465" t="s">
        <v>239</v>
      </c>
      <c r="K465" t="s">
        <v>245</v>
      </c>
      <c r="L465" t="s">
        <v>235</v>
      </c>
      <c r="M465" t="s">
        <v>236</v>
      </c>
      <c r="N465" t="s">
        <v>237</v>
      </c>
      <c r="O465" s="27">
        <v>46063</v>
      </c>
    </row>
    <row r="466" spans="2:15" hidden="1" x14ac:dyDescent="0.3">
      <c r="B466">
        <v>18984587</v>
      </c>
      <c r="C466" t="s">
        <v>260</v>
      </c>
      <c r="D466">
        <v>21559</v>
      </c>
      <c r="E466" t="s">
        <v>150</v>
      </c>
      <c r="F466" t="s">
        <v>349</v>
      </c>
      <c r="G466" s="28">
        <v>91</v>
      </c>
      <c r="H466" s="32">
        <v>26.18</v>
      </c>
      <c r="I466" s="32">
        <v>4644.6400000000003</v>
      </c>
      <c r="J466" t="s">
        <v>330</v>
      </c>
      <c r="K466" t="s">
        <v>234</v>
      </c>
      <c r="L466" t="s">
        <v>235</v>
      </c>
      <c r="M466" t="s">
        <v>236</v>
      </c>
      <c r="N466" t="s">
        <v>240</v>
      </c>
      <c r="O466" s="27">
        <v>46065</v>
      </c>
    </row>
    <row r="467" spans="2:15" hidden="1" x14ac:dyDescent="0.3">
      <c r="B467">
        <v>535004</v>
      </c>
      <c r="C467" t="s">
        <v>231</v>
      </c>
      <c r="D467">
        <v>22674</v>
      </c>
      <c r="E467" t="s">
        <v>150</v>
      </c>
      <c r="F467" t="s">
        <v>289</v>
      </c>
      <c r="G467" s="28">
        <v>130</v>
      </c>
      <c r="H467" s="32">
        <v>26.08</v>
      </c>
      <c r="I467" s="32">
        <v>2793.18</v>
      </c>
      <c r="J467" t="s">
        <v>239</v>
      </c>
      <c r="K467" t="s">
        <v>245</v>
      </c>
      <c r="L467" t="s">
        <v>235</v>
      </c>
      <c r="M467" t="s">
        <v>236</v>
      </c>
      <c r="N467" t="s">
        <v>237</v>
      </c>
      <c r="O467" s="27">
        <v>46055</v>
      </c>
    </row>
    <row r="468" spans="2:15" hidden="1" x14ac:dyDescent="0.3">
      <c r="B468">
        <v>4078178</v>
      </c>
      <c r="C468" t="s">
        <v>231</v>
      </c>
      <c r="D468">
        <v>49894</v>
      </c>
      <c r="E468" t="s">
        <v>150</v>
      </c>
      <c r="F468" t="s">
        <v>298</v>
      </c>
      <c r="G468" s="28">
        <v>142</v>
      </c>
      <c r="H468" s="32">
        <v>26.04</v>
      </c>
      <c r="I468" s="32">
        <v>2472.41</v>
      </c>
      <c r="J468" t="s">
        <v>239</v>
      </c>
      <c r="K468" t="s">
        <v>245</v>
      </c>
      <c r="L468" t="s">
        <v>235</v>
      </c>
      <c r="M468" t="s">
        <v>236</v>
      </c>
      <c r="N468" t="s">
        <v>237</v>
      </c>
      <c r="O468" s="27">
        <v>46063</v>
      </c>
    </row>
    <row r="469" spans="2:15" hidden="1" x14ac:dyDescent="0.3">
      <c r="B469">
        <v>2727239</v>
      </c>
      <c r="C469" t="s">
        <v>231</v>
      </c>
      <c r="D469">
        <v>21559</v>
      </c>
      <c r="E469" t="s">
        <v>150</v>
      </c>
      <c r="F469" t="s">
        <v>349</v>
      </c>
      <c r="G469" s="28">
        <v>90</v>
      </c>
      <c r="H469" s="32">
        <v>25.97</v>
      </c>
      <c r="I469" s="32">
        <v>4608</v>
      </c>
      <c r="J469" t="s">
        <v>330</v>
      </c>
      <c r="K469" t="s">
        <v>234</v>
      </c>
      <c r="L469" t="s">
        <v>235</v>
      </c>
      <c r="M469" t="s">
        <v>236</v>
      </c>
      <c r="N469" t="s">
        <v>240</v>
      </c>
      <c r="O469" s="27">
        <v>46065</v>
      </c>
    </row>
    <row r="470" spans="2:15" hidden="1" x14ac:dyDescent="0.3">
      <c r="B470">
        <v>8230892</v>
      </c>
      <c r="C470" t="s">
        <v>231</v>
      </c>
      <c r="D470">
        <v>69519</v>
      </c>
      <c r="E470" t="s">
        <v>150</v>
      </c>
      <c r="F470" t="s">
        <v>298</v>
      </c>
      <c r="G470" s="28">
        <v>142</v>
      </c>
      <c r="H470" s="32">
        <v>25.95</v>
      </c>
      <c r="I470" s="32">
        <v>2472.41</v>
      </c>
      <c r="J470" t="s">
        <v>239</v>
      </c>
      <c r="K470" t="s">
        <v>245</v>
      </c>
      <c r="L470" t="s">
        <v>235</v>
      </c>
      <c r="M470" t="s">
        <v>236</v>
      </c>
      <c r="N470" t="s">
        <v>237</v>
      </c>
      <c r="O470" s="27">
        <v>46063</v>
      </c>
    </row>
    <row r="471" spans="2:15" hidden="1" x14ac:dyDescent="0.3">
      <c r="B471">
        <v>4051319</v>
      </c>
      <c r="C471" t="s">
        <v>231</v>
      </c>
      <c r="D471">
        <v>22674</v>
      </c>
      <c r="E471" t="s">
        <v>150</v>
      </c>
      <c r="F471" t="s">
        <v>349</v>
      </c>
      <c r="G471" s="28">
        <v>95</v>
      </c>
      <c r="H471" s="32">
        <v>25.94</v>
      </c>
      <c r="I471" s="32">
        <v>4778.5</v>
      </c>
      <c r="J471" t="s">
        <v>330</v>
      </c>
      <c r="K471" t="s">
        <v>234</v>
      </c>
      <c r="L471" t="s">
        <v>235</v>
      </c>
      <c r="M471" t="s">
        <v>236</v>
      </c>
      <c r="N471" t="s">
        <v>240</v>
      </c>
      <c r="O471" s="27">
        <v>46065</v>
      </c>
    </row>
    <row r="472" spans="2:15" hidden="1" x14ac:dyDescent="0.3">
      <c r="B472">
        <v>18702217</v>
      </c>
      <c r="C472" t="s">
        <v>260</v>
      </c>
      <c r="D472">
        <v>74304</v>
      </c>
      <c r="E472" t="s">
        <v>150</v>
      </c>
      <c r="F472" t="s">
        <v>164</v>
      </c>
      <c r="G472" s="28">
        <v>100</v>
      </c>
      <c r="H472" s="32">
        <v>25.89</v>
      </c>
      <c r="I472" s="32">
        <v>4894</v>
      </c>
      <c r="J472" t="s">
        <v>239</v>
      </c>
      <c r="K472" t="s">
        <v>234</v>
      </c>
      <c r="L472" t="s">
        <v>235</v>
      </c>
      <c r="M472" t="s">
        <v>236</v>
      </c>
      <c r="N472" t="s">
        <v>237</v>
      </c>
      <c r="O472" s="27">
        <v>46072</v>
      </c>
    </row>
    <row r="473" spans="2:15" x14ac:dyDescent="0.3">
      <c r="B473">
        <v>7397602</v>
      </c>
      <c r="C473" t="s">
        <v>231</v>
      </c>
      <c r="D473">
        <v>22103</v>
      </c>
      <c r="E473" t="s">
        <v>150</v>
      </c>
      <c r="F473" t="s">
        <v>337</v>
      </c>
      <c r="G473" s="28">
        <v>166</v>
      </c>
      <c r="H473" s="32">
        <v>25.86</v>
      </c>
      <c r="I473" s="32">
        <v>6029.94</v>
      </c>
      <c r="J473" t="s">
        <v>239</v>
      </c>
      <c r="K473" t="s">
        <v>245</v>
      </c>
      <c r="L473" t="s">
        <v>235</v>
      </c>
      <c r="M473" t="s">
        <v>236</v>
      </c>
      <c r="N473" t="s">
        <v>237</v>
      </c>
      <c r="O473" s="27">
        <v>46063</v>
      </c>
    </row>
    <row r="474" spans="2:15" hidden="1" x14ac:dyDescent="0.3">
      <c r="B474">
        <v>2735150</v>
      </c>
      <c r="C474" t="s">
        <v>231</v>
      </c>
      <c r="D474">
        <v>49894</v>
      </c>
      <c r="E474" t="s">
        <v>150</v>
      </c>
      <c r="F474" t="s">
        <v>369</v>
      </c>
      <c r="G474" s="28">
        <v>136</v>
      </c>
      <c r="H474" s="32">
        <v>25.78</v>
      </c>
      <c r="I474" s="32">
        <v>7494.2</v>
      </c>
      <c r="J474" t="s">
        <v>239</v>
      </c>
      <c r="K474" t="s">
        <v>245</v>
      </c>
      <c r="L474" t="s">
        <v>235</v>
      </c>
      <c r="M474" t="s">
        <v>236</v>
      </c>
      <c r="N474" t="s">
        <v>240</v>
      </c>
      <c r="O474" s="27">
        <v>46063</v>
      </c>
    </row>
    <row r="475" spans="2:15" hidden="1" x14ac:dyDescent="0.3">
      <c r="B475">
        <v>74468</v>
      </c>
      <c r="C475" t="s">
        <v>260</v>
      </c>
      <c r="D475">
        <v>69519</v>
      </c>
      <c r="E475" t="s">
        <v>150</v>
      </c>
      <c r="F475" t="s">
        <v>402</v>
      </c>
      <c r="G475" s="28">
        <v>306</v>
      </c>
      <c r="H475" s="32">
        <v>25.59</v>
      </c>
      <c r="I475" s="32">
        <v>2835.33</v>
      </c>
      <c r="J475" t="s">
        <v>267</v>
      </c>
      <c r="K475" t="s">
        <v>245</v>
      </c>
      <c r="L475" t="s">
        <v>235</v>
      </c>
      <c r="M475" t="s">
        <v>236</v>
      </c>
      <c r="N475" t="s">
        <v>237</v>
      </c>
      <c r="O475" s="27">
        <v>46063</v>
      </c>
    </row>
    <row r="476" spans="2:15" hidden="1" x14ac:dyDescent="0.3">
      <c r="B476">
        <v>2922242</v>
      </c>
      <c r="C476" t="s">
        <v>260</v>
      </c>
      <c r="D476">
        <v>69519</v>
      </c>
      <c r="E476" t="s">
        <v>150</v>
      </c>
      <c r="F476" t="s">
        <v>164</v>
      </c>
      <c r="G476" s="28">
        <v>100</v>
      </c>
      <c r="H476" s="32">
        <v>25.59</v>
      </c>
      <c r="I476" s="32">
        <v>4759</v>
      </c>
      <c r="J476" t="s">
        <v>239</v>
      </c>
      <c r="K476" t="s">
        <v>234</v>
      </c>
      <c r="L476" t="s">
        <v>235</v>
      </c>
      <c r="M476" t="s">
        <v>236</v>
      </c>
      <c r="N476" t="s">
        <v>237</v>
      </c>
      <c r="O476" s="27">
        <v>46062</v>
      </c>
    </row>
    <row r="477" spans="2:15" hidden="1" x14ac:dyDescent="0.3">
      <c r="B477">
        <v>15112761</v>
      </c>
      <c r="C477" t="s">
        <v>231</v>
      </c>
      <c r="D477">
        <v>25619</v>
      </c>
      <c r="E477" t="s">
        <v>150</v>
      </c>
      <c r="F477" t="s">
        <v>258</v>
      </c>
      <c r="G477" s="28">
        <v>250</v>
      </c>
      <c r="H477" s="32">
        <v>25.57</v>
      </c>
      <c r="I477" s="32">
        <v>2703.45</v>
      </c>
      <c r="J477" t="s">
        <v>239</v>
      </c>
      <c r="K477" t="s">
        <v>245</v>
      </c>
      <c r="L477" t="s">
        <v>235</v>
      </c>
      <c r="M477" t="s">
        <v>236</v>
      </c>
      <c r="N477" t="s">
        <v>240</v>
      </c>
      <c r="O477" s="27">
        <v>46055</v>
      </c>
    </row>
    <row r="478" spans="2:15" hidden="1" x14ac:dyDescent="0.3">
      <c r="B478">
        <v>5377617</v>
      </c>
      <c r="C478" t="s">
        <v>231</v>
      </c>
      <c r="D478">
        <v>21559</v>
      </c>
      <c r="E478" t="s">
        <v>150</v>
      </c>
      <c r="F478" t="s">
        <v>349</v>
      </c>
      <c r="G478" s="28">
        <v>88</v>
      </c>
      <c r="H478" s="32">
        <v>25.52</v>
      </c>
      <c r="I478" s="32">
        <v>4528.7</v>
      </c>
      <c r="J478" t="s">
        <v>330</v>
      </c>
      <c r="K478" t="s">
        <v>234</v>
      </c>
      <c r="L478" t="s">
        <v>235</v>
      </c>
      <c r="M478" t="s">
        <v>236</v>
      </c>
      <c r="N478" t="s">
        <v>240</v>
      </c>
      <c r="O478" s="27">
        <v>46065</v>
      </c>
    </row>
    <row r="479" spans="2:15" hidden="1" x14ac:dyDescent="0.3">
      <c r="B479">
        <v>8218280</v>
      </c>
      <c r="C479" t="s">
        <v>260</v>
      </c>
      <c r="D479">
        <v>21559</v>
      </c>
      <c r="E479" t="s">
        <v>150</v>
      </c>
      <c r="F479" t="s">
        <v>349</v>
      </c>
      <c r="G479" s="28">
        <v>88</v>
      </c>
      <c r="H479" s="32">
        <v>25.49</v>
      </c>
      <c r="I479" s="32">
        <v>4523.2</v>
      </c>
      <c r="J479" t="s">
        <v>330</v>
      </c>
      <c r="K479" t="s">
        <v>234</v>
      </c>
      <c r="L479" t="s">
        <v>235</v>
      </c>
      <c r="M479" t="s">
        <v>236</v>
      </c>
      <c r="N479" t="s">
        <v>240</v>
      </c>
      <c r="O479" s="27">
        <v>46065</v>
      </c>
    </row>
    <row r="480" spans="2:15" hidden="1" x14ac:dyDescent="0.3">
      <c r="B480">
        <v>15084287</v>
      </c>
      <c r="C480" t="s">
        <v>231</v>
      </c>
      <c r="D480">
        <v>40901</v>
      </c>
      <c r="E480" t="s">
        <v>150</v>
      </c>
      <c r="F480" t="s">
        <v>272</v>
      </c>
      <c r="G480" s="28">
        <v>694</v>
      </c>
      <c r="H480" s="32">
        <v>25.43</v>
      </c>
      <c r="I480" s="32">
        <v>4568.82</v>
      </c>
      <c r="J480" t="s">
        <v>239</v>
      </c>
      <c r="K480" t="s">
        <v>245</v>
      </c>
      <c r="L480" t="s">
        <v>235</v>
      </c>
      <c r="M480" t="s">
        <v>236</v>
      </c>
      <c r="N480" t="s">
        <v>237</v>
      </c>
      <c r="O480" s="27">
        <v>46076</v>
      </c>
    </row>
    <row r="481" spans="2:15" hidden="1" x14ac:dyDescent="0.3">
      <c r="B481">
        <v>2735150</v>
      </c>
      <c r="C481" t="s">
        <v>231</v>
      </c>
      <c r="D481">
        <v>49894</v>
      </c>
      <c r="E481" t="s">
        <v>150</v>
      </c>
      <c r="F481" t="s">
        <v>246</v>
      </c>
      <c r="G481" s="28">
        <v>143</v>
      </c>
      <c r="H481" s="32">
        <v>25.31</v>
      </c>
      <c r="I481" s="32">
        <v>5312.14</v>
      </c>
      <c r="J481" t="s">
        <v>239</v>
      </c>
      <c r="K481" t="s">
        <v>245</v>
      </c>
      <c r="L481" t="s">
        <v>235</v>
      </c>
      <c r="M481" t="s">
        <v>236</v>
      </c>
      <c r="N481" t="s">
        <v>237</v>
      </c>
      <c r="O481" s="27">
        <v>46063</v>
      </c>
    </row>
    <row r="482" spans="2:15" hidden="1" x14ac:dyDescent="0.3">
      <c r="B482">
        <v>3478209</v>
      </c>
      <c r="C482" t="s">
        <v>231</v>
      </c>
      <c r="D482">
        <v>21559</v>
      </c>
      <c r="E482" t="s">
        <v>150</v>
      </c>
      <c r="F482" t="s">
        <v>164</v>
      </c>
      <c r="G482" s="28">
        <v>154</v>
      </c>
      <c r="H482" s="32">
        <v>25.27</v>
      </c>
      <c r="I482" s="32">
        <v>7485.95</v>
      </c>
      <c r="J482" t="s">
        <v>239</v>
      </c>
      <c r="K482" t="s">
        <v>245</v>
      </c>
      <c r="L482" t="s">
        <v>235</v>
      </c>
      <c r="M482" t="s">
        <v>236</v>
      </c>
      <c r="N482" t="s">
        <v>240</v>
      </c>
      <c r="O482" s="27">
        <v>46063</v>
      </c>
    </row>
    <row r="483" spans="2:15" hidden="1" x14ac:dyDescent="0.3">
      <c r="B483">
        <v>11010432</v>
      </c>
      <c r="C483" t="s">
        <v>231</v>
      </c>
      <c r="D483">
        <v>25619</v>
      </c>
      <c r="E483" t="s">
        <v>150</v>
      </c>
      <c r="F483" t="s">
        <v>349</v>
      </c>
      <c r="G483" s="28">
        <v>90</v>
      </c>
      <c r="H483" s="32">
        <v>25.26</v>
      </c>
      <c r="I483" s="32">
        <v>4586.3999999999996</v>
      </c>
      <c r="J483" t="s">
        <v>330</v>
      </c>
      <c r="K483" t="s">
        <v>234</v>
      </c>
      <c r="L483" t="s">
        <v>235</v>
      </c>
      <c r="M483" t="s">
        <v>236</v>
      </c>
      <c r="N483" t="s">
        <v>240</v>
      </c>
      <c r="O483" s="27">
        <v>46064</v>
      </c>
    </row>
    <row r="484" spans="2:15" hidden="1" x14ac:dyDescent="0.3">
      <c r="B484">
        <v>15084287</v>
      </c>
      <c r="C484" t="s">
        <v>231</v>
      </c>
      <c r="D484">
        <v>40901</v>
      </c>
      <c r="E484" t="s">
        <v>150</v>
      </c>
      <c r="F484" t="s">
        <v>246</v>
      </c>
      <c r="G484" s="28">
        <v>117</v>
      </c>
      <c r="H484" s="32">
        <v>25.22</v>
      </c>
      <c r="I484" s="32">
        <v>4529.93</v>
      </c>
      <c r="J484" t="s">
        <v>239</v>
      </c>
      <c r="K484" t="s">
        <v>245</v>
      </c>
      <c r="L484" t="s">
        <v>235</v>
      </c>
      <c r="M484" t="s">
        <v>236</v>
      </c>
      <c r="N484" t="s">
        <v>237</v>
      </c>
      <c r="O484" s="27">
        <v>46076</v>
      </c>
    </row>
    <row r="485" spans="2:15" hidden="1" x14ac:dyDescent="0.3">
      <c r="B485">
        <v>12025620</v>
      </c>
      <c r="C485" t="s">
        <v>231</v>
      </c>
      <c r="D485">
        <v>38517</v>
      </c>
      <c r="E485" t="s">
        <v>150</v>
      </c>
      <c r="F485" t="s">
        <v>298</v>
      </c>
      <c r="G485" s="28">
        <v>137</v>
      </c>
      <c r="H485" s="32">
        <v>25.2</v>
      </c>
      <c r="I485" s="32">
        <v>2385.5500000000002</v>
      </c>
      <c r="J485" t="s">
        <v>239</v>
      </c>
      <c r="K485" t="s">
        <v>245</v>
      </c>
      <c r="L485" t="s">
        <v>235</v>
      </c>
      <c r="M485" t="s">
        <v>236</v>
      </c>
      <c r="N485" t="s">
        <v>237</v>
      </c>
      <c r="O485" s="27">
        <v>46063</v>
      </c>
    </row>
    <row r="486" spans="2:15" x14ac:dyDescent="0.3">
      <c r="B486">
        <v>7397602</v>
      </c>
      <c r="C486" t="s">
        <v>231</v>
      </c>
      <c r="D486">
        <v>22103</v>
      </c>
      <c r="E486" t="s">
        <v>150</v>
      </c>
      <c r="F486" t="s">
        <v>318</v>
      </c>
      <c r="G486" s="28">
        <v>31</v>
      </c>
      <c r="H486" s="32">
        <v>25.2</v>
      </c>
      <c r="I486" s="32">
        <v>4763.5600000000004</v>
      </c>
      <c r="J486" t="s">
        <v>239</v>
      </c>
      <c r="K486" t="s">
        <v>245</v>
      </c>
      <c r="L486" t="s">
        <v>235</v>
      </c>
      <c r="M486" t="s">
        <v>236</v>
      </c>
      <c r="N486" t="s">
        <v>237</v>
      </c>
      <c r="O486" s="27">
        <v>46072</v>
      </c>
    </row>
    <row r="487" spans="2:15" hidden="1" x14ac:dyDescent="0.3">
      <c r="B487">
        <v>15112761</v>
      </c>
      <c r="C487" t="s">
        <v>231</v>
      </c>
      <c r="D487">
        <v>25619</v>
      </c>
      <c r="E487" t="s">
        <v>150</v>
      </c>
      <c r="F487" t="s">
        <v>289</v>
      </c>
      <c r="G487" s="28">
        <v>124</v>
      </c>
      <c r="H487" s="32">
        <v>25.18</v>
      </c>
      <c r="I487" s="32">
        <v>2664.27</v>
      </c>
      <c r="J487" t="s">
        <v>239</v>
      </c>
      <c r="K487" t="s">
        <v>245</v>
      </c>
      <c r="L487" t="s">
        <v>235</v>
      </c>
      <c r="M487" t="s">
        <v>236</v>
      </c>
      <c r="N487" t="s">
        <v>237</v>
      </c>
      <c r="O487" s="27">
        <v>46055</v>
      </c>
    </row>
    <row r="488" spans="2:15" hidden="1" x14ac:dyDescent="0.3">
      <c r="B488">
        <v>4382412</v>
      </c>
      <c r="C488" t="s">
        <v>231</v>
      </c>
      <c r="D488">
        <v>49894</v>
      </c>
      <c r="E488" t="s">
        <v>150</v>
      </c>
      <c r="F488" t="s">
        <v>164</v>
      </c>
      <c r="G488" s="28">
        <v>100</v>
      </c>
      <c r="H488" s="32">
        <v>25.18</v>
      </c>
      <c r="I488" s="32">
        <v>4732</v>
      </c>
      <c r="J488" t="s">
        <v>239</v>
      </c>
      <c r="K488" t="s">
        <v>234</v>
      </c>
      <c r="L488" t="s">
        <v>235</v>
      </c>
      <c r="M488" t="s">
        <v>236</v>
      </c>
      <c r="N488" t="s">
        <v>240</v>
      </c>
      <c r="O488" s="27">
        <v>46076</v>
      </c>
    </row>
    <row r="489" spans="2:15" hidden="1" x14ac:dyDescent="0.3">
      <c r="B489">
        <v>2579681</v>
      </c>
      <c r="C489" t="s">
        <v>231</v>
      </c>
      <c r="D489">
        <v>25619</v>
      </c>
      <c r="E489" t="s">
        <v>150</v>
      </c>
      <c r="F489" t="s">
        <v>369</v>
      </c>
      <c r="G489" s="28">
        <v>131</v>
      </c>
      <c r="H489" s="32">
        <v>25.16</v>
      </c>
      <c r="I489" s="32">
        <v>7218.97</v>
      </c>
      <c r="J489" t="s">
        <v>239</v>
      </c>
      <c r="K489" t="s">
        <v>245</v>
      </c>
      <c r="L489" t="s">
        <v>235</v>
      </c>
      <c r="M489" t="s">
        <v>236</v>
      </c>
      <c r="N489" t="s">
        <v>240</v>
      </c>
      <c r="O489" s="27">
        <v>46063</v>
      </c>
    </row>
    <row r="490" spans="2:15" hidden="1" x14ac:dyDescent="0.3">
      <c r="B490">
        <v>2278263</v>
      </c>
      <c r="C490" t="s">
        <v>231</v>
      </c>
      <c r="D490">
        <v>22674</v>
      </c>
      <c r="E490" t="s">
        <v>150</v>
      </c>
      <c r="F490" t="s">
        <v>369</v>
      </c>
      <c r="G490" s="28">
        <v>130</v>
      </c>
      <c r="H490" s="32">
        <v>25.02</v>
      </c>
      <c r="I490" s="32">
        <v>7163.87</v>
      </c>
      <c r="J490" t="s">
        <v>239</v>
      </c>
      <c r="K490" t="s">
        <v>245</v>
      </c>
      <c r="L490" t="s">
        <v>235</v>
      </c>
      <c r="M490" t="s">
        <v>236</v>
      </c>
      <c r="N490" t="s">
        <v>240</v>
      </c>
      <c r="O490" s="27">
        <v>46063</v>
      </c>
    </row>
    <row r="491" spans="2:15" hidden="1" x14ac:dyDescent="0.3">
      <c r="B491">
        <v>2013549</v>
      </c>
      <c r="C491" t="s">
        <v>231</v>
      </c>
      <c r="D491">
        <v>23648</v>
      </c>
      <c r="E491" t="s">
        <v>150</v>
      </c>
      <c r="F491" t="s">
        <v>329</v>
      </c>
      <c r="G491" s="28">
        <v>57</v>
      </c>
      <c r="H491" s="32">
        <v>25.01</v>
      </c>
      <c r="I491" s="32">
        <v>4868.5</v>
      </c>
      <c r="J491" t="s">
        <v>330</v>
      </c>
      <c r="K491" t="s">
        <v>234</v>
      </c>
      <c r="L491" t="s">
        <v>235</v>
      </c>
      <c r="M491" t="s">
        <v>236</v>
      </c>
      <c r="N491" t="s">
        <v>237</v>
      </c>
      <c r="O491" s="27">
        <v>46059</v>
      </c>
    </row>
    <row r="492" spans="2:15" hidden="1" x14ac:dyDescent="0.3">
      <c r="B492">
        <v>2033851</v>
      </c>
      <c r="C492" t="s">
        <v>231</v>
      </c>
      <c r="D492">
        <v>24415</v>
      </c>
      <c r="E492" t="s">
        <v>150</v>
      </c>
      <c r="F492" t="s">
        <v>309</v>
      </c>
      <c r="G492" s="28">
        <v>158</v>
      </c>
      <c r="H492" s="32">
        <v>24.97</v>
      </c>
      <c r="I492" s="32">
        <v>4216.1400000000003</v>
      </c>
      <c r="J492" t="s">
        <v>239</v>
      </c>
      <c r="K492" t="s">
        <v>245</v>
      </c>
      <c r="L492" t="s">
        <v>235</v>
      </c>
      <c r="M492" t="s">
        <v>236</v>
      </c>
      <c r="N492" t="s">
        <v>240</v>
      </c>
      <c r="O492" s="27">
        <v>46072</v>
      </c>
    </row>
    <row r="493" spans="2:15" hidden="1" x14ac:dyDescent="0.3">
      <c r="B493">
        <v>15084287</v>
      </c>
      <c r="C493" t="s">
        <v>231</v>
      </c>
      <c r="D493">
        <v>40901</v>
      </c>
      <c r="E493" t="s">
        <v>150</v>
      </c>
      <c r="F493" t="s">
        <v>276</v>
      </c>
      <c r="G493" s="28">
        <v>142</v>
      </c>
      <c r="H493" s="32">
        <v>24.93</v>
      </c>
      <c r="I493" s="32">
        <v>4479</v>
      </c>
      <c r="J493" t="s">
        <v>239</v>
      </c>
      <c r="K493" t="s">
        <v>245</v>
      </c>
      <c r="L493" t="s">
        <v>235</v>
      </c>
      <c r="M493" t="s">
        <v>236</v>
      </c>
      <c r="N493" t="s">
        <v>237</v>
      </c>
      <c r="O493" s="27">
        <v>46076</v>
      </c>
    </row>
    <row r="494" spans="2:15" hidden="1" x14ac:dyDescent="0.3">
      <c r="B494">
        <v>15084287</v>
      </c>
      <c r="C494" t="s">
        <v>231</v>
      </c>
      <c r="D494">
        <v>40901</v>
      </c>
      <c r="E494" t="s">
        <v>150</v>
      </c>
      <c r="F494" t="s">
        <v>274</v>
      </c>
      <c r="G494" s="28">
        <v>270</v>
      </c>
      <c r="H494" s="32">
        <v>24.91</v>
      </c>
      <c r="I494" s="32">
        <v>4475.78</v>
      </c>
      <c r="J494" t="s">
        <v>239</v>
      </c>
      <c r="K494" t="s">
        <v>245</v>
      </c>
      <c r="L494" t="s">
        <v>235</v>
      </c>
      <c r="M494" t="s">
        <v>236</v>
      </c>
      <c r="N494" t="s">
        <v>237</v>
      </c>
      <c r="O494" s="27">
        <v>46076</v>
      </c>
    </row>
    <row r="495" spans="2:15" hidden="1" x14ac:dyDescent="0.3">
      <c r="B495">
        <v>2579681</v>
      </c>
      <c r="C495" t="s">
        <v>231</v>
      </c>
      <c r="D495">
        <v>25619</v>
      </c>
      <c r="E495" t="s">
        <v>150</v>
      </c>
      <c r="F495" t="s">
        <v>246</v>
      </c>
      <c r="G495" s="28">
        <v>139</v>
      </c>
      <c r="H495" s="32">
        <v>24.87</v>
      </c>
      <c r="I495" s="32">
        <v>5163.55</v>
      </c>
      <c r="J495" t="s">
        <v>239</v>
      </c>
      <c r="K495" t="s">
        <v>245</v>
      </c>
      <c r="L495" t="s">
        <v>235</v>
      </c>
      <c r="M495" t="s">
        <v>236</v>
      </c>
      <c r="N495" t="s">
        <v>237</v>
      </c>
      <c r="O495" s="27">
        <v>46063</v>
      </c>
    </row>
    <row r="496" spans="2:15" hidden="1" x14ac:dyDescent="0.3">
      <c r="B496">
        <v>15084287</v>
      </c>
      <c r="C496" t="s">
        <v>231</v>
      </c>
      <c r="D496">
        <v>40901</v>
      </c>
      <c r="E496" t="s">
        <v>150</v>
      </c>
      <c r="F496" t="s">
        <v>263</v>
      </c>
      <c r="G496" s="28">
        <v>303</v>
      </c>
      <c r="H496" s="32">
        <v>24.82</v>
      </c>
      <c r="I496" s="32">
        <v>4459.47</v>
      </c>
      <c r="J496" t="s">
        <v>239</v>
      </c>
      <c r="K496" t="s">
        <v>245</v>
      </c>
      <c r="L496" t="s">
        <v>235</v>
      </c>
      <c r="M496" t="s">
        <v>236</v>
      </c>
      <c r="N496" t="s">
        <v>237</v>
      </c>
      <c r="O496" s="27">
        <v>46076</v>
      </c>
    </row>
    <row r="497" spans="2:15" hidden="1" x14ac:dyDescent="0.3">
      <c r="B497">
        <v>15084287</v>
      </c>
      <c r="C497" t="s">
        <v>231</v>
      </c>
      <c r="D497">
        <v>40901</v>
      </c>
      <c r="E497" t="s">
        <v>150</v>
      </c>
      <c r="F497" t="s">
        <v>160</v>
      </c>
      <c r="G497" s="28">
        <v>51</v>
      </c>
      <c r="H497" s="32">
        <v>24.82</v>
      </c>
      <c r="I497" s="32">
        <v>4458.6000000000004</v>
      </c>
      <c r="J497" t="s">
        <v>239</v>
      </c>
      <c r="K497" t="s">
        <v>245</v>
      </c>
      <c r="L497" t="s">
        <v>235</v>
      </c>
      <c r="M497" t="s">
        <v>236</v>
      </c>
      <c r="N497" t="s">
        <v>237</v>
      </c>
      <c r="O497" s="27">
        <v>46076</v>
      </c>
    </row>
    <row r="498" spans="2:15" hidden="1" x14ac:dyDescent="0.3">
      <c r="B498">
        <v>389066</v>
      </c>
      <c r="C498" t="s">
        <v>260</v>
      </c>
      <c r="D498">
        <v>21559</v>
      </c>
      <c r="E498" t="s">
        <v>150</v>
      </c>
      <c r="F498" t="s">
        <v>164</v>
      </c>
      <c r="G498" s="28">
        <v>100</v>
      </c>
      <c r="H498" s="32">
        <v>24.82</v>
      </c>
      <c r="I498" s="32">
        <v>4862</v>
      </c>
      <c r="J498" t="s">
        <v>239</v>
      </c>
      <c r="K498" t="s">
        <v>234</v>
      </c>
      <c r="L498" t="s">
        <v>235</v>
      </c>
      <c r="M498" t="s">
        <v>236</v>
      </c>
      <c r="N498" t="s">
        <v>237</v>
      </c>
      <c r="O498" s="27">
        <v>46072</v>
      </c>
    </row>
    <row r="499" spans="2:15" hidden="1" x14ac:dyDescent="0.3">
      <c r="B499">
        <v>293951</v>
      </c>
      <c r="C499" t="s">
        <v>231</v>
      </c>
      <c r="D499">
        <v>25619</v>
      </c>
      <c r="E499" t="s">
        <v>150</v>
      </c>
      <c r="F499" t="s">
        <v>349</v>
      </c>
      <c r="G499" s="28">
        <v>90</v>
      </c>
      <c r="H499" s="32">
        <v>24.81</v>
      </c>
      <c r="I499" s="32">
        <v>4574.7</v>
      </c>
      <c r="J499" t="s">
        <v>330</v>
      </c>
      <c r="K499" t="s">
        <v>234</v>
      </c>
      <c r="L499" t="s">
        <v>235</v>
      </c>
      <c r="M499" t="s">
        <v>236</v>
      </c>
      <c r="N499" t="s">
        <v>240</v>
      </c>
      <c r="O499" s="27">
        <v>46064</v>
      </c>
    </row>
    <row r="500" spans="2:15" hidden="1" x14ac:dyDescent="0.3">
      <c r="B500">
        <v>2251063</v>
      </c>
      <c r="C500" t="s">
        <v>231</v>
      </c>
      <c r="D500">
        <v>25619</v>
      </c>
      <c r="E500" t="s">
        <v>150</v>
      </c>
      <c r="F500" t="s">
        <v>349</v>
      </c>
      <c r="G500" s="28">
        <v>88</v>
      </c>
      <c r="H500" s="32">
        <v>24.79</v>
      </c>
      <c r="I500" s="32">
        <v>4497.68</v>
      </c>
      <c r="J500" t="s">
        <v>330</v>
      </c>
      <c r="K500" t="s">
        <v>234</v>
      </c>
      <c r="L500" t="s">
        <v>235</v>
      </c>
      <c r="M500" t="s">
        <v>236</v>
      </c>
      <c r="N500" t="s">
        <v>240</v>
      </c>
      <c r="O500" s="27">
        <v>46064</v>
      </c>
    </row>
    <row r="501" spans="2:15" hidden="1" x14ac:dyDescent="0.3">
      <c r="B501">
        <v>4051319</v>
      </c>
      <c r="C501" t="s">
        <v>231</v>
      </c>
      <c r="D501">
        <v>22674</v>
      </c>
      <c r="E501" t="s">
        <v>150</v>
      </c>
      <c r="F501" t="s">
        <v>298</v>
      </c>
      <c r="G501" s="28">
        <v>134</v>
      </c>
      <c r="H501" s="32">
        <v>24.75</v>
      </c>
      <c r="I501" s="32">
        <v>2333.15</v>
      </c>
      <c r="J501" t="s">
        <v>239</v>
      </c>
      <c r="K501" t="s">
        <v>245</v>
      </c>
      <c r="L501" t="s">
        <v>235</v>
      </c>
      <c r="M501" t="s">
        <v>236</v>
      </c>
      <c r="N501" t="s">
        <v>237</v>
      </c>
      <c r="O501" s="27">
        <v>46063</v>
      </c>
    </row>
    <row r="502" spans="2:15" x14ac:dyDescent="0.3">
      <c r="B502">
        <v>79379</v>
      </c>
      <c r="C502" t="s">
        <v>231</v>
      </c>
      <c r="D502">
        <v>22103</v>
      </c>
      <c r="E502" t="s">
        <v>150</v>
      </c>
      <c r="F502" t="s">
        <v>319</v>
      </c>
      <c r="G502" s="28">
        <v>108</v>
      </c>
      <c r="H502" s="32">
        <v>24.74</v>
      </c>
      <c r="I502" s="32">
        <v>4447.04</v>
      </c>
      <c r="J502" t="s">
        <v>239</v>
      </c>
      <c r="K502" t="s">
        <v>245</v>
      </c>
      <c r="L502" t="s">
        <v>235</v>
      </c>
      <c r="M502" t="s">
        <v>236</v>
      </c>
      <c r="N502" t="s">
        <v>237</v>
      </c>
      <c r="O502" s="27">
        <v>46072</v>
      </c>
    </row>
    <row r="503" spans="2:15" hidden="1" x14ac:dyDescent="0.3">
      <c r="B503">
        <v>6468519</v>
      </c>
      <c r="C503" t="s">
        <v>231</v>
      </c>
      <c r="D503">
        <v>72444</v>
      </c>
      <c r="E503" t="s">
        <v>150</v>
      </c>
      <c r="F503" t="s">
        <v>320</v>
      </c>
      <c r="G503" s="28">
        <v>58</v>
      </c>
      <c r="H503" s="32">
        <v>24.72</v>
      </c>
      <c r="I503" s="32">
        <v>2383.08</v>
      </c>
      <c r="J503" t="s">
        <v>239</v>
      </c>
      <c r="K503" t="s">
        <v>245</v>
      </c>
      <c r="L503" t="s">
        <v>235</v>
      </c>
      <c r="M503" t="s">
        <v>236</v>
      </c>
      <c r="N503" t="s">
        <v>240</v>
      </c>
      <c r="O503" s="27">
        <v>46072</v>
      </c>
    </row>
    <row r="504" spans="2:15" hidden="1" x14ac:dyDescent="0.3">
      <c r="B504">
        <v>2278263</v>
      </c>
      <c r="C504" t="s">
        <v>231</v>
      </c>
      <c r="D504">
        <v>22674</v>
      </c>
      <c r="E504" t="s">
        <v>150</v>
      </c>
      <c r="F504" t="s">
        <v>246</v>
      </c>
      <c r="G504" s="28">
        <v>138</v>
      </c>
      <c r="H504" s="32">
        <v>24.72</v>
      </c>
      <c r="I504" s="32">
        <v>5126.59</v>
      </c>
      <c r="J504" t="s">
        <v>239</v>
      </c>
      <c r="K504" t="s">
        <v>245</v>
      </c>
      <c r="L504" t="s">
        <v>235</v>
      </c>
      <c r="M504" t="s">
        <v>236</v>
      </c>
      <c r="N504" t="s">
        <v>237</v>
      </c>
      <c r="O504" s="27">
        <v>46063</v>
      </c>
    </row>
    <row r="505" spans="2:15" hidden="1" x14ac:dyDescent="0.3">
      <c r="B505">
        <v>15084287</v>
      </c>
      <c r="C505" t="s">
        <v>231</v>
      </c>
      <c r="D505">
        <v>40901</v>
      </c>
      <c r="E505" t="s">
        <v>150</v>
      </c>
      <c r="F505" t="s">
        <v>271</v>
      </c>
      <c r="G505" s="28">
        <v>246</v>
      </c>
      <c r="H505" s="32">
        <v>24.63</v>
      </c>
      <c r="I505" s="32">
        <v>4425.54</v>
      </c>
      <c r="J505" t="s">
        <v>239</v>
      </c>
      <c r="K505" t="s">
        <v>245</v>
      </c>
      <c r="L505" t="s">
        <v>235</v>
      </c>
      <c r="M505" t="s">
        <v>236</v>
      </c>
      <c r="N505" t="s">
        <v>237</v>
      </c>
      <c r="O505" s="27">
        <v>46076</v>
      </c>
    </row>
    <row r="506" spans="2:15" x14ac:dyDescent="0.3">
      <c r="B506">
        <v>7397602</v>
      </c>
      <c r="C506" t="s">
        <v>231</v>
      </c>
      <c r="D506">
        <v>22103</v>
      </c>
      <c r="E506" t="s">
        <v>150</v>
      </c>
      <c r="F506" t="s">
        <v>282</v>
      </c>
      <c r="G506" s="28">
        <v>75</v>
      </c>
      <c r="H506" s="32">
        <v>24.57</v>
      </c>
      <c r="I506" s="32">
        <v>3814.58</v>
      </c>
      <c r="J506" t="s">
        <v>239</v>
      </c>
      <c r="K506" t="s">
        <v>245</v>
      </c>
      <c r="L506" t="s">
        <v>235</v>
      </c>
      <c r="M506" t="s">
        <v>236</v>
      </c>
      <c r="N506" t="s">
        <v>240</v>
      </c>
      <c r="O506" s="27">
        <v>46055</v>
      </c>
    </row>
    <row r="507" spans="2:15" hidden="1" x14ac:dyDescent="0.3">
      <c r="B507">
        <v>3065087</v>
      </c>
      <c r="C507" t="s">
        <v>231</v>
      </c>
      <c r="D507">
        <v>22674</v>
      </c>
      <c r="E507" t="s">
        <v>150</v>
      </c>
      <c r="F507" t="s">
        <v>349</v>
      </c>
      <c r="G507" s="28">
        <v>89</v>
      </c>
      <c r="H507" s="32">
        <v>24.56</v>
      </c>
      <c r="I507" s="32">
        <v>4528.32</v>
      </c>
      <c r="J507" t="s">
        <v>330</v>
      </c>
      <c r="K507" t="s">
        <v>234</v>
      </c>
      <c r="L507" t="s">
        <v>235</v>
      </c>
      <c r="M507" t="s">
        <v>236</v>
      </c>
      <c r="N507" t="s">
        <v>240</v>
      </c>
      <c r="O507" s="27">
        <v>46064</v>
      </c>
    </row>
    <row r="508" spans="2:15" x14ac:dyDescent="0.3">
      <c r="B508">
        <v>8907980</v>
      </c>
      <c r="C508" t="s">
        <v>231</v>
      </c>
      <c r="D508">
        <v>22103</v>
      </c>
      <c r="E508" t="s">
        <v>150</v>
      </c>
      <c r="F508" t="s">
        <v>320</v>
      </c>
      <c r="G508" s="28">
        <v>78</v>
      </c>
      <c r="H508" s="32">
        <v>24.55</v>
      </c>
      <c r="I508" s="32">
        <v>3204.53</v>
      </c>
      <c r="J508" t="s">
        <v>239</v>
      </c>
      <c r="K508" t="s">
        <v>245</v>
      </c>
      <c r="L508" t="s">
        <v>235</v>
      </c>
      <c r="M508" t="s">
        <v>236</v>
      </c>
      <c r="N508" t="s">
        <v>240</v>
      </c>
      <c r="O508" s="27">
        <v>46072</v>
      </c>
    </row>
    <row r="509" spans="2:15" hidden="1" x14ac:dyDescent="0.3">
      <c r="B509">
        <v>15084287</v>
      </c>
      <c r="C509" t="s">
        <v>231</v>
      </c>
      <c r="D509">
        <v>40901</v>
      </c>
      <c r="E509" t="s">
        <v>150</v>
      </c>
      <c r="F509" t="s">
        <v>164</v>
      </c>
      <c r="G509" s="28">
        <v>92</v>
      </c>
      <c r="H509" s="32">
        <v>24.54</v>
      </c>
      <c r="I509" s="32">
        <v>4408.55</v>
      </c>
      <c r="J509" t="s">
        <v>239</v>
      </c>
      <c r="K509" t="s">
        <v>245</v>
      </c>
      <c r="L509" t="s">
        <v>235</v>
      </c>
      <c r="M509" t="s">
        <v>236</v>
      </c>
      <c r="N509" t="s">
        <v>237</v>
      </c>
      <c r="O509" s="27">
        <v>46076</v>
      </c>
    </row>
    <row r="510" spans="2:15" hidden="1" x14ac:dyDescent="0.3">
      <c r="B510">
        <v>2632292</v>
      </c>
      <c r="C510" t="s">
        <v>231</v>
      </c>
      <c r="D510">
        <v>69519</v>
      </c>
      <c r="E510" t="s">
        <v>150</v>
      </c>
      <c r="F510" t="s">
        <v>329</v>
      </c>
      <c r="G510" s="28">
        <v>51</v>
      </c>
      <c r="H510" s="32">
        <v>24.43</v>
      </c>
      <c r="I510" s="32">
        <v>4377.82</v>
      </c>
      <c r="J510" t="s">
        <v>330</v>
      </c>
      <c r="K510" t="s">
        <v>234</v>
      </c>
      <c r="L510" t="s">
        <v>235</v>
      </c>
      <c r="M510" t="s">
        <v>236</v>
      </c>
      <c r="N510" t="s">
        <v>237</v>
      </c>
      <c r="O510" s="27">
        <v>46073</v>
      </c>
    </row>
    <row r="511" spans="2:15" hidden="1" x14ac:dyDescent="0.3">
      <c r="B511">
        <v>2632292</v>
      </c>
      <c r="C511" t="s">
        <v>231</v>
      </c>
      <c r="D511">
        <v>69519</v>
      </c>
      <c r="E511" t="s">
        <v>150</v>
      </c>
      <c r="F511" t="s">
        <v>161</v>
      </c>
      <c r="G511" s="28">
        <v>159</v>
      </c>
      <c r="H511" s="32">
        <v>24.29</v>
      </c>
      <c r="I511" s="32">
        <v>4353.42</v>
      </c>
      <c r="J511" t="s">
        <v>239</v>
      </c>
      <c r="K511" t="s">
        <v>234</v>
      </c>
      <c r="L511" t="s">
        <v>235</v>
      </c>
      <c r="M511" t="s">
        <v>236</v>
      </c>
      <c r="N511" t="s">
        <v>237</v>
      </c>
      <c r="O511" s="27">
        <v>46073</v>
      </c>
    </row>
    <row r="512" spans="2:15" hidden="1" x14ac:dyDescent="0.3">
      <c r="B512">
        <v>15084287</v>
      </c>
      <c r="C512" t="s">
        <v>231</v>
      </c>
      <c r="D512">
        <v>40901</v>
      </c>
      <c r="E512" t="s">
        <v>150</v>
      </c>
      <c r="F512" t="s">
        <v>289</v>
      </c>
      <c r="G512" s="28">
        <v>204</v>
      </c>
      <c r="H512" s="32">
        <v>24.27</v>
      </c>
      <c r="I512" s="32">
        <v>4361</v>
      </c>
      <c r="J512" t="s">
        <v>239</v>
      </c>
      <c r="K512" t="s">
        <v>245</v>
      </c>
      <c r="L512" t="s">
        <v>235</v>
      </c>
      <c r="M512" t="s">
        <v>236</v>
      </c>
      <c r="N512" t="s">
        <v>237</v>
      </c>
      <c r="O512" s="27">
        <v>46076</v>
      </c>
    </row>
    <row r="513" spans="2:15" hidden="1" x14ac:dyDescent="0.3">
      <c r="B513">
        <v>15084287</v>
      </c>
      <c r="C513" t="s">
        <v>231</v>
      </c>
      <c r="D513">
        <v>40901</v>
      </c>
      <c r="E513" t="s">
        <v>150</v>
      </c>
      <c r="F513" t="s">
        <v>277</v>
      </c>
      <c r="G513" s="28">
        <v>106</v>
      </c>
      <c r="H513" s="32">
        <v>24.2</v>
      </c>
      <c r="I513" s="32">
        <v>4346.95</v>
      </c>
      <c r="J513" t="s">
        <v>239</v>
      </c>
      <c r="K513" t="s">
        <v>245</v>
      </c>
      <c r="L513" t="s">
        <v>235</v>
      </c>
      <c r="M513" t="s">
        <v>236</v>
      </c>
      <c r="N513" t="s">
        <v>237</v>
      </c>
      <c r="O513" s="27">
        <v>46076</v>
      </c>
    </row>
    <row r="514" spans="2:15" hidden="1" x14ac:dyDescent="0.3">
      <c r="B514">
        <v>2632292</v>
      </c>
      <c r="C514" t="s">
        <v>231</v>
      </c>
      <c r="D514">
        <v>69519</v>
      </c>
      <c r="E514" t="s">
        <v>150</v>
      </c>
      <c r="F514" t="s">
        <v>163</v>
      </c>
      <c r="G514" s="28">
        <v>300</v>
      </c>
      <c r="H514" s="32">
        <v>24.19</v>
      </c>
      <c r="I514" s="32">
        <v>4335</v>
      </c>
      <c r="J514" t="s">
        <v>239</v>
      </c>
      <c r="K514" t="s">
        <v>234</v>
      </c>
      <c r="L514" t="s">
        <v>235</v>
      </c>
      <c r="M514" t="s">
        <v>236</v>
      </c>
      <c r="N514" t="s">
        <v>237</v>
      </c>
      <c r="O514" s="27">
        <v>46073</v>
      </c>
    </row>
    <row r="515" spans="2:15" hidden="1" x14ac:dyDescent="0.3">
      <c r="B515">
        <v>238658</v>
      </c>
      <c r="C515" t="s">
        <v>231</v>
      </c>
      <c r="D515">
        <v>21468</v>
      </c>
      <c r="E515" t="s">
        <v>150</v>
      </c>
      <c r="F515" t="s">
        <v>282</v>
      </c>
      <c r="G515" s="28">
        <v>131</v>
      </c>
      <c r="H515" s="32">
        <v>24.19</v>
      </c>
      <c r="I515" s="32">
        <v>6691.99</v>
      </c>
      <c r="J515" t="s">
        <v>239</v>
      </c>
      <c r="K515" t="s">
        <v>245</v>
      </c>
      <c r="L515" t="s">
        <v>235</v>
      </c>
      <c r="M515" t="s">
        <v>236</v>
      </c>
      <c r="N515" t="s">
        <v>240</v>
      </c>
      <c r="O515" s="27">
        <v>46063</v>
      </c>
    </row>
    <row r="516" spans="2:15" hidden="1" x14ac:dyDescent="0.3">
      <c r="B516">
        <v>575946</v>
      </c>
      <c r="C516" t="s">
        <v>231</v>
      </c>
      <c r="D516">
        <v>25619</v>
      </c>
      <c r="E516" t="s">
        <v>150</v>
      </c>
      <c r="F516" t="s">
        <v>349</v>
      </c>
      <c r="G516" s="28">
        <v>87</v>
      </c>
      <c r="H516" s="32">
        <v>24.11</v>
      </c>
      <c r="I516" s="32">
        <v>4442.22</v>
      </c>
      <c r="J516" t="s">
        <v>330</v>
      </c>
      <c r="K516" t="s">
        <v>234</v>
      </c>
      <c r="L516" t="s">
        <v>235</v>
      </c>
      <c r="M516" t="s">
        <v>236</v>
      </c>
      <c r="N516" t="s">
        <v>240</v>
      </c>
      <c r="O516" s="27">
        <v>46064</v>
      </c>
    </row>
    <row r="517" spans="2:15" hidden="1" x14ac:dyDescent="0.3">
      <c r="B517">
        <v>2891613</v>
      </c>
      <c r="C517" t="s">
        <v>260</v>
      </c>
      <c r="D517">
        <v>22674</v>
      </c>
      <c r="E517" t="s">
        <v>150</v>
      </c>
      <c r="F517" t="s">
        <v>349</v>
      </c>
      <c r="G517" s="28">
        <v>87</v>
      </c>
      <c r="H517" s="32">
        <v>24.1</v>
      </c>
      <c r="I517" s="32">
        <v>4441.68</v>
      </c>
      <c r="J517" t="s">
        <v>330</v>
      </c>
      <c r="K517" t="s">
        <v>234</v>
      </c>
      <c r="L517" t="s">
        <v>235</v>
      </c>
      <c r="M517" t="s">
        <v>236</v>
      </c>
      <c r="N517" t="s">
        <v>240</v>
      </c>
      <c r="O517" s="27">
        <v>46064</v>
      </c>
    </row>
    <row r="518" spans="2:15" hidden="1" x14ac:dyDescent="0.3">
      <c r="B518">
        <v>9673848</v>
      </c>
      <c r="C518" t="s">
        <v>231</v>
      </c>
      <c r="D518">
        <v>22674</v>
      </c>
      <c r="E518" t="s">
        <v>150</v>
      </c>
      <c r="F518" t="s">
        <v>349</v>
      </c>
      <c r="G518" s="28">
        <v>87</v>
      </c>
      <c r="H518" s="32">
        <v>24.08</v>
      </c>
      <c r="I518" s="32">
        <v>4438.22</v>
      </c>
      <c r="J518" t="s">
        <v>330</v>
      </c>
      <c r="K518" t="s">
        <v>234</v>
      </c>
      <c r="L518" t="s">
        <v>235</v>
      </c>
      <c r="M518" t="s">
        <v>236</v>
      </c>
      <c r="N518" t="s">
        <v>240</v>
      </c>
      <c r="O518" s="27">
        <v>46064</v>
      </c>
    </row>
    <row r="519" spans="2:15" hidden="1" x14ac:dyDescent="0.3">
      <c r="B519">
        <v>2013549</v>
      </c>
      <c r="C519" t="s">
        <v>231</v>
      </c>
      <c r="D519">
        <v>23648</v>
      </c>
      <c r="E519" t="s">
        <v>150</v>
      </c>
      <c r="F519" t="s">
        <v>164</v>
      </c>
      <c r="G519" s="28">
        <v>100</v>
      </c>
      <c r="H519" s="32">
        <v>23.98</v>
      </c>
      <c r="I519" s="32">
        <v>4668</v>
      </c>
      <c r="J519" t="s">
        <v>239</v>
      </c>
      <c r="K519" t="s">
        <v>234</v>
      </c>
      <c r="L519" t="s">
        <v>235</v>
      </c>
      <c r="M519" t="s">
        <v>236</v>
      </c>
      <c r="N519" t="s">
        <v>237</v>
      </c>
      <c r="O519" s="27">
        <v>46059</v>
      </c>
    </row>
    <row r="520" spans="2:15" hidden="1" x14ac:dyDescent="0.3">
      <c r="B520">
        <v>2013549</v>
      </c>
      <c r="C520" t="s">
        <v>231</v>
      </c>
      <c r="D520">
        <v>23648</v>
      </c>
      <c r="E520" t="s">
        <v>150</v>
      </c>
      <c r="F520" t="s">
        <v>350</v>
      </c>
      <c r="G520" s="28">
        <v>94</v>
      </c>
      <c r="H520" s="32">
        <v>23.95</v>
      </c>
      <c r="I520" s="32">
        <v>4661</v>
      </c>
      <c r="J520" t="s">
        <v>330</v>
      </c>
      <c r="K520" t="s">
        <v>234</v>
      </c>
      <c r="L520" t="s">
        <v>235</v>
      </c>
      <c r="M520" t="s">
        <v>236</v>
      </c>
      <c r="N520" t="s">
        <v>240</v>
      </c>
      <c r="O520" s="27">
        <v>46059</v>
      </c>
    </row>
    <row r="521" spans="2:15" hidden="1" x14ac:dyDescent="0.3">
      <c r="B521">
        <v>307208</v>
      </c>
      <c r="C521" t="s">
        <v>231</v>
      </c>
      <c r="D521">
        <v>25619</v>
      </c>
      <c r="E521" t="s">
        <v>150</v>
      </c>
      <c r="F521" t="s">
        <v>349</v>
      </c>
      <c r="G521" s="28">
        <v>89</v>
      </c>
      <c r="H521" s="32">
        <v>23.95</v>
      </c>
      <c r="I521" s="32">
        <v>4524.78</v>
      </c>
      <c r="J521" t="s">
        <v>330</v>
      </c>
      <c r="K521" t="s">
        <v>234</v>
      </c>
      <c r="L521" t="s">
        <v>235</v>
      </c>
      <c r="M521" t="s">
        <v>236</v>
      </c>
      <c r="N521" t="s">
        <v>240</v>
      </c>
      <c r="O521" s="27">
        <v>46064</v>
      </c>
    </row>
    <row r="522" spans="2:15" hidden="1" x14ac:dyDescent="0.3">
      <c r="B522">
        <v>6905571</v>
      </c>
      <c r="C522" t="s">
        <v>260</v>
      </c>
      <c r="D522">
        <v>38517</v>
      </c>
      <c r="E522" t="s">
        <v>150</v>
      </c>
      <c r="F522" t="s">
        <v>289</v>
      </c>
      <c r="G522" s="28">
        <v>127</v>
      </c>
      <c r="H522" s="32">
        <v>23.91</v>
      </c>
      <c r="I522" s="32">
        <v>2728.72</v>
      </c>
      <c r="J522" t="s">
        <v>239</v>
      </c>
      <c r="K522" t="s">
        <v>245</v>
      </c>
      <c r="L522" t="s">
        <v>235</v>
      </c>
      <c r="M522" t="s">
        <v>236</v>
      </c>
      <c r="N522" t="s">
        <v>237</v>
      </c>
      <c r="O522" s="27">
        <v>46055</v>
      </c>
    </row>
    <row r="523" spans="2:15" hidden="1" x14ac:dyDescent="0.3">
      <c r="B523">
        <v>2033851</v>
      </c>
      <c r="C523" t="s">
        <v>231</v>
      </c>
      <c r="D523">
        <v>24415</v>
      </c>
      <c r="E523" t="s">
        <v>150</v>
      </c>
      <c r="F523" t="s">
        <v>274</v>
      </c>
      <c r="G523" s="28">
        <v>239</v>
      </c>
      <c r="H523" s="32">
        <v>23.66</v>
      </c>
      <c r="I523" s="32">
        <v>3995.13</v>
      </c>
      <c r="J523" t="s">
        <v>239</v>
      </c>
      <c r="K523" t="s">
        <v>245</v>
      </c>
      <c r="L523" t="s">
        <v>235</v>
      </c>
      <c r="M523" t="s">
        <v>236</v>
      </c>
      <c r="N523" t="s">
        <v>240</v>
      </c>
      <c r="O523" s="27">
        <v>46072</v>
      </c>
    </row>
    <row r="524" spans="2:15" hidden="1" x14ac:dyDescent="0.3">
      <c r="B524">
        <v>4339096</v>
      </c>
      <c r="C524" t="s">
        <v>231</v>
      </c>
      <c r="D524">
        <v>25619</v>
      </c>
      <c r="E524" t="s">
        <v>150</v>
      </c>
      <c r="F524" t="s">
        <v>349</v>
      </c>
      <c r="G524" s="28">
        <v>87</v>
      </c>
      <c r="H524" s="32">
        <v>23.5</v>
      </c>
      <c r="I524" s="32">
        <v>4417.7700000000004</v>
      </c>
      <c r="J524" t="s">
        <v>330</v>
      </c>
      <c r="K524" t="s">
        <v>234</v>
      </c>
      <c r="L524" t="s">
        <v>235</v>
      </c>
      <c r="M524" t="s">
        <v>236</v>
      </c>
      <c r="N524" t="s">
        <v>240</v>
      </c>
      <c r="O524" s="27">
        <v>46064</v>
      </c>
    </row>
    <row r="525" spans="2:15" hidden="1" x14ac:dyDescent="0.3">
      <c r="B525">
        <v>2013549</v>
      </c>
      <c r="C525" t="s">
        <v>231</v>
      </c>
      <c r="D525">
        <v>23648</v>
      </c>
      <c r="E525" t="s">
        <v>150</v>
      </c>
      <c r="F525" t="s">
        <v>357</v>
      </c>
      <c r="G525" s="28">
        <v>227</v>
      </c>
      <c r="H525" s="32">
        <v>23.35</v>
      </c>
      <c r="I525" s="32">
        <v>4544.54</v>
      </c>
      <c r="J525" t="s">
        <v>256</v>
      </c>
      <c r="K525" t="s">
        <v>234</v>
      </c>
      <c r="L525" t="s">
        <v>235</v>
      </c>
      <c r="M525" t="s">
        <v>236</v>
      </c>
      <c r="N525" t="s">
        <v>240</v>
      </c>
      <c r="O525" s="27">
        <v>46059</v>
      </c>
    </row>
    <row r="526" spans="2:15" x14ac:dyDescent="0.3">
      <c r="B526">
        <v>5658854</v>
      </c>
      <c r="C526" t="s">
        <v>231</v>
      </c>
      <c r="D526">
        <v>22103</v>
      </c>
      <c r="E526" t="s">
        <v>150</v>
      </c>
      <c r="F526" t="s">
        <v>343</v>
      </c>
      <c r="G526" s="28">
        <v>77</v>
      </c>
      <c r="H526" s="32">
        <v>23.33</v>
      </c>
      <c r="I526" s="32">
        <v>4643.87</v>
      </c>
      <c r="J526" t="s">
        <v>330</v>
      </c>
      <c r="K526" t="s">
        <v>234</v>
      </c>
      <c r="L526" t="s">
        <v>235</v>
      </c>
      <c r="M526" t="s">
        <v>236</v>
      </c>
      <c r="N526" t="s">
        <v>240</v>
      </c>
      <c r="O526" s="27">
        <v>46076</v>
      </c>
    </row>
    <row r="527" spans="2:15" hidden="1" x14ac:dyDescent="0.3">
      <c r="B527">
        <v>7863027</v>
      </c>
      <c r="C527" t="s">
        <v>231</v>
      </c>
      <c r="D527">
        <v>71997</v>
      </c>
      <c r="E527" t="s">
        <v>150</v>
      </c>
      <c r="F527" t="s">
        <v>166</v>
      </c>
      <c r="G527" s="28">
        <v>200</v>
      </c>
      <c r="H527" s="32">
        <v>23.31</v>
      </c>
      <c r="I527" s="32">
        <v>3732</v>
      </c>
      <c r="J527" t="s">
        <v>239</v>
      </c>
      <c r="K527" t="s">
        <v>234</v>
      </c>
      <c r="L527" t="s">
        <v>235</v>
      </c>
      <c r="M527" t="s">
        <v>236</v>
      </c>
      <c r="N527" t="s">
        <v>240</v>
      </c>
      <c r="O527" s="27">
        <v>46066</v>
      </c>
    </row>
    <row r="528" spans="2:15" hidden="1" x14ac:dyDescent="0.3">
      <c r="B528">
        <v>2091913</v>
      </c>
      <c r="C528" t="s">
        <v>260</v>
      </c>
      <c r="D528">
        <v>49894</v>
      </c>
      <c r="E528" t="s">
        <v>150</v>
      </c>
      <c r="F528" t="s">
        <v>298</v>
      </c>
      <c r="G528" s="28">
        <v>124</v>
      </c>
      <c r="H528" s="32">
        <v>23.26</v>
      </c>
      <c r="I528" s="32">
        <v>2159.16</v>
      </c>
      <c r="J528" t="s">
        <v>239</v>
      </c>
      <c r="K528" t="s">
        <v>245</v>
      </c>
      <c r="L528" t="s">
        <v>235</v>
      </c>
      <c r="M528" t="s">
        <v>236</v>
      </c>
      <c r="N528" t="s">
        <v>237</v>
      </c>
      <c r="O528" s="27">
        <v>46063</v>
      </c>
    </row>
    <row r="529" spans="2:15" hidden="1" x14ac:dyDescent="0.3">
      <c r="B529">
        <v>591394</v>
      </c>
      <c r="C529" t="s">
        <v>231</v>
      </c>
      <c r="D529">
        <v>69493</v>
      </c>
      <c r="E529" t="s">
        <v>150</v>
      </c>
      <c r="F529" t="s">
        <v>164</v>
      </c>
      <c r="G529" s="28">
        <v>140</v>
      </c>
      <c r="H529" s="32">
        <v>23.16</v>
      </c>
      <c r="I529" s="32">
        <v>6805.62</v>
      </c>
      <c r="J529" t="s">
        <v>239</v>
      </c>
      <c r="K529" t="s">
        <v>245</v>
      </c>
      <c r="L529" t="s">
        <v>235</v>
      </c>
      <c r="M529" t="s">
        <v>236</v>
      </c>
      <c r="N529" t="s">
        <v>240</v>
      </c>
      <c r="O529" s="27">
        <v>46063</v>
      </c>
    </row>
    <row r="530" spans="2:15" hidden="1" x14ac:dyDescent="0.3">
      <c r="B530">
        <v>389066</v>
      </c>
      <c r="C530" t="s">
        <v>260</v>
      </c>
      <c r="D530">
        <v>21559</v>
      </c>
      <c r="E530" t="s">
        <v>150</v>
      </c>
      <c r="F530" t="s">
        <v>345</v>
      </c>
      <c r="G530" s="28">
        <v>93</v>
      </c>
      <c r="H530" s="32">
        <v>23.09</v>
      </c>
      <c r="I530" s="32">
        <v>4523.53</v>
      </c>
      <c r="J530" t="s">
        <v>330</v>
      </c>
      <c r="K530" t="s">
        <v>234</v>
      </c>
      <c r="L530" t="s">
        <v>235</v>
      </c>
      <c r="M530" t="s">
        <v>236</v>
      </c>
      <c r="N530" t="s">
        <v>237</v>
      </c>
      <c r="O530" s="27">
        <v>46072</v>
      </c>
    </row>
    <row r="531" spans="2:15" hidden="1" x14ac:dyDescent="0.3">
      <c r="B531">
        <v>18797810</v>
      </c>
      <c r="C531" t="s">
        <v>231</v>
      </c>
      <c r="D531">
        <v>74304</v>
      </c>
      <c r="E531" t="s">
        <v>150</v>
      </c>
      <c r="F531" t="s">
        <v>163</v>
      </c>
      <c r="G531" s="28">
        <v>137</v>
      </c>
      <c r="H531" s="32">
        <v>23.03</v>
      </c>
      <c r="I531" s="32">
        <v>1912.64</v>
      </c>
      <c r="J531" t="s">
        <v>239</v>
      </c>
      <c r="K531" t="s">
        <v>245</v>
      </c>
      <c r="L531" t="s">
        <v>235</v>
      </c>
      <c r="M531" t="s">
        <v>236</v>
      </c>
      <c r="N531" t="s">
        <v>237</v>
      </c>
      <c r="O531" s="27">
        <v>46063</v>
      </c>
    </row>
    <row r="532" spans="2:15" hidden="1" x14ac:dyDescent="0.3">
      <c r="B532">
        <v>14521528</v>
      </c>
      <c r="C532" t="s">
        <v>260</v>
      </c>
      <c r="D532">
        <v>25619</v>
      </c>
      <c r="E532" t="s">
        <v>150</v>
      </c>
      <c r="F532" t="s">
        <v>349</v>
      </c>
      <c r="G532" s="28">
        <v>85</v>
      </c>
      <c r="H532" s="32">
        <v>23</v>
      </c>
      <c r="I532" s="32">
        <v>4325.75</v>
      </c>
      <c r="J532" t="s">
        <v>330</v>
      </c>
      <c r="K532" t="s">
        <v>234</v>
      </c>
      <c r="L532" t="s">
        <v>235</v>
      </c>
      <c r="M532" t="s">
        <v>236</v>
      </c>
      <c r="N532" t="s">
        <v>240</v>
      </c>
      <c r="O532" s="27">
        <v>46064</v>
      </c>
    </row>
    <row r="533" spans="2:15" hidden="1" x14ac:dyDescent="0.3">
      <c r="B533">
        <v>14521528</v>
      </c>
      <c r="C533" t="s">
        <v>260</v>
      </c>
      <c r="D533">
        <v>25619</v>
      </c>
      <c r="E533" t="s">
        <v>150</v>
      </c>
      <c r="F533" t="s">
        <v>298</v>
      </c>
      <c r="G533" s="28">
        <v>122</v>
      </c>
      <c r="H533" s="32">
        <v>22.99</v>
      </c>
      <c r="I533" s="32">
        <v>2124.27</v>
      </c>
      <c r="J533" t="s">
        <v>239</v>
      </c>
      <c r="K533" t="s">
        <v>245</v>
      </c>
      <c r="L533" t="s">
        <v>235</v>
      </c>
      <c r="M533" t="s">
        <v>236</v>
      </c>
      <c r="N533" t="s">
        <v>237</v>
      </c>
      <c r="O533" s="27">
        <v>46063</v>
      </c>
    </row>
    <row r="534" spans="2:15" hidden="1" x14ac:dyDescent="0.3">
      <c r="B534">
        <v>2033851</v>
      </c>
      <c r="C534" t="s">
        <v>231</v>
      </c>
      <c r="D534">
        <v>24415</v>
      </c>
      <c r="E534" t="s">
        <v>150</v>
      </c>
      <c r="F534" t="s">
        <v>259</v>
      </c>
      <c r="G534" s="28">
        <v>180</v>
      </c>
      <c r="H534" s="32">
        <v>22.92</v>
      </c>
      <c r="I534" s="32">
        <v>3870.36</v>
      </c>
      <c r="J534" t="s">
        <v>239</v>
      </c>
      <c r="K534" t="s">
        <v>245</v>
      </c>
      <c r="L534" t="s">
        <v>235</v>
      </c>
      <c r="M534" t="s">
        <v>236</v>
      </c>
      <c r="N534" t="s">
        <v>240</v>
      </c>
      <c r="O534" s="27">
        <v>46072</v>
      </c>
    </row>
    <row r="535" spans="2:15" hidden="1" x14ac:dyDescent="0.3">
      <c r="B535">
        <v>3548394</v>
      </c>
      <c r="C535" t="s">
        <v>260</v>
      </c>
      <c r="D535">
        <v>25104</v>
      </c>
      <c r="E535" t="s">
        <v>150</v>
      </c>
      <c r="F535" t="s">
        <v>836</v>
      </c>
      <c r="G535" s="28">
        <v>5500</v>
      </c>
      <c r="H535" s="32">
        <v>22.79</v>
      </c>
      <c r="I535" s="32">
        <v>4455</v>
      </c>
      <c r="J535" t="s">
        <v>233</v>
      </c>
      <c r="K535" t="s">
        <v>234</v>
      </c>
      <c r="L535" t="s">
        <v>235</v>
      </c>
      <c r="M535" t="s">
        <v>236</v>
      </c>
      <c r="N535" t="s">
        <v>240</v>
      </c>
      <c r="O535" s="27">
        <v>46076</v>
      </c>
    </row>
    <row r="536" spans="2:15" hidden="1" x14ac:dyDescent="0.3">
      <c r="B536">
        <v>15974702</v>
      </c>
      <c r="C536" t="s">
        <v>260</v>
      </c>
      <c r="D536">
        <v>25619</v>
      </c>
      <c r="E536" t="s">
        <v>150</v>
      </c>
      <c r="F536" t="s">
        <v>349</v>
      </c>
      <c r="G536" s="28">
        <v>84</v>
      </c>
      <c r="H536" s="32">
        <v>22.76</v>
      </c>
      <c r="I536" s="32">
        <v>4280.6400000000003</v>
      </c>
      <c r="J536" t="s">
        <v>330</v>
      </c>
      <c r="K536" t="s">
        <v>234</v>
      </c>
      <c r="L536" t="s">
        <v>235</v>
      </c>
      <c r="M536" t="s">
        <v>236</v>
      </c>
      <c r="N536" t="s">
        <v>240</v>
      </c>
      <c r="O536" s="27">
        <v>46064</v>
      </c>
    </row>
    <row r="537" spans="2:15" hidden="1" x14ac:dyDescent="0.3">
      <c r="B537">
        <v>4375042</v>
      </c>
      <c r="C537" t="s">
        <v>231</v>
      </c>
      <c r="D537">
        <v>25619</v>
      </c>
      <c r="E537" t="s">
        <v>150</v>
      </c>
      <c r="F537" t="s">
        <v>164</v>
      </c>
      <c r="G537" s="28">
        <v>83</v>
      </c>
      <c r="H537" s="32">
        <v>22.63</v>
      </c>
      <c r="I537" s="32">
        <v>4026.28</v>
      </c>
      <c r="J537" t="s">
        <v>239</v>
      </c>
      <c r="K537" t="s">
        <v>245</v>
      </c>
      <c r="L537" t="s">
        <v>235</v>
      </c>
      <c r="M537" t="s">
        <v>236</v>
      </c>
      <c r="N537" t="s">
        <v>240</v>
      </c>
      <c r="O537" s="27">
        <v>46072</v>
      </c>
    </row>
    <row r="538" spans="2:15" hidden="1" x14ac:dyDescent="0.3">
      <c r="B538">
        <v>12918550</v>
      </c>
      <c r="C538" t="s">
        <v>231</v>
      </c>
      <c r="D538">
        <v>25619</v>
      </c>
      <c r="E538" t="s">
        <v>150</v>
      </c>
      <c r="F538" t="s">
        <v>349</v>
      </c>
      <c r="G538" s="28">
        <v>84</v>
      </c>
      <c r="H538" s="32">
        <v>22.41</v>
      </c>
      <c r="I538" s="32">
        <v>4263</v>
      </c>
      <c r="J538" t="s">
        <v>330</v>
      </c>
      <c r="K538" t="s">
        <v>234</v>
      </c>
      <c r="L538" t="s">
        <v>235</v>
      </c>
      <c r="M538" t="s">
        <v>236</v>
      </c>
      <c r="N538" t="s">
        <v>240</v>
      </c>
      <c r="O538" s="27">
        <v>46064</v>
      </c>
    </row>
    <row r="539" spans="2:15" hidden="1" x14ac:dyDescent="0.3">
      <c r="B539">
        <v>15518055</v>
      </c>
      <c r="C539" t="s">
        <v>231</v>
      </c>
      <c r="D539">
        <v>22674</v>
      </c>
      <c r="E539" t="s">
        <v>150</v>
      </c>
      <c r="F539" t="s">
        <v>163</v>
      </c>
      <c r="G539" s="28">
        <v>137</v>
      </c>
      <c r="H539" s="32">
        <v>22.4</v>
      </c>
      <c r="I539" s="32">
        <v>1912.64</v>
      </c>
      <c r="J539" t="s">
        <v>239</v>
      </c>
      <c r="K539" t="s">
        <v>245</v>
      </c>
      <c r="L539" t="s">
        <v>235</v>
      </c>
      <c r="M539" t="s">
        <v>236</v>
      </c>
      <c r="N539" t="s">
        <v>237</v>
      </c>
      <c r="O539" s="27">
        <v>46063</v>
      </c>
    </row>
    <row r="540" spans="2:15" hidden="1" x14ac:dyDescent="0.3">
      <c r="B540">
        <v>2735150</v>
      </c>
      <c r="C540" t="s">
        <v>231</v>
      </c>
      <c r="D540">
        <v>49894</v>
      </c>
      <c r="E540" t="s">
        <v>150</v>
      </c>
      <c r="F540" t="s">
        <v>282</v>
      </c>
      <c r="G540" s="28">
        <v>120</v>
      </c>
      <c r="H540" s="32">
        <v>22.38</v>
      </c>
      <c r="I540" s="32">
        <v>6129.93</v>
      </c>
      <c r="J540" t="s">
        <v>239</v>
      </c>
      <c r="K540" t="s">
        <v>245</v>
      </c>
      <c r="L540" t="s">
        <v>235</v>
      </c>
      <c r="M540" t="s">
        <v>236</v>
      </c>
      <c r="N540" t="s">
        <v>240</v>
      </c>
      <c r="O540" s="27">
        <v>46063</v>
      </c>
    </row>
    <row r="541" spans="2:15" hidden="1" x14ac:dyDescent="0.3">
      <c r="B541">
        <v>4382412</v>
      </c>
      <c r="C541" t="s">
        <v>231</v>
      </c>
      <c r="D541">
        <v>49894</v>
      </c>
      <c r="E541" t="s">
        <v>150</v>
      </c>
      <c r="F541" t="s">
        <v>319</v>
      </c>
      <c r="G541" s="28">
        <v>100</v>
      </c>
      <c r="H541" s="32">
        <v>22.3</v>
      </c>
      <c r="I541" s="32">
        <v>4191</v>
      </c>
      <c r="J541" t="s">
        <v>239</v>
      </c>
      <c r="K541" t="s">
        <v>234</v>
      </c>
      <c r="L541" t="s">
        <v>235</v>
      </c>
      <c r="M541" t="s">
        <v>236</v>
      </c>
      <c r="N541" t="s">
        <v>240</v>
      </c>
      <c r="O541" s="27">
        <v>46076</v>
      </c>
    </row>
    <row r="542" spans="2:15" x14ac:dyDescent="0.3">
      <c r="B542">
        <v>5658854</v>
      </c>
      <c r="C542" t="s">
        <v>231</v>
      </c>
      <c r="D542">
        <v>22103</v>
      </c>
      <c r="E542" t="s">
        <v>150</v>
      </c>
      <c r="F542" t="s">
        <v>378</v>
      </c>
      <c r="G542" s="28">
        <v>76</v>
      </c>
      <c r="H542" s="32">
        <v>22.25</v>
      </c>
      <c r="I542" s="32">
        <v>4428.6899999999996</v>
      </c>
      <c r="J542" t="s">
        <v>330</v>
      </c>
      <c r="K542" t="s">
        <v>234</v>
      </c>
      <c r="L542" t="s">
        <v>235</v>
      </c>
      <c r="M542" t="s">
        <v>236</v>
      </c>
      <c r="N542" t="s">
        <v>240</v>
      </c>
      <c r="O542" s="27">
        <v>46076</v>
      </c>
    </row>
    <row r="543" spans="2:15" hidden="1" x14ac:dyDescent="0.3">
      <c r="B543">
        <v>2013549</v>
      </c>
      <c r="C543" t="s">
        <v>231</v>
      </c>
      <c r="D543">
        <v>23648</v>
      </c>
      <c r="E543" t="s">
        <v>150</v>
      </c>
      <c r="F543" t="s">
        <v>351</v>
      </c>
      <c r="G543" s="28">
        <v>33</v>
      </c>
      <c r="H543" s="32">
        <v>22.25</v>
      </c>
      <c r="I543" s="32">
        <v>4331.2700000000004</v>
      </c>
      <c r="J543" t="s">
        <v>239</v>
      </c>
      <c r="K543" t="s">
        <v>234</v>
      </c>
      <c r="L543" t="s">
        <v>235</v>
      </c>
      <c r="M543" t="s">
        <v>236</v>
      </c>
      <c r="N543" t="s">
        <v>240</v>
      </c>
      <c r="O543" s="27">
        <v>46059</v>
      </c>
    </row>
    <row r="544" spans="2:15" hidden="1" x14ac:dyDescent="0.3">
      <c r="B544">
        <v>4339096</v>
      </c>
      <c r="C544" t="s">
        <v>231</v>
      </c>
      <c r="D544">
        <v>25619</v>
      </c>
      <c r="E544" t="s">
        <v>150</v>
      </c>
      <c r="F544" t="s">
        <v>340</v>
      </c>
      <c r="G544" s="28">
        <v>71</v>
      </c>
      <c r="H544" s="32">
        <v>22.23</v>
      </c>
      <c r="I544" s="32">
        <v>4180.49</v>
      </c>
      <c r="J544" t="s">
        <v>330</v>
      </c>
      <c r="K544" t="s">
        <v>234</v>
      </c>
      <c r="L544" t="s">
        <v>235</v>
      </c>
      <c r="M544" t="s">
        <v>236</v>
      </c>
      <c r="N544" t="s">
        <v>237</v>
      </c>
      <c r="O544" s="27">
        <v>46064</v>
      </c>
    </row>
    <row r="545" spans="2:15" hidden="1" x14ac:dyDescent="0.3">
      <c r="B545">
        <v>5751194</v>
      </c>
      <c r="C545" t="s">
        <v>260</v>
      </c>
      <c r="D545">
        <v>25104</v>
      </c>
      <c r="E545" t="s">
        <v>150</v>
      </c>
      <c r="F545" t="s">
        <v>407</v>
      </c>
      <c r="G545" s="28">
        <v>100</v>
      </c>
      <c r="H545" s="32">
        <v>22.17</v>
      </c>
      <c r="I545" s="32">
        <v>5324</v>
      </c>
      <c r="J545" t="s">
        <v>239</v>
      </c>
      <c r="K545" t="s">
        <v>234</v>
      </c>
      <c r="L545" t="s">
        <v>235</v>
      </c>
      <c r="M545" t="s">
        <v>236</v>
      </c>
      <c r="N545" t="s">
        <v>240</v>
      </c>
      <c r="O545" s="27">
        <v>46064</v>
      </c>
    </row>
    <row r="546" spans="2:15" x14ac:dyDescent="0.3">
      <c r="B546">
        <v>7397602</v>
      </c>
      <c r="C546" t="s">
        <v>231</v>
      </c>
      <c r="D546">
        <v>22103</v>
      </c>
      <c r="E546" t="s">
        <v>150</v>
      </c>
      <c r="F546" t="s">
        <v>298</v>
      </c>
      <c r="G546" s="28">
        <v>209</v>
      </c>
      <c r="H546" s="32">
        <v>22.1</v>
      </c>
      <c r="I546" s="32">
        <v>3431.2</v>
      </c>
      <c r="J546" t="s">
        <v>239</v>
      </c>
      <c r="K546" t="s">
        <v>245</v>
      </c>
      <c r="L546" t="s">
        <v>235</v>
      </c>
      <c r="M546" t="s">
        <v>236</v>
      </c>
      <c r="N546" t="s">
        <v>237</v>
      </c>
      <c r="O546" s="27">
        <v>46055</v>
      </c>
    </row>
    <row r="547" spans="2:15" hidden="1" x14ac:dyDescent="0.3">
      <c r="B547">
        <v>18731282</v>
      </c>
      <c r="C547" t="s">
        <v>231</v>
      </c>
      <c r="D547">
        <v>40901</v>
      </c>
      <c r="E547" t="s">
        <v>150</v>
      </c>
      <c r="F547" t="s">
        <v>272</v>
      </c>
      <c r="G547" s="28">
        <v>620</v>
      </c>
      <c r="H547" s="32">
        <v>22.06</v>
      </c>
      <c r="I547" s="32">
        <v>4054</v>
      </c>
      <c r="J547" t="s">
        <v>239</v>
      </c>
      <c r="K547" t="s">
        <v>245</v>
      </c>
      <c r="L547" t="s">
        <v>235</v>
      </c>
      <c r="M547" t="s">
        <v>236</v>
      </c>
      <c r="N547" t="s">
        <v>237</v>
      </c>
      <c r="O547" s="27">
        <v>46055</v>
      </c>
    </row>
    <row r="548" spans="2:15" hidden="1" x14ac:dyDescent="0.3">
      <c r="B548">
        <v>2632292</v>
      </c>
      <c r="C548" t="s">
        <v>231</v>
      </c>
      <c r="D548">
        <v>69519</v>
      </c>
      <c r="E548" t="s">
        <v>150</v>
      </c>
      <c r="F548" t="s">
        <v>343</v>
      </c>
      <c r="G548" s="28">
        <v>64</v>
      </c>
      <c r="H548" s="32">
        <v>22.01</v>
      </c>
      <c r="I548" s="32">
        <v>3945.23</v>
      </c>
      <c r="J548" t="s">
        <v>330</v>
      </c>
      <c r="K548" t="s">
        <v>234</v>
      </c>
      <c r="L548" t="s">
        <v>235</v>
      </c>
      <c r="M548" t="s">
        <v>236</v>
      </c>
      <c r="N548" t="s">
        <v>237</v>
      </c>
      <c r="O548" s="27">
        <v>46073</v>
      </c>
    </row>
    <row r="549" spans="2:15" hidden="1" x14ac:dyDescent="0.3">
      <c r="B549">
        <v>14521528</v>
      </c>
      <c r="C549" t="s">
        <v>260</v>
      </c>
      <c r="D549">
        <v>25619</v>
      </c>
      <c r="E549" t="s">
        <v>150</v>
      </c>
      <c r="F549" t="s">
        <v>340</v>
      </c>
      <c r="G549" s="28">
        <v>70</v>
      </c>
      <c r="H549" s="32">
        <v>21.95</v>
      </c>
      <c r="I549" s="32">
        <v>4129.8</v>
      </c>
      <c r="J549" t="s">
        <v>330</v>
      </c>
      <c r="K549" t="s">
        <v>234</v>
      </c>
      <c r="L549" t="s">
        <v>235</v>
      </c>
      <c r="M549" t="s">
        <v>236</v>
      </c>
      <c r="N549" t="s">
        <v>237</v>
      </c>
      <c r="O549" s="27">
        <v>46064</v>
      </c>
    </row>
    <row r="550" spans="2:15" hidden="1" x14ac:dyDescent="0.3">
      <c r="B550">
        <v>307208</v>
      </c>
      <c r="C550" t="s">
        <v>231</v>
      </c>
      <c r="D550">
        <v>25619</v>
      </c>
      <c r="E550" t="s">
        <v>150</v>
      </c>
      <c r="F550" t="s">
        <v>369</v>
      </c>
      <c r="G550" s="28">
        <v>110</v>
      </c>
      <c r="H550" s="32">
        <v>21.94</v>
      </c>
      <c r="I550" s="32">
        <v>6061.76</v>
      </c>
      <c r="J550" t="s">
        <v>239</v>
      </c>
      <c r="K550" t="s">
        <v>245</v>
      </c>
      <c r="L550" t="s">
        <v>235</v>
      </c>
      <c r="M550" t="s">
        <v>236</v>
      </c>
      <c r="N550" t="s">
        <v>240</v>
      </c>
      <c r="O550" s="27">
        <v>46063</v>
      </c>
    </row>
    <row r="551" spans="2:15" hidden="1" x14ac:dyDescent="0.3">
      <c r="B551">
        <v>2579681</v>
      </c>
      <c r="C551" t="s">
        <v>231</v>
      </c>
      <c r="D551">
        <v>25619</v>
      </c>
      <c r="E551" t="s">
        <v>150</v>
      </c>
      <c r="F551" t="s">
        <v>282</v>
      </c>
      <c r="G551" s="28">
        <v>116</v>
      </c>
      <c r="H551" s="32">
        <v>21.92</v>
      </c>
      <c r="I551" s="32">
        <v>5925.5</v>
      </c>
      <c r="J551" t="s">
        <v>239</v>
      </c>
      <c r="K551" t="s">
        <v>245</v>
      </c>
      <c r="L551" t="s">
        <v>235</v>
      </c>
      <c r="M551" t="s">
        <v>236</v>
      </c>
      <c r="N551" t="s">
        <v>240</v>
      </c>
      <c r="O551" s="27">
        <v>46063</v>
      </c>
    </row>
    <row r="552" spans="2:15" hidden="1" x14ac:dyDescent="0.3">
      <c r="B552">
        <v>18731282</v>
      </c>
      <c r="C552" t="s">
        <v>231</v>
      </c>
      <c r="D552">
        <v>40901</v>
      </c>
      <c r="E552" t="s">
        <v>150</v>
      </c>
      <c r="F552" t="s">
        <v>271</v>
      </c>
      <c r="G552" s="28">
        <v>228</v>
      </c>
      <c r="H552" s="32">
        <v>21.91</v>
      </c>
      <c r="I552" s="32">
        <v>4025.66</v>
      </c>
      <c r="J552" t="s">
        <v>239</v>
      </c>
      <c r="K552" t="s">
        <v>245</v>
      </c>
      <c r="L552" t="s">
        <v>235</v>
      </c>
      <c r="M552" t="s">
        <v>236</v>
      </c>
      <c r="N552" t="s">
        <v>237</v>
      </c>
      <c r="O552" s="27">
        <v>46055</v>
      </c>
    </row>
    <row r="553" spans="2:15" hidden="1" x14ac:dyDescent="0.3">
      <c r="B553">
        <v>2632292</v>
      </c>
      <c r="C553" t="s">
        <v>231</v>
      </c>
      <c r="D553">
        <v>69519</v>
      </c>
      <c r="E553" t="s">
        <v>150</v>
      </c>
      <c r="F553" t="s">
        <v>345</v>
      </c>
      <c r="G553" s="28">
        <v>80</v>
      </c>
      <c r="H553" s="32">
        <v>21.85</v>
      </c>
      <c r="I553" s="32">
        <v>3916.8</v>
      </c>
      <c r="J553" t="s">
        <v>330</v>
      </c>
      <c r="K553" t="s">
        <v>234</v>
      </c>
      <c r="L553" t="s">
        <v>235</v>
      </c>
      <c r="M553" t="s">
        <v>236</v>
      </c>
      <c r="N553" t="s">
        <v>237</v>
      </c>
      <c r="O553" s="27">
        <v>46073</v>
      </c>
    </row>
    <row r="554" spans="2:15" hidden="1" x14ac:dyDescent="0.3">
      <c r="B554">
        <v>6905571</v>
      </c>
      <c r="C554" t="s">
        <v>260</v>
      </c>
      <c r="D554">
        <v>38517</v>
      </c>
      <c r="E554" t="s">
        <v>150</v>
      </c>
      <c r="F554" t="s">
        <v>258</v>
      </c>
      <c r="G554" s="28">
        <v>231</v>
      </c>
      <c r="H554" s="32">
        <v>21.84</v>
      </c>
      <c r="I554" s="32">
        <v>2497.9899999999998</v>
      </c>
      <c r="J554" t="s">
        <v>239</v>
      </c>
      <c r="K554" t="s">
        <v>245</v>
      </c>
      <c r="L554" t="s">
        <v>235</v>
      </c>
      <c r="M554" t="s">
        <v>236</v>
      </c>
      <c r="N554" t="s">
        <v>240</v>
      </c>
      <c r="O554" s="27">
        <v>46055</v>
      </c>
    </row>
    <row r="555" spans="2:15" hidden="1" x14ac:dyDescent="0.3">
      <c r="B555">
        <v>2278263</v>
      </c>
      <c r="C555" t="s">
        <v>231</v>
      </c>
      <c r="D555">
        <v>22674</v>
      </c>
      <c r="E555" t="s">
        <v>150</v>
      </c>
      <c r="F555" t="s">
        <v>282</v>
      </c>
      <c r="G555" s="28">
        <v>115</v>
      </c>
      <c r="H555" s="32">
        <v>21.75</v>
      </c>
      <c r="I555" s="32">
        <v>5874.42</v>
      </c>
      <c r="J555" t="s">
        <v>239</v>
      </c>
      <c r="K555" t="s">
        <v>245</v>
      </c>
      <c r="L555" t="s">
        <v>235</v>
      </c>
      <c r="M555" t="s">
        <v>236</v>
      </c>
      <c r="N555" t="s">
        <v>240</v>
      </c>
      <c r="O555" s="27">
        <v>46063</v>
      </c>
    </row>
    <row r="556" spans="2:15" hidden="1" x14ac:dyDescent="0.3">
      <c r="B556">
        <v>11824888</v>
      </c>
      <c r="C556" t="s">
        <v>231</v>
      </c>
      <c r="D556">
        <v>71881</v>
      </c>
      <c r="E556" t="s">
        <v>150</v>
      </c>
      <c r="F556" t="s">
        <v>282</v>
      </c>
      <c r="G556" s="28">
        <v>129</v>
      </c>
      <c r="H556" s="32">
        <v>21.71</v>
      </c>
      <c r="I556" s="32">
        <v>6589.66</v>
      </c>
      <c r="J556" t="s">
        <v>239</v>
      </c>
      <c r="K556" t="s">
        <v>245</v>
      </c>
      <c r="L556" t="s">
        <v>235</v>
      </c>
      <c r="M556" t="s">
        <v>236</v>
      </c>
      <c r="N556" t="s">
        <v>240</v>
      </c>
      <c r="O556" s="27">
        <v>46063</v>
      </c>
    </row>
    <row r="557" spans="2:15" hidden="1" x14ac:dyDescent="0.3">
      <c r="B557">
        <v>18731282</v>
      </c>
      <c r="C557" t="s">
        <v>231</v>
      </c>
      <c r="D557">
        <v>40901</v>
      </c>
      <c r="E557" t="s">
        <v>150</v>
      </c>
      <c r="F557" t="s">
        <v>263</v>
      </c>
      <c r="G557" s="28">
        <v>288</v>
      </c>
      <c r="H557" s="32">
        <v>21.66</v>
      </c>
      <c r="I557" s="32">
        <v>3979.91</v>
      </c>
      <c r="J557" t="s">
        <v>239</v>
      </c>
      <c r="K557" t="s">
        <v>245</v>
      </c>
      <c r="L557" t="s">
        <v>235</v>
      </c>
      <c r="M557" t="s">
        <v>236</v>
      </c>
      <c r="N557" t="s">
        <v>237</v>
      </c>
      <c r="O557" s="27">
        <v>46055</v>
      </c>
    </row>
    <row r="558" spans="2:15" hidden="1" x14ac:dyDescent="0.3">
      <c r="B558">
        <v>2495068</v>
      </c>
      <c r="C558" t="s">
        <v>231</v>
      </c>
      <c r="D558">
        <v>69493</v>
      </c>
      <c r="E558" t="s">
        <v>150</v>
      </c>
      <c r="F558" t="s">
        <v>369</v>
      </c>
      <c r="G558" s="28">
        <v>60</v>
      </c>
      <c r="H558" s="32">
        <v>21.53</v>
      </c>
      <c r="I558" s="32">
        <v>3101.2</v>
      </c>
      <c r="J558" t="s">
        <v>239</v>
      </c>
      <c r="K558" t="s">
        <v>245</v>
      </c>
      <c r="L558" t="s">
        <v>235</v>
      </c>
      <c r="M558" t="s">
        <v>236</v>
      </c>
      <c r="N558" t="s">
        <v>240</v>
      </c>
      <c r="O558" s="27">
        <v>46055</v>
      </c>
    </row>
    <row r="559" spans="2:15" hidden="1" x14ac:dyDescent="0.3">
      <c r="B559">
        <v>11493548</v>
      </c>
      <c r="C559" t="s">
        <v>231</v>
      </c>
      <c r="D559">
        <v>38517</v>
      </c>
      <c r="E559" t="s">
        <v>150</v>
      </c>
      <c r="F559" t="s">
        <v>298</v>
      </c>
      <c r="G559" s="28">
        <v>113</v>
      </c>
      <c r="H559" s="32">
        <v>21.51</v>
      </c>
      <c r="I559" s="32">
        <v>1967.61</v>
      </c>
      <c r="J559" t="s">
        <v>239</v>
      </c>
      <c r="K559" t="s">
        <v>245</v>
      </c>
      <c r="L559" t="s">
        <v>235</v>
      </c>
      <c r="M559" t="s">
        <v>236</v>
      </c>
      <c r="N559" t="s">
        <v>237</v>
      </c>
      <c r="O559" s="27">
        <v>46063</v>
      </c>
    </row>
    <row r="560" spans="2:15" hidden="1" x14ac:dyDescent="0.3">
      <c r="B560">
        <v>11824888</v>
      </c>
      <c r="C560" t="s">
        <v>231</v>
      </c>
      <c r="D560">
        <v>71881</v>
      </c>
      <c r="E560" t="s">
        <v>150</v>
      </c>
      <c r="F560" t="s">
        <v>369</v>
      </c>
      <c r="G560" s="28">
        <v>126</v>
      </c>
      <c r="H560" s="32">
        <v>21.48</v>
      </c>
      <c r="I560" s="32">
        <v>6943.29</v>
      </c>
      <c r="J560" t="s">
        <v>239</v>
      </c>
      <c r="K560" t="s">
        <v>245</v>
      </c>
      <c r="L560" t="s">
        <v>235</v>
      </c>
      <c r="M560" t="s">
        <v>236</v>
      </c>
      <c r="N560" t="s">
        <v>240</v>
      </c>
      <c r="O560" s="27">
        <v>46063</v>
      </c>
    </row>
    <row r="561" spans="2:15" hidden="1" x14ac:dyDescent="0.3">
      <c r="B561">
        <v>18731282</v>
      </c>
      <c r="C561" t="s">
        <v>231</v>
      </c>
      <c r="D561">
        <v>40901</v>
      </c>
      <c r="E561" t="s">
        <v>150</v>
      </c>
      <c r="F561" t="s">
        <v>164</v>
      </c>
      <c r="G561" s="28">
        <v>86</v>
      </c>
      <c r="H561" s="32">
        <v>21.45</v>
      </c>
      <c r="I561" s="32">
        <v>3941.41</v>
      </c>
      <c r="J561" t="s">
        <v>239</v>
      </c>
      <c r="K561" t="s">
        <v>245</v>
      </c>
      <c r="L561" t="s">
        <v>235</v>
      </c>
      <c r="M561" t="s">
        <v>236</v>
      </c>
      <c r="N561" t="s">
        <v>237</v>
      </c>
      <c r="O561" s="27">
        <v>46055</v>
      </c>
    </row>
    <row r="562" spans="2:15" hidden="1" x14ac:dyDescent="0.3">
      <c r="B562">
        <v>2632292</v>
      </c>
      <c r="C562" t="s">
        <v>231</v>
      </c>
      <c r="D562">
        <v>69519</v>
      </c>
      <c r="E562" t="s">
        <v>150</v>
      </c>
      <c r="F562" t="s">
        <v>335</v>
      </c>
      <c r="G562" s="28">
        <v>25</v>
      </c>
      <c r="H562" s="32">
        <v>21.44</v>
      </c>
      <c r="I562" s="32">
        <v>3842.25</v>
      </c>
      <c r="J562" t="s">
        <v>330</v>
      </c>
      <c r="K562" t="s">
        <v>234</v>
      </c>
      <c r="L562" t="s">
        <v>235</v>
      </c>
      <c r="M562" t="s">
        <v>236</v>
      </c>
      <c r="N562" t="s">
        <v>237</v>
      </c>
      <c r="O562" s="27">
        <v>46073</v>
      </c>
    </row>
    <row r="563" spans="2:15" hidden="1" x14ac:dyDescent="0.3">
      <c r="B563">
        <v>6859448</v>
      </c>
      <c r="C563" t="s">
        <v>231</v>
      </c>
      <c r="D563">
        <v>25619</v>
      </c>
      <c r="E563" t="s">
        <v>150</v>
      </c>
      <c r="F563" t="s">
        <v>349</v>
      </c>
      <c r="G563" s="28">
        <v>80</v>
      </c>
      <c r="H563" s="32">
        <v>21.43</v>
      </c>
      <c r="I563" s="32">
        <v>4077.6</v>
      </c>
      <c r="J563" t="s">
        <v>330</v>
      </c>
      <c r="K563" t="s">
        <v>234</v>
      </c>
      <c r="L563" t="s">
        <v>235</v>
      </c>
      <c r="M563" t="s">
        <v>236</v>
      </c>
      <c r="N563" t="s">
        <v>240</v>
      </c>
      <c r="O563" s="27">
        <v>46064</v>
      </c>
    </row>
    <row r="564" spans="2:15" hidden="1" x14ac:dyDescent="0.3">
      <c r="B564">
        <v>3824485</v>
      </c>
      <c r="C564" t="s">
        <v>260</v>
      </c>
      <c r="D564">
        <v>69579</v>
      </c>
      <c r="E564" t="s">
        <v>150</v>
      </c>
      <c r="F564" t="s">
        <v>320</v>
      </c>
      <c r="G564" s="28">
        <v>40</v>
      </c>
      <c r="H564" s="32">
        <v>21.41</v>
      </c>
      <c r="I564" s="32">
        <v>1643.5</v>
      </c>
      <c r="J564" t="s">
        <v>239</v>
      </c>
      <c r="K564" t="s">
        <v>245</v>
      </c>
      <c r="L564" t="s">
        <v>235</v>
      </c>
      <c r="M564" t="s">
        <v>236</v>
      </c>
      <c r="N564" t="s">
        <v>240</v>
      </c>
      <c r="O564" s="27">
        <v>46072</v>
      </c>
    </row>
    <row r="565" spans="2:15" hidden="1" x14ac:dyDescent="0.3">
      <c r="B565">
        <v>250134</v>
      </c>
      <c r="C565" t="s">
        <v>231</v>
      </c>
      <c r="D565">
        <v>22674</v>
      </c>
      <c r="E565" t="s">
        <v>150</v>
      </c>
      <c r="F565" t="s">
        <v>163</v>
      </c>
      <c r="G565" s="28">
        <v>126</v>
      </c>
      <c r="H565" s="32">
        <v>21.37</v>
      </c>
      <c r="I565" s="32">
        <v>1759.06</v>
      </c>
      <c r="J565" t="s">
        <v>239</v>
      </c>
      <c r="K565" t="s">
        <v>245</v>
      </c>
      <c r="L565" t="s">
        <v>235</v>
      </c>
      <c r="M565" t="s">
        <v>236</v>
      </c>
      <c r="N565" t="s">
        <v>237</v>
      </c>
      <c r="O565" s="27">
        <v>46063</v>
      </c>
    </row>
    <row r="566" spans="2:15" hidden="1" x14ac:dyDescent="0.3">
      <c r="B566">
        <v>307208</v>
      </c>
      <c r="C566" t="s">
        <v>231</v>
      </c>
      <c r="D566">
        <v>25619</v>
      </c>
      <c r="E566" t="s">
        <v>150</v>
      </c>
      <c r="F566" t="s">
        <v>246</v>
      </c>
      <c r="G566" s="28">
        <v>116</v>
      </c>
      <c r="H566" s="32">
        <v>21.36</v>
      </c>
      <c r="I566" s="32">
        <v>4309.25</v>
      </c>
      <c r="J566" t="s">
        <v>239</v>
      </c>
      <c r="K566" t="s">
        <v>245</v>
      </c>
      <c r="L566" t="s">
        <v>235</v>
      </c>
      <c r="M566" t="s">
        <v>236</v>
      </c>
      <c r="N566" t="s">
        <v>237</v>
      </c>
      <c r="O566" s="27">
        <v>46063</v>
      </c>
    </row>
    <row r="567" spans="2:15" hidden="1" x14ac:dyDescent="0.3">
      <c r="B567">
        <v>284340</v>
      </c>
      <c r="C567" t="s">
        <v>260</v>
      </c>
      <c r="D567">
        <v>23410</v>
      </c>
      <c r="E567" t="s">
        <v>150</v>
      </c>
      <c r="F567" t="s">
        <v>258</v>
      </c>
      <c r="G567" s="28">
        <v>183</v>
      </c>
      <c r="H567" s="32">
        <v>21.33</v>
      </c>
      <c r="I567" s="32">
        <v>1978.93</v>
      </c>
      <c r="J567" t="s">
        <v>239</v>
      </c>
      <c r="K567" t="s">
        <v>245</v>
      </c>
      <c r="L567" t="s">
        <v>235</v>
      </c>
      <c r="M567" t="s">
        <v>236</v>
      </c>
      <c r="N567" t="s">
        <v>240</v>
      </c>
      <c r="O567" s="27">
        <v>46055</v>
      </c>
    </row>
    <row r="568" spans="2:15" hidden="1" x14ac:dyDescent="0.3">
      <c r="B568">
        <v>2390017</v>
      </c>
      <c r="C568" t="s">
        <v>231</v>
      </c>
      <c r="D568">
        <v>69493</v>
      </c>
      <c r="E568" t="s">
        <v>150</v>
      </c>
      <c r="F568" t="s">
        <v>369</v>
      </c>
      <c r="G568" s="28">
        <v>59</v>
      </c>
      <c r="H568" s="32">
        <v>21.3</v>
      </c>
      <c r="I568" s="32">
        <v>3049.51</v>
      </c>
      <c r="J568" t="s">
        <v>239</v>
      </c>
      <c r="K568" t="s">
        <v>245</v>
      </c>
      <c r="L568" t="s">
        <v>235</v>
      </c>
      <c r="M568" t="s">
        <v>236</v>
      </c>
      <c r="N568" t="s">
        <v>240</v>
      </c>
      <c r="O568" s="27">
        <v>46055</v>
      </c>
    </row>
    <row r="569" spans="2:15" hidden="1" x14ac:dyDescent="0.3">
      <c r="B569">
        <v>18731282</v>
      </c>
      <c r="C569" t="s">
        <v>231</v>
      </c>
      <c r="D569">
        <v>40901</v>
      </c>
      <c r="E569" t="s">
        <v>150</v>
      </c>
      <c r="F569" t="s">
        <v>276</v>
      </c>
      <c r="G569" s="28">
        <v>129</v>
      </c>
      <c r="H569" s="32">
        <v>21.25</v>
      </c>
      <c r="I569" s="32">
        <v>3905.7</v>
      </c>
      <c r="J569" t="s">
        <v>239</v>
      </c>
      <c r="K569" t="s">
        <v>245</v>
      </c>
      <c r="L569" t="s">
        <v>235</v>
      </c>
      <c r="M569" t="s">
        <v>236</v>
      </c>
      <c r="N569" t="s">
        <v>237</v>
      </c>
      <c r="O569" s="27">
        <v>46055</v>
      </c>
    </row>
    <row r="570" spans="2:15" hidden="1" x14ac:dyDescent="0.3">
      <c r="B570">
        <v>4375042</v>
      </c>
      <c r="C570" t="s">
        <v>231</v>
      </c>
      <c r="D570">
        <v>25619</v>
      </c>
      <c r="E570" t="s">
        <v>150</v>
      </c>
      <c r="F570" t="s">
        <v>246</v>
      </c>
      <c r="G570" s="28">
        <v>102</v>
      </c>
      <c r="H570" s="32">
        <v>21.23</v>
      </c>
      <c r="I570" s="32">
        <v>3873.81</v>
      </c>
      <c r="J570" t="s">
        <v>239</v>
      </c>
      <c r="K570" t="s">
        <v>245</v>
      </c>
      <c r="L570" t="s">
        <v>235</v>
      </c>
      <c r="M570" t="s">
        <v>236</v>
      </c>
      <c r="N570" t="s">
        <v>240</v>
      </c>
      <c r="O570" s="27">
        <v>46072</v>
      </c>
    </row>
    <row r="571" spans="2:15" hidden="1" x14ac:dyDescent="0.3">
      <c r="B571">
        <v>9850540</v>
      </c>
      <c r="C571" t="s">
        <v>231</v>
      </c>
      <c r="D571">
        <v>23648</v>
      </c>
      <c r="E571" t="s">
        <v>150</v>
      </c>
      <c r="F571" t="s">
        <v>296</v>
      </c>
      <c r="G571" s="28">
        <v>100</v>
      </c>
      <c r="H571" s="32">
        <v>21.2</v>
      </c>
      <c r="I571" s="32">
        <v>3786</v>
      </c>
      <c r="J571" t="s">
        <v>239</v>
      </c>
      <c r="K571" t="s">
        <v>234</v>
      </c>
      <c r="L571" t="s">
        <v>235</v>
      </c>
      <c r="M571" t="s">
        <v>236</v>
      </c>
      <c r="N571" t="s">
        <v>240</v>
      </c>
      <c r="O571" s="27">
        <v>46058</v>
      </c>
    </row>
    <row r="572" spans="2:15" hidden="1" x14ac:dyDescent="0.3">
      <c r="B572">
        <v>2084946</v>
      </c>
      <c r="C572" t="s">
        <v>231</v>
      </c>
      <c r="D572">
        <v>69493</v>
      </c>
      <c r="E572" t="s">
        <v>150</v>
      </c>
      <c r="F572" t="s">
        <v>369</v>
      </c>
      <c r="G572" s="28">
        <v>59</v>
      </c>
      <c r="H572" s="32">
        <v>21.19</v>
      </c>
      <c r="I572" s="32">
        <v>3049.51</v>
      </c>
      <c r="J572" t="s">
        <v>239</v>
      </c>
      <c r="K572" t="s">
        <v>245</v>
      </c>
      <c r="L572" t="s">
        <v>235</v>
      </c>
      <c r="M572" t="s">
        <v>236</v>
      </c>
      <c r="N572" t="s">
        <v>240</v>
      </c>
      <c r="O572" s="27">
        <v>46055</v>
      </c>
    </row>
    <row r="573" spans="2:15" hidden="1" x14ac:dyDescent="0.3">
      <c r="B573">
        <v>2632292</v>
      </c>
      <c r="C573" t="s">
        <v>231</v>
      </c>
      <c r="D573">
        <v>69519</v>
      </c>
      <c r="E573" t="s">
        <v>150</v>
      </c>
      <c r="F573" t="s">
        <v>246</v>
      </c>
      <c r="G573" s="28">
        <v>100</v>
      </c>
      <c r="H573" s="32">
        <v>21.11</v>
      </c>
      <c r="I573" s="32">
        <v>3783</v>
      </c>
      <c r="J573" t="s">
        <v>239</v>
      </c>
      <c r="K573" t="s">
        <v>234</v>
      </c>
      <c r="L573" t="s">
        <v>235</v>
      </c>
      <c r="M573" t="s">
        <v>236</v>
      </c>
      <c r="N573" t="s">
        <v>237</v>
      </c>
      <c r="O573" s="27">
        <v>46073</v>
      </c>
    </row>
    <row r="574" spans="2:15" hidden="1" x14ac:dyDescent="0.3">
      <c r="B574">
        <v>15974702</v>
      </c>
      <c r="C574" t="s">
        <v>260</v>
      </c>
      <c r="D574">
        <v>25619</v>
      </c>
      <c r="E574" t="s">
        <v>150</v>
      </c>
      <c r="F574" t="s">
        <v>340</v>
      </c>
      <c r="G574" s="28">
        <v>67</v>
      </c>
      <c r="H574" s="32">
        <v>21.11</v>
      </c>
      <c r="I574" s="32">
        <v>3973.77</v>
      </c>
      <c r="J574" t="s">
        <v>330</v>
      </c>
      <c r="K574" t="s">
        <v>234</v>
      </c>
      <c r="L574" t="s">
        <v>235</v>
      </c>
      <c r="M574" t="s">
        <v>236</v>
      </c>
      <c r="N574" t="s">
        <v>237</v>
      </c>
      <c r="O574" s="27">
        <v>46064</v>
      </c>
    </row>
    <row r="575" spans="2:15" hidden="1" x14ac:dyDescent="0.3">
      <c r="B575">
        <v>3953521</v>
      </c>
      <c r="C575" t="s">
        <v>231</v>
      </c>
      <c r="D575">
        <v>38517</v>
      </c>
      <c r="E575" t="s">
        <v>150</v>
      </c>
      <c r="F575" t="s">
        <v>163</v>
      </c>
      <c r="G575" s="28">
        <v>127</v>
      </c>
      <c r="H575" s="32">
        <v>21.1</v>
      </c>
      <c r="I575" s="32">
        <v>1772.95</v>
      </c>
      <c r="J575" t="s">
        <v>239</v>
      </c>
      <c r="K575" t="s">
        <v>245</v>
      </c>
      <c r="L575" t="s">
        <v>235</v>
      </c>
      <c r="M575" t="s">
        <v>236</v>
      </c>
      <c r="N575" t="s">
        <v>237</v>
      </c>
      <c r="O575" s="27">
        <v>46063</v>
      </c>
    </row>
    <row r="576" spans="2:15" hidden="1" x14ac:dyDescent="0.3">
      <c r="B576">
        <v>3409614</v>
      </c>
      <c r="C576" t="s">
        <v>231</v>
      </c>
      <c r="D576">
        <v>71881</v>
      </c>
      <c r="E576" t="s">
        <v>150</v>
      </c>
      <c r="F576" t="s">
        <v>163</v>
      </c>
      <c r="G576" s="28">
        <v>126</v>
      </c>
      <c r="H576" s="32">
        <v>21.02</v>
      </c>
      <c r="I576" s="32">
        <v>1759.06</v>
      </c>
      <c r="J576" t="s">
        <v>239</v>
      </c>
      <c r="K576" t="s">
        <v>245</v>
      </c>
      <c r="L576" t="s">
        <v>235</v>
      </c>
      <c r="M576" t="s">
        <v>236</v>
      </c>
      <c r="N576" t="s">
        <v>237</v>
      </c>
      <c r="O576" s="27">
        <v>46063</v>
      </c>
    </row>
    <row r="577" spans="2:15" hidden="1" x14ac:dyDescent="0.3">
      <c r="B577">
        <v>18731282</v>
      </c>
      <c r="C577" t="s">
        <v>231</v>
      </c>
      <c r="D577">
        <v>40901</v>
      </c>
      <c r="E577" t="s">
        <v>150</v>
      </c>
      <c r="F577" t="s">
        <v>246</v>
      </c>
      <c r="G577" s="28">
        <v>104</v>
      </c>
      <c r="H577" s="32">
        <v>20.91</v>
      </c>
      <c r="I577" s="32">
        <v>3842.67</v>
      </c>
      <c r="J577" t="s">
        <v>239</v>
      </c>
      <c r="K577" t="s">
        <v>245</v>
      </c>
      <c r="L577" t="s">
        <v>235</v>
      </c>
      <c r="M577" t="s">
        <v>236</v>
      </c>
      <c r="N577" t="s">
        <v>237</v>
      </c>
      <c r="O577" s="27">
        <v>46055</v>
      </c>
    </row>
    <row r="578" spans="2:15" x14ac:dyDescent="0.3">
      <c r="B578">
        <v>5658854</v>
      </c>
      <c r="C578" t="s">
        <v>231</v>
      </c>
      <c r="D578">
        <v>22103</v>
      </c>
      <c r="E578" t="s">
        <v>150</v>
      </c>
      <c r="F578" t="s">
        <v>320</v>
      </c>
      <c r="G578" s="28">
        <v>100</v>
      </c>
      <c r="H578" s="32">
        <v>20.8</v>
      </c>
      <c r="I578" s="32">
        <v>4140</v>
      </c>
      <c r="J578" t="s">
        <v>239</v>
      </c>
      <c r="K578" t="s">
        <v>234</v>
      </c>
      <c r="L578" t="s">
        <v>235</v>
      </c>
      <c r="M578" t="s">
        <v>236</v>
      </c>
      <c r="N578" t="s">
        <v>240</v>
      </c>
      <c r="O578" s="27">
        <v>46076</v>
      </c>
    </row>
    <row r="579" spans="2:15" hidden="1" x14ac:dyDescent="0.3">
      <c r="B579">
        <v>18872460</v>
      </c>
      <c r="C579" t="s">
        <v>231</v>
      </c>
      <c r="D579">
        <v>74304</v>
      </c>
      <c r="E579" t="s">
        <v>150</v>
      </c>
      <c r="F579" t="s">
        <v>246</v>
      </c>
      <c r="G579" s="28">
        <v>108</v>
      </c>
      <c r="H579" s="32">
        <v>20.77</v>
      </c>
      <c r="I579" s="32">
        <v>3989.96</v>
      </c>
      <c r="J579" t="s">
        <v>239</v>
      </c>
      <c r="K579" t="s">
        <v>245</v>
      </c>
      <c r="L579" t="s">
        <v>235</v>
      </c>
      <c r="M579" t="s">
        <v>236</v>
      </c>
      <c r="N579" t="s">
        <v>240</v>
      </c>
      <c r="O579" s="27">
        <v>46055</v>
      </c>
    </row>
    <row r="580" spans="2:15" hidden="1" x14ac:dyDescent="0.3">
      <c r="B580">
        <v>4382412</v>
      </c>
      <c r="C580" t="s">
        <v>231</v>
      </c>
      <c r="D580">
        <v>49894</v>
      </c>
      <c r="E580" t="s">
        <v>150</v>
      </c>
      <c r="F580" t="s">
        <v>345</v>
      </c>
      <c r="G580" s="28">
        <v>82</v>
      </c>
      <c r="H580" s="32">
        <v>20.65</v>
      </c>
      <c r="I580" s="32">
        <v>3880.26</v>
      </c>
      <c r="J580" t="s">
        <v>330</v>
      </c>
      <c r="K580" t="s">
        <v>234</v>
      </c>
      <c r="L580" t="s">
        <v>235</v>
      </c>
      <c r="M580" t="s">
        <v>236</v>
      </c>
      <c r="N580" t="s">
        <v>240</v>
      </c>
      <c r="O580" s="27">
        <v>46076</v>
      </c>
    </row>
    <row r="581" spans="2:15" hidden="1" x14ac:dyDescent="0.3">
      <c r="B581">
        <v>4339096</v>
      </c>
      <c r="C581" t="s">
        <v>231</v>
      </c>
      <c r="D581">
        <v>25619</v>
      </c>
      <c r="E581" t="s">
        <v>150</v>
      </c>
      <c r="F581" t="s">
        <v>298</v>
      </c>
      <c r="G581" s="28">
        <v>106</v>
      </c>
      <c r="H581" s="32">
        <v>20.58</v>
      </c>
      <c r="I581" s="32">
        <v>1845.66</v>
      </c>
      <c r="J581" t="s">
        <v>239</v>
      </c>
      <c r="K581" t="s">
        <v>245</v>
      </c>
      <c r="L581" t="s">
        <v>235</v>
      </c>
      <c r="M581" t="s">
        <v>236</v>
      </c>
      <c r="N581" t="s">
        <v>237</v>
      </c>
      <c r="O581" s="27">
        <v>46063</v>
      </c>
    </row>
    <row r="582" spans="2:15" hidden="1" x14ac:dyDescent="0.3">
      <c r="B582">
        <v>284340</v>
      </c>
      <c r="C582" t="s">
        <v>260</v>
      </c>
      <c r="D582">
        <v>23410</v>
      </c>
      <c r="E582" t="s">
        <v>150</v>
      </c>
      <c r="F582" t="s">
        <v>289</v>
      </c>
      <c r="G582" s="28">
        <v>89</v>
      </c>
      <c r="H582" s="32">
        <v>20.57</v>
      </c>
      <c r="I582" s="32">
        <v>1912.25</v>
      </c>
      <c r="J582" t="s">
        <v>239</v>
      </c>
      <c r="K582" t="s">
        <v>245</v>
      </c>
      <c r="L582" t="s">
        <v>235</v>
      </c>
      <c r="M582" t="s">
        <v>236</v>
      </c>
      <c r="N582" t="s">
        <v>237</v>
      </c>
      <c r="O582" s="27">
        <v>46055</v>
      </c>
    </row>
    <row r="583" spans="2:15" hidden="1" x14ac:dyDescent="0.3">
      <c r="B583">
        <v>4382412</v>
      </c>
      <c r="C583" t="s">
        <v>231</v>
      </c>
      <c r="D583">
        <v>49894</v>
      </c>
      <c r="E583" t="s">
        <v>150</v>
      </c>
      <c r="F583" t="s">
        <v>246</v>
      </c>
      <c r="G583" s="28">
        <v>100</v>
      </c>
      <c r="H583" s="32">
        <v>20.52</v>
      </c>
      <c r="I583" s="32">
        <v>3856</v>
      </c>
      <c r="J583" t="s">
        <v>239</v>
      </c>
      <c r="K583" t="s">
        <v>234</v>
      </c>
      <c r="L583" t="s">
        <v>235</v>
      </c>
      <c r="M583" t="s">
        <v>236</v>
      </c>
      <c r="N583" t="s">
        <v>240</v>
      </c>
      <c r="O583" s="27">
        <v>46076</v>
      </c>
    </row>
    <row r="584" spans="2:15" hidden="1" x14ac:dyDescent="0.3">
      <c r="B584">
        <v>15947590</v>
      </c>
      <c r="C584" t="s">
        <v>231</v>
      </c>
      <c r="D584">
        <v>69519</v>
      </c>
      <c r="E584" t="s">
        <v>150</v>
      </c>
      <c r="F584" t="s">
        <v>163</v>
      </c>
      <c r="G584" s="28">
        <v>120</v>
      </c>
      <c r="H584" s="32">
        <v>20.49</v>
      </c>
      <c r="I584" s="32">
        <v>1675.31</v>
      </c>
      <c r="J584" t="s">
        <v>239</v>
      </c>
      <c r="K584" t="s">
        <v>245</v>
      </c>
      <c r="L584" t="s">
        <v>235</v>
      </c>
      <c r="M584" t="s">
        <v>236</v>
      </c>
      <c r="N584" t="s">
        <v>237</v>
      </c>
      <c r="O584" s="27">
        <v>46063</v>
      </c>
    </row>
    <row r="585" spans="2:15" hidden="1" x14ac:dyDescent="0.3">
      <c r="B585">
        <v>2922242</v>
      </c>
      <c r="C585" t="s">
        <v>260</v>
      </c>
      <c r="D585">
        <v>69519</v>
      </c>
      <c r="E585" t="s">
        <v>150</v>
      </c>
      <c r="F585" t="s">
        <v>277</v>
      </c>
      <c r="G585" s="28">
        <v>100</v>
      </c>
      <c r="H585" s="32">
        <v>20.39</v>
      </c>
      <c r="I585" s="32">
        <v>3791</v>
      </c>
      <c r="J585" t="s">
        <v>239</v>
      </c>
      <c r="K585" t="s">
        <v>234</v>
      </c>
      <c r="L585" t="s">
        <v>235</v>
      </c>
      <c r="M585" t="s">
        <v>236</v>
      </c>
      <c r="N585" t="s">
        <v>237</v>
      </c>
      <c r="O585" s="27">
        <v>46062</v>
      </c>
    </row>
    <row r="586" spans="2:15" hidden="1" x14ac:dyDescent="0.3">
      <c r="B586">
        <v>2727239</v>
      </c>
      <c r="C586" t="s">
        <v>231</v>
      </c>
      <c r="D586">
        <v>21559</v>
      </c>
      <c r="E586" t="s">
        <v>150</v>
      </c>
      <c r="F586" t="s">
        <v>163</v>
      </c>
      <c r="G586" s="28">
        <v>119</v>
      </c>
      <c r="H586" s="32">
        <v>20.34</v>
      </c>
      <c r="I586" s="32">
        <v>1661.25</v>
      </c>
      <c r="J586" t="s">
        <v>239</v>
      </c>
      <c r="K586" t="s">
        <v>245</v>
      </c>
      <c r="L586" t="s">
        <v>235</v>
      </c>
      <c r="M586" t="s">
        <v>236</v>
      </c>
      <c r="N586" t="s">
        <v>237</v>
      </c>
      <c r="O586" s="27">
        <v>46063</v>
      </c>
    </row>
    <row r="587" spans="2:15" hidden="1" x14ac:dyDescent="0.3">
      <c r="B587">
        <v>18731282</v>
      </c>
      <c r="C587" t="s">
        <v>231</v>
      </c>
      <c r="D587">
        <v>40901</v>
      </c>
      <c r="E587" t="s">
        <v>150</v>
      </c>
      <c r="F587" t="s">
        <v>160</v>
      </c>
      <c r="G587" s="28">
        <v>44</v>
      </c>
      <c r="H587" s="32">
        <v>20.32</v>
      </c>
      <c r="I587" s="32">
        <v>3733.53</v>
      </c>
      <c r="J587" t="s">
        <v>239</v>
      </c>
      <c r="K587" t="s">
        <v>245</v>
      </c>
      <c r="L587" t="s">
        <v>235</v>
      </c>
      <c r="M587" t="s">
        <v>236</v>
      </c>
      <c r="N587" t="s">
        <v>237</v>
      </c>
      <c r="O587" s="27">
        <v>46055</v>
      </c>
    </row>
    <row r="588" spans="2:15" hidden="1" x14ac:dyDescent="0.3">
      <c r="B588">
        <v>4382412</v>
      </c>
      <c r="C588" t="s">
        <v>231</v>
      </c>
      <c r="D588">
        <v>49894</v>
      </c>
      <c r="E588" t="s">
        <v>150</v>
      </c>
      <c r="F588" t="s">
        <v>361</v>
      </c>
      <c r="G588" s="28">
        <v>99</v>
      </c>
      <c r="H588" s="32">
        <v>20.309999999999999</v>
      </c>
      <c r="I588" s="32">
        <v>3816.49</v>
      </c>
      <c r="J588" t="s">
        <v>330</v>
      </c>
      <c r="K588" t="s">
        <v>234</v>
      </c>
      <c r="L588" t="s">
        <v>235</v>
      </c>
      <c r="M588" t="s">
        <v>236</v>
      </c>
      <c r="N588" t="s">
        <v>240</v>
      </c>
      <c r="O588" s="27">
        <v>46076</v>
      </c>
    </row>
    <row r="589" spans="2:15" hidden="1" x14ac:dyDescent="0.3">
      <c r="B589">
        <v>15518055</v>
      </c>
      <c r="C589" t="s">
        <v>231</v>
      </c>
      <c r="D589">
        <v>22674</v>
      </c>
      <c r="E589" t="s">
        <v>150</v>
      </c>
      <c r="F589" t="s">
        <v>298</v>
      </c>
      <c r="G589" s="28">
        <v>119</v>
      </c>
      <c r="H589" s="32">
        <v>20.3</v>
      </c>
      <c r="I589" s="32">
        <v>2072.0100000000002</v>
      </c>
      <c r="J589" t="s">
        <v>239</v>
      </c>
      <c r="K589" t="s">
        <v>245</v>
      </c>
      <c r="L589" t="s">
        <v>235</v>
      </c>
      <c r="M589" t="s">
        <v>236</v>
      </c>
      <c r="N589" t="s">
        <v>237</v>
      </c>
      <c r="O589" s="27">
        <v>46063</v>
      </c>
    </row>
    <row r="590" spans="2:15" hidden="1" x14ac:dyDescent="0.3">
      <c r="B590">
        <v>3430907</v>
      </c>
      <c r="C590" t="s">
        <v>260</v>
      </c>
      <c r="D590">
        <v>21468</v>
      </c>
      <c r="E590" t="s">
        <v>150</v>
      </c>
      <c r="F590" t="s">
        <v>298</v>
      </c>
      <c r="G590" s="28">
        <v>104</v>
      </c>
      <c r="H590" s="32">
        <v>20.29</v>
      </c>
      <c r="I590" s="32">
        <v>1810.74</v>
      </c>
      <c r="J590" t="s">
        <v>239</v>
      </c>
      <c r="K590" t="s">
        <v>245</v>
      </c>
      <c r="L590" t="s">
        <v>235</v>
      </c>
      <c r="M590" t="s">
        <v>236</v>
      </c>
      <c r="N590" t="s">
        <v>237</v>
      </c>
      <c r="O590" s="27">
        <v>46063</v>
      </c>
    </row>
    <row r="591" spans="2:15" hidden="1" x14ac:dyDescent="0.3">
      <c r="B591">
        <v>4375042</v>
      </c>
      <c r="C591" t="s">
        <v>231</v>
      </c>
      <c r="D591">
        <v>25619</v>
      </c>
      <c r="E591" t="s">
        <v>150</v>
      </c>
      <c r="F591" t="s">
        <v>243</v>
      </c>
      <c r="G591" s="28">
        <v>131</v>
      </c>
      <c r="H591" s="32">
        <v>20.21</v>
      </c>
      <c r="I591" s="32">
        <v>3550.56</v>
      </c>
      <c r="J591" t="s">
        <v>239</v>
      </c>
      <c r="K591" t="s">
        <v>245</v>
      </c>
      <c r="L591" t="s">
        <v>235</v>
      </c>
      <c r="M591" t="s">
        <v>236</v>
      </c>
      <c r="N591" t="s">
        <v>240</v>
      </c>
      <c r="O591" s="27">
        <v>46072</v>
      </c>
    </row>
    <row r="592" spans="2:15" hidden="1" x14ac:dyDescent="0.3">
      <c r="B592">
        <v>4375042</v>
      </c>
      <c r="C592" t="s">
        <v>231</v>
      </c>
      <c r="D592">
        <v>25619</v>
      </c>
      <c r="E592" t="s">
        <v>150</v>
      </c>
      <c r="F592" t="s">
        <v>298</v>
      </c>
      <c r="G592" s="28">
        <v>197</v>
      </c>
      <c r="H592" s="32">
        <v>20.2</v>
      </c>
      <c r="I592" s="32">
        <v>3507.35</v>
      </c>
      <c r="J592" t="s">
        <v>239</v>
      </c>
      <c r="K592" t="s">
        <v>245</v>
      </c>
      <c r="L592" t="s">
        <v>235</v>
      </c>
      <c r="M592" t="s">
        <v>236</v>
      </c>
      <c r="N592" t="s">
        <v>240</v>
      </c>
      <c r="O592" s="27">
        <v>46072</v>
      </c>
    </row>
    <row r="593" spans="2:15" hidden="1" x14ac:dyDescent="0.3">
      <c r="B593">
        <v>9635202</v>
      </c>
      <c r="C593" t="s">
        <v>231</v>
      </c>
      <c r="D593">
        <v>71881</v>
      </c>
      <c r="E593" t="s">
        <v>150</v>
      </c>
      <c r="F593" t="s">
        <v>163</v>
      </c>
      <c r="G593" s="28">
        <v>120</v>
      </c>
      <c r="H593" s="32">
        <v>20.2</v>
      </c>
      <c r="I593" s="32">
        <v>1675.31</v>
      </c>
      <c r="J593" t="s">
        <v>239</v>
      </c>
      <c r="K593" t="s">
        <v>245</v>
      </c>
      <c r="L593" t="s">
        <v>235</v>
      </c>
      <c r="M593" t="s">
        <v>236</v>
      </c>
      <c r="N593" t="s">
        <v>237</v>
      </c>
      <c r="O593" s="27">
        <v>46063</v>
      </c>
    </row>
    <row r="594" spans="2:15" hidden="1" x14ac:dyDescent="0.3">
      <c r="B594">
        <v>2632292</v>
      </c>
      <c r="C594" t="s">
        <v>231</v>
      </c>
      <c r="D594">
        <v>69519</v>
      </c>
      <c r="E594" t="s">
        <v>150</v>
      </c>
      <c r="F594" t="s">
        <v>298</v>
      </c>
      <c r="G594" s="28">
        <v>200</v>
      </c>
      <c r="H594" s="32">
        <v>20.14</v>
      </c>
      <c r="I594" s="32">
        <v>3610</v>
      </c>
      <c r="J594" t="s">
        <v>239</v>
      </c>
      <c r="K594" t="s">
        <v>234</v>
      </c>
      <c r="L594" t="s">
        <v>235</v>
      </c>
      <c r="M594" t="s">
        <v>236</v>
      </c>
      <c r="N594" t="s">
        <v>237</v>
      </c>
      <c r="O594" s="27">
        <v>46073</v>
      </c>
    </row>
    <row r="595" spans="2:15" x14ac:dyDescent="0.3">
      <c r="B595">
        <v>4745805</v>
      </c>
      <c r="C595" t="s">
        <v>231</v>
      </c>
      <c r="D595">
        <v>22103</v>
      </c>
      <c r="E595" t="s">
        <v>150</v>
      </c>
      <c r="F595" t="s">
        <v>369</v>
      </c>
      <c r="G595" s="28">
        <v>97</v>
      </c>
      <c r="H595" s="32">
        <v>20.07</v>
      </c>
      <c r="I595" s="32">
        <v>5345.33</v>
      </c>
      <c r="J595" t="s">
        <v>239</v>
      </c>
      <c r="K595" t="s">
        <v>245</v>
      </c>
      <c r="L595" t="s">
        <v>235</v>
      </c>
      <c r="M595" t="s">
        <v>236</v>
      </c>
      <c r="N595" t="s">
        <v>240</v>
      </c>
      <c r="O595" s="27">
        <v>46063</v>
      </c>
    </row>
    <row r="596" spans="2:15" hidden="1" x14ac:dyDescent="0.3">
      <c r="B596">
        <v>2655884</v>
      </c>
      <c r="C596" t="s">
        <v>231</v>
      </c>
      <c r="D596">
        <v>96553</v>
      </c>
      <c r="E596" t="s">
        <v>150</v>
      </c>
      <c r="F596" t="s">
        <v>164</v>
      </c>
      <c r="G596" s="28">
        <v>73</v>
      </c>
      <c r="H596" s="32">
        <v>20.059999999999999</v>
      </c>
      <c r="I596" s="32">
        <v>3494.3</v>
      </c>
      <c r="J596" t="s">
        <v>239</v>
      </c>
      <c r="K596" t="s">
        <v>245</v>
      </c>
      <c r="L596" t="s">
        <v>235</v>
      </c>
      <c r="M596" t="s">
        <v>236</v>
      </c>
      <c r="N596" t="s">
        <v>237</v>
      </c>
      <c r="O596" s="27">
        <v>46062</v>
      </c>
    </row>
    <row r="597" spans="2:15" hidden="1" x14ac:dyDescent="0.3">
      <c r="B597">
        <v>2655884</v>
      </c>
      <c r="C597" t="s">
        <v>231</v>
      </c>
      <c r="D597">
        <v>96553</v>
      </c>
      <c r="E597" t="s">
        <v>150</v>
      </c>
      <c r="F597" t="s">
        <v>272</v>
      </c>
      <c r="G597" s="28">
        <v>544</v>
      </c>
      <c r="H597" s="32">
        <v>20.059999999999999</v>
      </c>
      <c r="I597" s="32">
        <v>3494.2</v>
      </c>
      <c r="J597" t="s">
        <v>239</v>
      </c>
      <c r="K597" t="s">
        <v>245</v>
      </c>
      <c r="L597" t="s">
        <v>235</v>
      </c>
      <c r="M597" t="s">
        <v>236</v>
      </c>
      <c r="N597" t="s">
        <v>237</v>
      </c>
      <c r="O597" s="27">
        <v>46062</v>
      </c>
    </row>
    <row r="598" spans="2:15" hidden="1" x14ac:dyDescent="0.3">
      <c r="B598">
        <v>2226658</v>
      </c>
      <c r="C598" t="s">
        <v>231</v>
      </c>
      <c r="D598">
        <v>27086</v>
      </c>
      <c r="E598" t="s">
        <v>150</v>
      </c>
      <c r="F598" t="s">
        <v>451</v>
      </c>
      <c r="G598" s="28">
        <v>50</v>
      </c>
      <c r="H598" s="32">
        <v>20</v>
      </c>
      <c r="I598" s="32">
        <v>927</v>
      </c>
      <c r="J598" t="s">
        <v>330</v>
      </c>
      <c r="K598" t="s">
        <v>270</v>
      </c>
      <c r="L598" t="s">
        <v>235</v>
      </c>
      <c r="M598" t="s">
        <v>236</v>
      </c>
      <c r="N598" t="s">
        <v>237</v>
      </c>
      <c r="O598" s="27">
        <v>46056</v>
      </c>
    </row>
    <row r="599" spans="2:15" hidden="1" x14ac:dyDescent="0.3">
      <c r="B599">
        <v>2046740</v>
      </c>
      <c r="C599" t="s">
        <v>231</v>
      </c>
      <c r="D599">
        <v>69579</v>
      </c>
      <c r="E599" t="s">
        <v>150</v>
      </c>
      <c r="F599" t="s">
        <v>460</v>
      </c>
      <c r="G599" s="28">
        <v>57</v>
      </c>
      <c r="H599" s="32">
        <v>20</v>
      </c>
      <c r="I599" s="32">
        <v>835.05</v>
      </c>
      <c r="J599" t="s">
        <v>330</v>
      </c>
      <c r="K599" t="s">
        <v>234</v>
      </c>
      <c r="L599" t="s">
        <v>235</v>
      </c>
      <c r="M599" t="s">
        <v>236</v>
      </c>
      <c r="N599" t="s">
        <v>237</v>
      </c>
      <c r="O599" s="27">
        <v>46063</v>
      </c>
    </row>
    <row r="600" spans="2:15" hidden="1" x14ac:dyDescent="0.3">
      <c r="B600">
        <v>7042740</v>
      </c>
      <c r="C600" t="s">
        <v>231</v>
      </c>
      <c r="D600">
        <v>25104</v>
      </c>
      <c r="E600" t="s">
        <v>150</v>
      </c>
      <c r="F600" t="s">
        <v>329</v>
      </c>
      <c r="G600" s="28">
        <v>10</v>
      </c>
      <c r="H600" s="32">
        <v>20</v>
      </c>
      <c r="I600" s="32">
        <v>874.64</v>
      </c>
      <c r="J600" t="s">
        <v>330</v>
      </c>
      <c r="K600" t="s">
        <v>234</v>
      </c>
      <c r="L600" t="s">
        <v>235</v>
      </c>
      <c r="M600" t="s">
        <v>236</v>
      </c>
      <c r="N600" t="s">
        <v>240</v>
      </c>
      <c r="O600" s="27">
        <v>46062</v>
      </c>
    </row>
    <row r="601" spans="2:15" hidden="1" x14ac:dyDescent="0.3">
      <c r="B601">
        <v>18702217</v>
      </c>
      <c r="C601" t="s">
        <v>260</v>
      </c>
      <c r="D601">
        <v>74304</v>
      </c>
      <c r="E601" t="s">
        <v>150</v>
      </c>
      <c r="F601" t="s">
        <v>345</v>
      </c>
      <c r="G601" s="28">
        <v>77</v>
      </c>
      <c r="H601" s="32">
        <v>19.940000000000001</v>
      </c>
      <c r="I601" s="32">
        <v>3769.14</v>
      </c>
      <c r="J601" t="s">
        <v>330</v>
      </c>
      <c r="K601" t="s">
        <v>234</v>
      </c>
      <c r="L601" t="s">
        <v>235</v>
      </c>
      <c r="M601" t="s">
        <v>236</v>
      </c>
      <c r="N601" t="s">
        <v>237</v>
      </c>
      <c r="O601" s="27">
        <v>46072</v>
      </c>
    </row>
    <row r="602" spans="2:15" hidden="1" x14ac:dyDescent="0.3">
      <c r="B602">
        <v>11409889</v>
      </c>
      <c r="C602" t="s">
        <v>231</v>
      </c>
      <c r="D602">
        <v>25104</v>
      </c>
      <c r="E602" t="s">
        <v>150</v>
      </c>
      <c r="F602" t="s">
        <v>167</v>
      </c>
      <c r="G602" s="28">
        <v>400</v>
      </c>
      <c r="H602" s="32">
        <v>19.920000000000002</v>
      </c>
      <c r="I602" s="32">
        <v>3764</v>
      </c>
      <c r="J602" t="s">
        <v>239</v>
      </c>
      <c r="K602" t="s">
        <v>234</v>
      </c>
      <c r="L602" t="s">
        <v>235</v>
      </c>
      <c r="M602" t="s">
        <v>236</v>
      </c>
      <c r="N602" t="s">
        <v>240</v>
      </c>
      <c r="O602" s="27">
        <v>46072</v>
      </c>
    </row>
    <row r="603" spans="2:15" hidden="1" x14ac:dyDescent="0.3">
      <c r="B603">
        <v>2655884</v>
      </c>
      <c r="C603" t="s">
        <v>231</v>
      </c>
      <c r="D603">
        <v>96553</v>
      </c>
      <c r="E603" t="s">
        <v>150</v>
      </c>
      <c r="F603" t="s">
        <v>263</v>
      </c>
      <c r="G603" s="28">
        <v>240</v>
      </c>
      <c r="H603" s="32">
        <v>19.91</v>
      </c>
      <c r="I603" s="32">
        <v>3468.36</v>
      </c>
      <c r="J603" t="s">
        <v>239</v>
      </c>
      <c r="K603" t="s">
        <v>245</v>
      </c>
      <c r="L603" t="s">
        <v>235</v>
      </c>
      <c r="M603" t="s">
        <v>236</v>
      </c>
      <c r="N603" t="s">
        <v>237</v>
      </c>
      <c r="O603" s="27">
        <v>46062</v>
      </c>
    </row>
    <row r="604" spans="2:15" hidden="1" x14ac:dyDescent="0.3">
      <c r="B604">
        <v>2340782</v>
      </c>
      <c r="C604" t="s">
        <v>231</v>
      </c>
      <c r="D604">
        <v>49894</v>
      </c>
      <c r="E604" t="s">
        <v>150</v>
      </c>
      <c r="F604" t="s">
        <v>298</v>
      </c>
      <c r="G604" s="28">
        <v>102</v>
      </c>
      <c r="H604" s="32">
        <v>19.89</v>
      </c>
      <c r="I604" s="32">
        <v>1775.96</v>
      </c>
      <c r="J604" t="s">
        <v>239</v>
      </c>
      <c r="K604" t="s">
        <v>245</v>
      </c>
      <c r="L604" t="s">
        <v>235</v>
      </c>
      <c r="M604" t="s">
        <v>236</v>
      </c>
      <c r="N604" t="s">
        <v>237</v>
      </c>
      <c r="O604" s="27">
        <v>46063</v>
      </c>
    </row>
    <row r="605" spans="2:15" hidden="1" x14ac:dyDescent="0.3">
      <c r="B605">
        <v>325473</v>
      </c>
      <c r="C605" t="s">
        <v>231</v>
      </c>
      <c r="D605">
        <v>22674</v>
      </c>
      <c r="E605" t="s">
        <v>150</v>
      </c>
      <c r="F605" t="s">
        <v>163</v>
      </c>
      <c r="G605" s="28">
        <v>116</v>
      </c>
      <c r="H605" s="32">
        <v>19.88</v>
      </c>
      <c r="I605" s="32">
        <v>1619.41</v>
      </c>
      <c r="J605" t="s">
        <v>239</v>
      </c>
      <c r="K605" t="s">
        <v>245</v>
      </c>
      <c r="L605" t="s">
        <v>235</v>
      </c>
      <c r="M605" t="s">
        <v>236</v>
      </c>
      <c r="N605" t="s">
        <v>237</v>
      </c>
      <c r="O605" s="27">
        <v>46063</v>
      </c>
    </row>
    <row r="606" spans="2:15" hidden="1" x14ac:dyDescent="0.3">
      <c r="B606">
        <v>3310896</v>
      </c>
      <c r="C606" t="s">
        <v>260</v>
      </c>
      <c r="D606">
        <v>21559</v>
      </c>
      <c r="E606" t="s">
        <v>150</v>
      </c>
      <c r="F606" t="s">
        <v>163</v>
      </c>
      <c r="G606" s="28">
        <v>96</v>
      </c>
      <c r="H606" s="32">
        <v>19.86</v>
      </c>
      <c r="I606" s="32">
        <v>1340.21</v>
      </c>
      <c r="J606" t="s">
        <v>239</v>
      </c>
      <c r="K606" t="s">
        <v>245</v>
      </c>
      <c r="L606" t="s">
        <v>235</v>
      </c>
      <c r="M606" t="s">
        <v>236</v>
      </c>
      <c r="N606" t="s">
        <v>237</v>
      </c>
      <c r="O606" s="27">
        <v>46063</v>
      </c>
    </row>
    <row r="607" spans="2:15" hidden="1" x14ac:dyDescent="0.3">
      <c r="B607">
        <v>3548394</v>
      </c>
      <c r="C607" t="s">
        <v>260</v>
      </c>
      <c r="D607">
        <v>25104</v>
      </c>
      <c r="E607" t="s">
        <v>150</v>
      </c>
      <c r="F607" t="s">
        <v>326</v>
      </c>
      <c r="G607" s="28">
        <v>290</v>
      </c>
      <c r="H607" s="32">
        <v>19.850000000000001</v>
      </c>
      <c r="I607" s="32">
        <v>2578.19</v>
      </c>
      <c r="J607" t="s">
        <v>267</v>
      </c>
      <c r="K607" t="s">
        <v>245</v>
      </c>
      <c r="L607" t="s">
        <v>235</v>
      </c>
      <c r="M607" t="s">
        <v>236</v>
      </c>
      <c r="N607" t="s">
        <v>237</v>
      </c>
      <c r="O607" s="27">
        <v>46057</v>
      </c>
    </row>
    <row r="608" spans="2:15" hidden="1" x14ac:dyDescent="0.3">
      <c r="B608">
        <v>2496015</v>
      </c>
      <c r="C608" t="s">
        <v>231</v>
      </c>
      <c r="D608">
        <v>38517</v>
      </c>
      <c r="E608" t="s">
        <v>150</v>
      </c>
      <c r="F608" t="s">
        <v>162</v>
      </c>
      <c r="G608" s="28">
        <v>118</v>
      </c>
      <c r="H608" s="32">
        <v>19.809999999999999</v>
      </c>
      <c r="I608" s="32">
        <v>6972.34</v>
      </c>
      <c r="J608" t="s">
        <v>239</v>
      </c>
      <c r="K608" t="s">
        <v>245</v>
      </c>
      <c r="L608" t="s">
        <v>235</v>
      </c>
      <c r="M608" t="s">
        <v>236</v>
      </c>
      <c r="N608" t="s">
        <v>240</v>
      </c>
      <c r="O608" s="27">
        <v>46063</v>
      </c>
    </row>
    <row r="609" spans="2:15" hidden="1" x14ac:dyDescent="0.3">
      <c r="B609">
        <v>7372714</v>
      </c>
      <c r="C609" t="s">
        <v>231</v>
      </c>
      <c r="D609">
        <v>22674</v>
      </c>
      <c r="E609" t="s">
        <v>150</v>
      </c>
      <c r="F609" t="s">
        <v>298</v>
      </c>
      <c r="G609" s="28">
        <v>102</v>
      </c>
      <c r="H609" s="32">
        <v>19.79</v>
      </c>
      <c r="I609" s="32">
        <v>1775.96</v>
      </c>
      <c r="J609" t="s">
        <v>239</v>
      </c>
      <c r="K609" t="s">
        <v>245</v>
      </c>
      <c r="L609" t="s">
        <v>235</v>
      </c>
      <c r="M609" t="s">
        <v>236</v>
      </c>
      <c r="N609" t="s">
        <v>237</v>
      </c>
      <c r="O609" s="27">
        <v>46063</v>
      </c>
    </row>
    <row r="610" spans="2:15" hidden="1" x14ac:dyDescent="0.3">
      <c r="B610">
        <v>3478209</v>
      </c>
      <c r="C610" t="s">
        <v>231</v>
      </c>
      <c r="D610">
        <v>21559</v>
      </c>
      <c r="E610" t="s">
        <v>150</v>
      </c>
      <c r="F610" t="s">
        <v>287</v>
      </c>
      <c r="G610" s="28">
        <v>124</v>
      </c>
      <c r="H610" s="32">
        <v>19.78</v>
      </c>
      <c r="I610" s="32">
        <v>3889.41</v>
      </c>
      <c r="J610" t="s">
        <v>239</v>
      </c>
      <c r="K610" t="s">
        <v>245</v>
      </c>
      <c r="L610" t="s">
        <v>235</v>
      </c>
      <c r="M610" t="s">
        <v>236</v>
      </c>
      <c r="N610" t="s">
        <v>237</v>
      </c>
      <c r="O610" s="27">
        <v>46063</v>
      </c>
    </row>
    <row r="611" spans="2:15" hidden="1" x14ac:dyDescent="0.3">
      <c r="B611">
        <v>2826183</v>
      </c>
      <c r="C611" t="s">
        <v>231</v>
      </c>
      <c r="D611">
        <v>69493</v>
      </c>
      <c r="E611" t="s">
        <v>150</v>
      </c>
      <c r="F611" t="s">
        <v>369</v>
      </c>
      <c r="G611" s="28">
        <v>53</v>
      </c>
      <c r="H611" s="32">
        <v>19.78</v>
      </c>
      <c r="I611" s="32">
        <v>2739.39</v>
      </c>
      <c r="J611" t="s">
        <v>239</v>
      </c>
      <c r="K611" t="s">
        <v>245</v>
      </c>
      <c r="L611" t="s">
        <v>235</v>
      </c>
      <c r="M611" t="s">
        <v>236</v>
      </c>
      <c r="N611" t="s">
        <v>240</v>
      </c>
      <c r="O611" s="27">
        <v>46055</v>
      </c>
    </row>
    <row r="612" spans="2:15" hidden="1" x14ac:dyDescent="0.3">
      <c r="B612">
        <v>2655884</v>
      </c>
      <c r="C612" t="s">
        <v>231</v>
      </c>
      <c r="D612">
        <v>96553</v>
      </c>
      <c r="E612" t="s">
        <v>150</v>
      </c>
      <c r="F612" t="s">
        <v>246</v>
      </c>
      <c r="G612" s="28">
        <v>93</v>
      </c>
      <c r="H612" s="32">
        <v>19.75</v>
      </c>
      <c r="I612" s="32">
        <v>3441.32</v>
      </c>
      <c r="J612" t="s">
        <v>239</v>
      </c>
      <c r="K612" t="s">
        <v>245</v>
      </c>
      <c r="L612" t="s">
        <v>235</v>
      </c>
      <c r="M612" t="s">
        <v>236</v>
      </c>
      <c r="N612" t="s">
        <v>237</v>
      </c>
      <c r="O612" s="27">
        <v>46062</v>
      </c>
    </row>
    <row r="613" spans="2:15" hidden="1" x14ac:dyDescent="0.3">
      <c r="B613">
        <v>9303108</v>
      </c>
      <c r="C613" t="s">
        <v>260</v>
      </c>
      <c r="D613">
        <v>69493</v>
      </c>
      <c r="E613" t="s">
        <v>150</v>
      </c>
      <c r="F613" t="s">
        <v>293</v>
      </c>
      <c r="G613" s="28">
        <v>151</v>
      </c>
      <c r="H613" s="32">
        <v>19.739999999999998</v>
      </c>
      <c r="I613" s="32">
        <v>1298.4100000000001</v>
      </c>
      <c r="J613" t="s">
        <v>267</v>
      </c>
      <c r="K613" t="s">
        <v>245</v>
      </c>
      <c r="L613" t="s">
        <v>235</v>
      </c>
      <c r="M613" t="s">
        <v>236</v>
      </c>
      <c r="N613" t="s">
        <v>240</v>
      </c>
      <c r="O613" s="27">
        <v>46057</v>
      </c>
    </row>
    <row r="614" spans="2:15" hidden="1" x14ac:dyDescent="0.3">
      <c r="B614">
        <v>2922242</v>
      </c>
      <c r="C614" t="s">
        <v>260</v>
      </c>
      <c r="D614">
        <v>69519</v>
      </c>
      <c r="E614" t="s">
        <v>150</v>
      </c>
      <c r="F614" t="s">
        <v>246</v>
      </c>
      <c r="G614" s="28">
        <v>100</v>
      </c>
      <c r="H614" s="32">
        <v>19.73</v>
      </c>
      <c r="I614" s="32">
        <v>3668</v>
      </c>
      <c r="J614" t="s">
        <v>239</v>
      </c>
      <c r="K614" t="s">
        <v>234</v>
      </c>
      <c r="L614" t="s">
        <v>235</v>
      </c>
      <c r="M614" t="s">
        <v>236</v>
      </c>
      <c r="N614" t="s">
        <v>237</v>
      </c>
      <c r="O614" s="27">
        <v>46062</v>
      </c>
    </row>
    <row r="615" spans="2:15" x14ac:dyDescent="0.3">
      <c r="B615">
        <v>7397602</v>
      </c>
      <c r="C615" t="s">
        <v>231</v>
      </c>
      <c r="D615">
        <v>22103</v>
      </c>
      <c r="E615" t="s">
        <v>150</v>
      </c>
      <c r="F615" t="s">
        <v>338</v>
      </c>
      <c r="G615" s="28">
        <v>42</v>
      </c>
      <c r="H615" s="32">
        <v>19.690000000000001</v>
      </c>
      <c r="I615" s="32">
        <v>2734.51</v>
      </c>
      <c r="J615" t="s">
        <v>239</v>
      </c>
      <c r="K615" t="s">
        <v>245</v>
      </c>
      <c r="L615" t="s">
        <v>235</v>
      </c>
      <c r="M615" t="s">
        <v>236</v>
      </c>
      <c r="N615" t="s">
        <v>237</v>
      </c>
      <c r="O615" s="27">
        <v>46072</v>
      </c>
    </row>
    <row r="616" spans="2:15" hidden="1" x14ac:dyDescent="0.3">
      <c r="B616">
        <v>2655884</v>
      </c>
      <c r="C616" t="s">
        <v>231</v>
      </c>
      <c r="D616">
        <v>96553</v>
      </c>
      <c r="E616" t="s">
        <v>150</v>
      </c>
      <c r="F616" t="s">
        <v>271</v>
      </c>
      <c r="G616" s="28">
        <v>186</v>
      </c>
      <c r="H616" s="32">
        <v>19.64</v>
      </c>
      <c r="I616" s="32">
        <v>3422.06</v>
      </c>
      <c r="J616" t="s">
        <v>239</v>
      </c>
      <c r="K616" t="s">
        <v>245</v>
      </c>
      <c r="L616" t="s">
        <v>235</v>
      </c>
      <c r="M616" t="s">
        <v>236</v>
      </c>
      <c r="N616" t="s">
        <v>237</v>
      </c>
      <c r="O616" s="27">
        <v>46062</v>
      </c>
    </row>
    <row r="617" spans="2:15" hidden="1" x14ac:dyDescent="0.3">
      <c r="B617">
        <v>2655884</v>
      </c>
      <c r="C617" t="s">
        <v>231</v>
      </c>
      <c r="D617">
        <v>96553</v>
      </c>
      <c r="E617" t="s">
        <v>150</v>
      </c>
      <c r="F617" t="s">
        <v>274</v>
      </c>
      <c r="G617" s="28">
        <v>218</v>
      </c>
      <c r="H617" s="32">
        <v>19.52</v>
      </c>
      <c r="I617" s="32">
        <v>3400.4</v>
      </c>
      <c r="J617" t="s">
        <v>239</v>
      </c>
      <c r="K617" t="s">
        <v>245</v>
      </c>
      <c r="L617" t="s">
        <v>235</v>
      </c>
      <c r="M617" t="s">
        <v>236</v>
      </c>
      <c r="N617" t="s">
        <v>237</v>
      </c>
      <c r="O617" s="27">
        <v>46062</v>
      </c>
    </row>
    <row r="618" spans="2:15" hidden="1" x14ac:dyDescent="0.3">
      <c r="B618">
        <v>2632292</v>
      </c>
      <c r="C618" t="s">
        <v>231</v>
      </c>
      <c r="D618">
        <v>69519</v>
      </c>
      <c r="E618" t="s">
        <v>150</v>
      </c>
      <c r="F618" t="s">
        <v>408</v>
      </c>
      <c r="G618" s="28">
        <v>68</v>
      </c>
      <c r="H618" s="32">
        <v>19.510000000000002</v>
      </c>
      <c r="I618" s="32">
        <v>3496.58</v>
      </c>
      <c r="J618" t="s">
        <v>330</v>
      </c>
      <c r="K618" t="s">
        <v>234</v>
      </c>
      <c r="L618" t="s">
        <v>235</v>
      </c>
      <c r="M618" t="s">
        <v>236</v>
      </c>
      <c r="N618" t="s">
        <v>237</v>
      </c>
      <c r="O618" s="27">
        <v>46073</v>
      </c>
    </row>
    <row r="619" spans="2:15" hidden="1" x14ac:dyDescent="0.3">
      <c r="B619">
        <v>9796204</v>
      </c>
      <c r="C619" t="s">
        <v>260</v>
      </c>
      <c r="D619">
        <v>21468</v>
      </c>
      <c r="E619" t="s">
        <v>150</v>
      </c>
      <c r="F619" t="s">
        <v>320</v>
      </c>
      <c r="G619" s="28">
        <v>34</v>
      </c>
      <c r="H619" s="32">
        <v>19.510000000000002</v>
      </c>
      <c r="I619" s="32">
        <v>1396.88</v>
      </c>
      <c r="J619" t="s">
        <v>239</v>
      </c>
      <c r="K619" t="s">
        <v>245</v>
      </c>
      <c r="L619" t="s">
        <v>235</v>
      </c>
      <c r="M619" t="s">
        <v>236</v>
      </c>
      <c r="N619" t="s">
        <v>240</v>
      </c>
      <c r="O619" s="27">
        <v>46072</v>
      </c>
    </row>
    <row r="620" spans="2:15" x14ac:dyDescent="0.3">
      <c r="B620">
        <v>4745805</v>
      </c>
      <c r="C620" t="s">
        <v>231</v>
      </c>
      <c r="D620">
        <v>22103</v>
      </c>
      <c r="E620" t="s">
        <v>150</v>
      </c>
      <c r="F620" t="s">
        <v>246</v>
      </c>
      <c r="G620" s="28">
        <v>103</v>
      </c>
      <c r="H620" s="32">
        <v>19.46</v>
      </c>
      <c r="I620" s="32">
        <v>3826.26</v>
      </c>
      <c r="J620" t="s">
        <v>239</v>
      </c>
      <c r="K620" t="s">
        <v>245</v>
      </c>
      <c r="L620" t="s">
        <v>235</v>
      </c>
      <c r="M620" t="s">
        <v>236</v>
      </c>
      <c r="N620" t="s">
        <v>237</v>
      </c>
      <c r="O620" s="27">
        <v>46063</v>
      </c>
    </row>
    <row r="621" spans="2:15" hidden="1" x14ac:dyDescent="0.3">
      <c r="B621">
        <v>2655884</v>
      </c>
      <c r="C621" t="s">
        <v>231</v>
      </c>
      <c r="D621">
        <v>96553</v>
      </c>
      <c r="E621" t="s">
        <v>150</v>
      </c>
      <c r="F621" t="s">
        <v>276</v>
      </c>
      <c r="G621" s="28">
        <v>110</v>
      </c>
      <c r="H621" s="32">
        <v>19.45</v>
      </c>
      <c r="I621" s="32">
        <v>3388.66</v>
      </c>
      <c r="J621" t="s">
        <v>239</v>
      </c>
      <c r="K621" t="s">
        <v>245</v>
      </c>
      <c r="L621" t="s">
        <v>235</v>
      </c>
      <c r="M621" t="s">
        <v>236</v>
      </c>
      <c r="N621" t="s">
        <v>237</v>
      </c>
      <c r="O621" s="27">
        <v>46062</v>
      </c>
    </row>
    <row r="622" spans="2:15" hidden="1" x14ac:dyDescent="0.3">
      <c r="B622">
        <v>2632292</v>
      </c>
      <c r="C622" t="s">
        <v>231</v>
      </c>
      <c r="D622">
        <v>69519</v>
      </c>
      <c r="E622" t="s">
        <v>150</v>
      </c>
      <c r="F622" t="s">
        <v>368</v>
      </c>
      <c r="G622" s="28">
        <v>70</v>
      </c>
      <c r="H622" s="32">
        <v>19.43</v>
      </c>
      <c r="I622" s="32">
        <v>3483.01</v>
      </c>
      <c r="J622" t="s">
        <v>330</v>
      </c>
      <c r="K622" t="s">
        <v>234</v>
      </c>
      <c r="L622" t="s">
        <v>235</v>
      </c>
      <c r="M622" t="s">
        <v>236</v>
      </c>
      <c r="N622" t="s">
        <v>237</v>
      </c>
      <c r="O622" s="27">
        <v>46073</v>
      </c>
    </row>
    <row r="623" spans="2:15" hidden="1" x14ac:dyDescent="0.3">
      <c r="B623">
        <v>6978173</v>
      </c>
      <c r="C623" t="s">
        <v>231</v>
      </c>
      <c r="D623">
        <v>38517</v>
      </c>
      <c r="E623" t="s">
        <v>150</v>
      </c>
      <c r="F623" t="s">
        <v>298</v>
      </c>
      <c r="G623" s="28">
        <v>99</v>
      </c>
      <c r="H623" s="32">
        <v>19.38</v>
      </c>
      <c r="I623" s="32">
        <v>1723.61</v>
      </c>
      <c r="J623" t="s">
        <v>239</v>
      </c>
      <c r="K623" t="s">
        <v>245</v>
      </c>
      <c r="L623" t="s">
        <v>235</v>
      </c>
      <c r="M623" t="s">
        <v>236</v>
      </c>
      <c r="N623" t="s">
        <v>237</v>
      </c>
      <c r="O623" s="27">
        <v>46063</v>
      </c>
    </row>
    <row r="624" spans="2:15" hidden="1" x14ac:dyDescent="0.3">
      <c r="B624">
        <v>2084946</v>
      </c>
      <c r="C624" t="s">
        <v>231</v>
      </c>
      <c r="D624">
        <v>69493</v>
      </c>
      <c r="E624" t="s">
        <v>150</v>
      </c>
      <c r="F624" t="s">
        <v>282</v>
      </c>
      <c r="G624" s="28">
        <v>55</v>
      </c>
      <c r="H624" s="32">
        <v>19.38</v>
      </c>
      <c r="I624" s="32">
        <v>2797.35</v>
      </c>
      <c r="J624" t="s">
        <v>239</v>
      </c>
      <c r="K624" t="s">
        <v>245</v>
      </c>
      <c r="L624" t="s">
        <v>235</v>
      </c>
      <c r="M624" t="s">
        <v>236</v>
      </c>
      <c r="N624" t="s">
        <v>240</v>
      </c>
      <c r="O624" s="27">
        <v>46055</v>
      </c>
    </row>
    <row r="625" spans="2:15" hidden="1" x14ac:dyDescent="0.3">
      <c r="B625">
        <v>2632292</v>
      </c>
      <c r="C625" t="s">
        <v>231</v>
      </c>
      <c r="D625">
        <v>69519</v>
      </c>
      <c r="E625" t="s">
        <v>150</v>
      </c>
      <c r="F625" t="s">
        <v>298</v>
      </c>
      <c r="G625" s="28">
        <v>191</v>
      </c>
      <c r="H625" s="32">
        <v>19.36</v>
      </c>
      <c r="I625" s="32">
        <v>3400.66</v>
      </c>
      <c r="J625" t="s">
        <v>239</v>
      </c>
      <c r="K625" t="s">
        <v>245</v>
      </c>
      <c r="L625" t="s">
        <v>235</v>
      </c>
      <c r="M625" t="s">
        <v>236</v>
      </c>
      <c r="N625" t="s">
        <v>240</v>
      </c>
      <c r="O625" s="27">
        <v>46072</v>
      </c>
    </row>
    <row r="626" spans="2:15" x14ac:dyDescent="0.3">
      <c r="B626">
        <v>5658854</v>
      </c>
      <c r="C626" t="s">
        <v>231</v>
      </c>
      <c r="D626">
        <v>22103</v>
      </c>
      <c r="E626" t="s">
        <v>150</v>
      </c>
      <c r="F626" t="s">
        <v>296</v>
      </c>
      <c r="G626" s="28">
        <v>100</v>
      </c>
      <c r="H626" s="32">
        <v>19.350000000000001</v>
      </c>
      <c r="I626" s="32">
        <v>3852</v>
      </c>
      <c r="J626" t="s">
        <v>239</v>
      </c>
      <c r="K626" t="s">
        <v>234</v>
      </c>
      <c r="L626" t="s">
        <v>235</v>
      </c>
      <c r="M626" t="s">
        <v>236</v>
      </c>
      <c r="N626" t="s">
        <v>240</v>
      </c>
      <c r="O626" s="27">
        <v>46076</v>
      </c>
    </row>
    <row r="627" spans="2:15" hidden="1" x14ac:dyDescent="0.3">
      <c r="B627">
        <v>4658833</v>
      </c>
      <c r="C627" t="s">
        <v>260</v>
      </c>
      <c r="D627">
        <v>38517</v>
      </c>
      <c r="E627" t="s">
        <v>150</v>
      </c>
      <c r="F627" t="s">
        <v>163</v>
      </c>
      <c r="G627" s="28">
        <v>114</v>
      </c>
      <c r="H627" s="32">
        <v>19.350000000000001</v>
      </c>
      <c r="I627" s="32">
        <v>1501.04</v>
      </c>
      <c r="J627" t="s">
        <v>239</v>
      </c>
      <c r="K627" t="s">
        <v>245</v>
      </c>
      <c r="L627" t="s">
        <v>235</v>
      </c>
      <c r="M627" t="s">
        <v>236</v>
      </c>
      <c r="N627" t="s">
        <v>237</v>
      </c>
      <c r="O627" s="27">
        <v>46055</v>
      </c>
    </row>
    <row r="628" spans="2:15" hidden="1" x14ac:dyDescent="0.3">
      <c r="B628">
        <v>2655884</v>
      </c>
      <c r="C628" t="s">
        <v>231</v>
      </c>
      <c r="D628">
        <v>96553</v>
      </c>
      <c r="E628" t="s">
        <v>150</v>
      </c>
      <c r="F628" t="s">
        <v>277</v>
      </c>
      <c r="G628" s="28">
        <v>88</v>
      </c>
      <c r="H628" s="32">
        <v>19.21</v>
      </c>
      <c r="I628" s="32">
        <v>3346.06</v>
      </c>
      <c r="J628" t="s">
        <v>239</v>
      </c>
      <c r="K628" t="s">
        <v>245</v>
      </c>
      <c r="L628" t="s">
        <v>235</v>
      </c>
      <c r="M628" t="s">
        <v>236</v>
      </c>
      <c r="N628" t="s">
        <v>237</v>
      </c>
      <c r="O628" s="27">
        <v>46062</v>
      </c>
    </row>
    <row r="629" spans="2:15" hidden="1" x14ac:dyDescent="0.3">
      <c r="B629">
        <v>2013549</v>
      </c>
      <c r="C629" t="s">
        <v>231</v>
      </c>
      <c r="D629">
        <v>23648</v>
      </c>
      <c r="E629" t="s">
        <v>150</v>
      </c>
      <c r="F629" t="s">
        <v>286</v>
      </c>
      <c r="G629" s="28">
        <v>100</v>
      </c>
      <c r="H629" s="32">
        <v>19.059999999999999</v>
      </c>
      <c r="I629" s="32">
        <v>3711</v>
      </c>
      <c r="J629" t="s">
        <v>239</v>
      </c>
      <c r="K629" t="s">
        <v>234</v>
      </c>
      <c r="L629" t="s">
        <v>235</v>
      </c>
      <c r="M629" t="s">
        <v>236</v>
      </c>
      <c r="N629" t="s">
        <v>240</v>
      </c>
      <c r="O629" s="27">
        <v>46059</v>
      </c>
    </row>
    <row r="630" spans="2:15" hidden="1" x14ac:dyDescent="0.3">
      <c r="B630">
        <v>2655884</v>
      </c>
      <c r="C630" t="s">
        <v>231</v>
      </c>
      <c r="D630">
        <v>96553</v>
      </c>
      <c r="E630" t="s">
        <v>150</v>
      </c>
      <c r="F630" t="s">
        <v>289</v>
      </c>
      <c r="G630" s="28">
        <v>160</v>
      </c>
      <c r="H630" s="32">
        <v>19.05</v>
      </c>
      <c r="I630" s="32">
        <v>3318.87</v>
      </c>
      <c r="J630" t="s">
        <v>239</v>
      </c>
      <c r="K630" t="s">
        <v>245</v>
      </c>
      <c r="L630" t="s">
        <v>235</v>
      </c>
      <c r="M630" t="s">
        <v>236</v>
      </c>
      <c r="N630" t="s">
        <v>237</v>
      </c>
      <c r="O630" s="27">
        <v>46062</v>
      </c>
    </row>
    <row r="631" spans="2:15" hidden="1" x14ac:dyDescent="0.3">
      <c r="B631">
        <v>2495068</v>
      </c>
      <c r="C631" t="s">
        <v>231</v>
      </c>
      <c r="D631">
        <v>69493</v>
      </c>
      <c r="E631" t="s">
        <v>150</v>
      </c>
      <c r="F631" t="s">
        <v>282</v>
      </c>
      <c r="G631" s="28">
        <v>54</v>
      </c>
      <c r="H631" s="32">
        <v>19.04</v>
      </c>
      <c r="I631" s="32">
        <v>2746.49</v>
      </c>
      <c r="J631" t="s">
        <v>239</v>
      </c>
      <c r="K631" t="s">
        <v>245</v>
      </c>
      <c r="L631" t="s">
        <v>235</v>
      </c>
      <c r="M631" t="s">
        <v>236</v>
      </c>
      <c r="N631" t="s">
        <v>240</v>
      </c>
      <c r="O631" s="27">
        <v>46055</v>
      </c>
    </row>
    <row r="632" spans="2:15" hidden="1" x14ac:dyDescent="0.3">
      <c r="B632">
        <v>307208</v>
      </c>
      <c r="C632" t="s">
        <v>231</v>
      </c>
      <c r="D632">
        <v>25619</v>
      </c>
      <c r="E632" t="s">
        <v>150</v>
      </c>
      <c r="F632" t="s">
        <v>282</v>
      </c>
      <c r="G632" s="28">
        <v>97</v>
      </c>
      <c r="H632" s="32">
        <v>19.03</v>
      </c>
      <c r="I632" s="32">
        <v>4954.93</v>
      </c>
      <c r="J632" t="s">
        <v>239</v>
      </c>
      <c r="K632" t="s">
        <v>245</v>
      </c>
      <c r="L632" t="s">
        <v>235</v>
      </c>
      <c r="M632" t="s">
        <v>236</v>
      </c>
      <c r="N632" t="s">
        <v>240</v>
      </c>
      <c r="O632" s="27">
        <v>46063</v>
      </c>
    </row>
    <row r="633" spans="2:15" hidden="1" x14ac:dyDescent="0.3">
      <c r="B633">
        <v>15974810</v>
      </c>
      <c r="C633" t="s">
        <v>231</v>
      </c>
      <c r="D633">
        <v>49894</v>
      </c>
      <c r="E633" t="s">
        <v>150</v>
      </c>
      <c r="F633" t="s">
        <v>163</v>
      </c>
      <c r="G633" s="28">
        <v>110</v>
      </c>
      <c r="H633" s="32">
        <v>18.98</v>
      </c>
      <c r="I633" s="32">
        <v>1535.66</v>
      </c>
      <c r="J633" t="s">
        <v>239</v>
      </c>
      <c r="K633" t="s">
        <v>245</v>
      </c>
      <c r="L633" t="s">
        <v>235</v>
      </c>
      <c r="M633" t="s">
        <v>236</v>
      </c>
      <c r="N633" t="s">
        <v>237</v>
      </c>
      <c r="O633" s="27">
        <v>46063</v>
      </c>
    </row>
    <row r="634" spans="2:15" hidden="1" x14ac:dyDescent="0.3">
      <c r="B634">
        <v>4686193</v>
      </c>
      <c r="C634" t="s">
        <v>231</v>
      </c>
      <c r="D634">
        <v>21468</v>
      </c>
      <c r="E634" t="s">
        <v>150</v>
      </c>
      <c r="F634" t="s">
        <v>298</v>
      </c>
      <c r="G634" s="28">
        <v>96</v>
      </c>
      <c r="H634" s="32">
        <v>18.96</v>
      </c>
      <c r="I634" s="32">
        <v>1671.54</v>
      </c>
      <c r="J634" t="s">
        <v>239</v>
      </c>
      <c r="K634" t="s">
        <v>245</v>
      </c>
      <c r="L634" t="s">
        <v>235</v>
      </c>
      <c r="M634" t="s">
        <v>236</v>
      </c>
      <c r="N634" t="s">
        <v>237</v>
      </c>
      <c r="O634" s="27">
        <v>46063</v>
      </c>
    </row>
    <row r="635" spans="2:15" hidden="1" x14ac:dyDescent="0.3">
      <c r="B635">
        <v>14690888</v>
      </c>
      <c r="C635" t="s">
        <v>231</v>
      </c>
      <c r="D635">
        <v>21468</v>
      </c>
      <c r="E635" t="s">
        <v>150</v>
      </c>
      <c r="F635" t="s">
        <v>289</v>
      </c>
      <c r="G635" s="28">
        <v>84</v>
      </c>
      <c r="H635" s="32">
        <v>18.920000000000002</v>
      </c>
      <c r="I635" s="32">
        <v>1804.82</v>
      </c>
      <c r="J635" t="s">
        <v>239</v>
      </c>
      <c r="K635" t="s">
        <v>245</v>
      </c>
      <c r="L635" t="s">
        <v>235</v>
      </c>
      <c r="M635" t="s">
        <v>236</v>
      </c>
      <c r="N635" t="s">
        <v>237</v>
      </c>
      <c r="O635" s="27">
        <v>46055</v>
      </c>
    </row>
    <row r="636" spans="2:15" hidden="1" x14ac:dyDescent="0.3">
      <c r="B636">
        <v>542586</v>
      </c>
      <c r="C636" t="s">
        <v>260</v>
      </c>
      <c r="D636">
        <v>21468</v>
      </c>
      <c r="E636" t="s">
        <v>150</v>
      </c>
      <c r="F636" t="s">
        <v>361</v>
      </c>
      <c r="G636" s="28">
        <v>100</v>
      </c>
      <c r="H636" s="32">
        <v>18.899999999999999</v>
      </c>
      <c r="I636" s="32">
        <v>3725</v>
      </c>
      <c r="J636" t="s">
        <v>330</v>
      </c>
      <c r="K636" t="s">
        <v>234</v>
      </c>
      <c r="L636" t="s">
        <v>235</v>
      </c>
      <c r="M636" t="s">
        <v>236</v>
      </c>
      <c r="N636" t="s">
        <v>237</v>
      </c>
      <c r="O636" s="27">
        <v>46058</v>
      </c>
    </row>
    <row r="637" spans="2:15" hidden="1" x14ac:dyDescent="0.3">
      <c r="B637">
        <v>3548394</v>
      </c>
      <c r="C637" t="s">
        <v>260</v>
      </c>
      <c r="D637">
        <v>25104</v>
      </c>
      <c r="E637" t="s">
        <v>150</v>
      </c>
      <c r="F637" t="s">
        <v>400</v>
      </c>
      <c r="G637" s="28">
        <v>276</v>
      </c>
      <c r="H637" s="32">
        <v>18.88</v>
      </c>
      <c r="I637" s="32">
        <v>2579.61</v>
      </c>
      <c r="J637" t="s">
        <v>267</v>
      </c>
      <c r="K637" t="s">
        <v>245</v>
      </c>
      <c r="L637" t="s">
        <v>235</v>
      </c>
      <c r="M637" t="s">
        <v>236</v>
      </c>
      <c r="N637" t="s">
        <v>240</v>
      </c>
      <c r="O637" s="27">
        <v>46057</v>
      </c>
    </row>
    <row r="638" spans="2:15" hidden="1" x14ac:dyDescent="0.3">
      <c r="B638">
        <v>2013549</v>
      </c>
      <c r="C638" t="s">
        <v>231</v>
      </c>
      <c r="D638">
        <v>23648</v>
      </c>
      <c r="E638" t="s">
        <v>150</v>
      </c>
      <c r="F638" t="s">
        <v>246</v>
      </c>
      <c r="G638" s="28">
        <v>100</v>
      </c>
      <c r="H638" s="32">
        <v>18.86</v>
      </c>
      <c r="I638" s="32">
        <v>3672</v>
      </c>
      <c r="J638" t="s">
        <v>239</v>
      </c>
      <c r="K638" t="s">
        <v>234</v>
      </c>
      <c r="L638" t="s">
        <v>235</v>
      </c>
      <c r="M638" t="s">
        <v>236</v>
      </c>
      <c r="N638" t="s">
        <v>237</v>
      </c>
      <c r="O638" s="27">
        <v>46059</v>
      </c>
    </row>
    <row r="639" spans="2:15" hidden="1" x14ac:dyDescent="0.3">
      <c r="B639">
        <v>2655884</v>
      </c>
      <c r="C639" t="s">
        <v>231</v>
      </c>
      <c r="D639">
        <v>96553</v>
      </c>
      <c r="E639" t="s">
        <v>150</v>
      </c>
      <c r="F639" t="s">
        <v>160</v>
      </c>
      <c r="G639" s="28">
        <v>38</v>
      </c>
      <c r="H639" s="32">
        <v>18.850000000000001</v>
      </c>
      <c r="I639" s="32">
        <v>3283.87</v>
      </c>
      <c r="J639" t="s">
        <v>239</v>
      </c>
      <c r="K639" t="s">
        <v>245</v>
      </c>
      <c r="L639" t="s">
        <v>235</v>
      </c>
      <c r="M639" t="s">
        <v>236</v>
      </c>
      <c r="N639" t="s">
        <v>237</v>
      </c>
      <c r="O639" s="27">
        <v>46062</v>
      </c>
    </row>
    <row r="640" spans="2:15" hidden="1" x14ac:dyDescent="0.3">
      <c r="B640">
        <v>560966</v>
      </c>
      <c r="C640" t="s">
        <v>231</v>
      </c>
      <c r="D640">
        <v>21468</v>
      </c>
      <c r="E640" t="s">
        <v>150</v>
      </c>
      <c r="F640" t="s">
        <v>258</v>
      </c>
      <c r="G640" s="28">
        <v>133</v>
      </c>
      <c r="H640" s="32">
        <v>18.829999999999998</v>
      </c>
      <c r="I640" s="32">
        <v>1438.24</v>
      </c>
      <c r="J640" t="s">
        <v>239</v>
      </c>
      <c r="K640" t="s">
        <v>245</v>
      </c>
      <c r="L640" t="s">
        <v>235</v>
      </c>
      <c r="M640" t="s">
        <v>236</v>
      </c>
      <c r="N640" t="s">
        <v>240</v>
      </c>
      <c r="O640" s="27">
        <v>46055</v>
      </c>
    </row>
    <row r="641" spans="2:15" hidden="1" x14ac:dyDescent="0.3">
      <c r="B641">
        <v>3317498</v>
      </c>
      <c r="C641" t="s">
        <v>231</v>
      </c>
      <c r="D641">
        <v>69493</v>
      </c>
      <c r="E641" t="s">
        <v>150</v>
      </c>
      <c r="F641" t="s">
        <v>163</v>
      </c>
      <c r="G641" s="28">
        <v>109</v>
      </c>
      <c r="H641" s="32">
        <v>18.809999999999999</v>
      </c>
      <c r="I641" s="32">
        <v>1521.7</v>
      </c>
      <c r="J641" t="s">
        <v>239</v>
      </c>
      <c r="K641" t="s">
        <v>245</v>
      </c>
      <c r="L641" t="s">
        <v>235</v>
      </c>
      <c r="M641" t="s">
        <v>236</v>
      </c>
      <c r="N641" t="s">
        <v>237</v>
      </c>
      <c r="O641" s="27">
        <v>46063</v>
      </c>
    </row>
    <row r="642" spans="2:15" hidden="1" x14ac:dyDescent="0.3">
      <c r="B642">
        <v>16469589</v>
      </c>
      <c r="C642" t="s">
        <v>231</v>
      </c>
      <c r="D642">
        <v>41072</v>
      </c>
      <c r="E642" t="s">
        <v>150</v>
      </c>
      <c r="F642" t="s">
        <v>349</v>
      </c>
      <c r="G642" s="28">
        <v>73</v>
      </c>
      <c r="H642" s="32">
        <v>18.75</v>
      </c>
      <c r="I642" s="32">
        <v>3725.92</v>
      </c>
      <c r="J642" t="s">
        <v>330</v>
      </c>
      <c r="K642" t="s">
        <v>234</v>
      </c>
      <c r="L642" t="s">
        <v>235</v>
      </c>
      <c r="M642" t="s">
        <v>236</v>
      </c>
      <c r="N642" t="s">
        <v>240</v>
      </c>
      <c r="O642" s="27">
        <v>46063</v>
      </c>
    </row>
    <row r="643" spans="2:15" hidden="1" x14ac:dyDescent="0.3">
      <c r="B643">
        <v>9799059</v>
      </c>
      <c r="C643" t="s">
        <v>260</v>
      </c>
      <c r="D643">
        <v>38675</v>
      </c>
      <c r="E643" t="s">
        <v>150</v>
      </c>
      <c r="F643" t="s">
        <v>160</v>
      </c>
      <c r="G643" s="28">
        <v>42</v>
      </c>
      <c r="H643" s="32">
        <v>18.739999999999998</v>
      </c>
      <c r="I643" s="32">
        <v>3504.23</v>
      </c>
      <c r="J643" t="s">
        <v>239</v>
      </c>
      <c r="K643" t="s">
        <v>245</v>
      </c>
      <c r="L643" t="s">
        <v>235</v>
      </c>
      <c r="M643" t="s">
        <v>236</v>
      </c>
      <c r="N643" t="s">
        <v>240</v>
      </c>
      <c r="O643" s="27">
        <v>46072</v>
      </c>
    </row>
    <row r="644" spans="2:15" hidden="1" x14ac:dyDescent="0.3">
      <c r="B644">
        <v>272204</v>
      </c>
      <c r="C644" t="s">
        <v>231</v>
      </c>
      <c r="D644">
        <v>23648</v>
      </c>
      <c r="E644" t="s">
        <v>150</v>
      </c>
      <c r="F644" t="s">
        <v>319</v>
      </c>
      <c r="G644" s="28">
        <v>118</v>
      </c>
      <c r="H644" s="32">
        <v>18.68</v>
      </c>
      <c r="I644" s="32">
        <v>4777.28</v>
      </c>
      <c r="J644" t="s">
        <v>239</v>
      </c>
      <c r="K644" t="s">
        <v>245</v>
      </c>
      <c r="L644" t="s">
        <v>235</v>
      </c>
      <c r="M644" t="s">
        <v>236</v>
      </c>
      <c r="N644" t="s">
        <v>240</v>
      </c>
      <c r="O644" s="27">
        <v>46063</v>
      </c>
    </row>
    <row r="645" spans="2:15" hidden="1" x14ac:dyDescent="0.3">
      <c r="B645">
        <v>2747758</v>
      </c>
      <c r="C645" t="s">
        <v>231</v>
      </c>
      <c r="D645">
        <v>96553</v>
      </c>
      <c r="E645" t="s">
        <v>150</v>
      </c>
      <c r="F645" t="s">
        <v>298</v>
      </c>
      <c r="G645" s="28">
        <v>94</v>
      </c>
      <c r="H645" s="32">
        <v>18.66</v>
      </c>
      <c r="I645" s="32">
        <v>1636.71</v>
      </c>
      <c r="J645" t="s">
        <v>239</v>
      </c>
      <c r="K645" t="s">
        <v>245</v>
      </c>
      <c r="L645" t="s">
        <v>235</v>
      </c>
      <c r="M645" t="s">
        <v>236</v>
      </c>
      <c r="N645" t="s">
        <v>237</v>
      </c>
      <c r="O645" s="27">
        <v>46063</v>
      </c>
    </row>
    <row r="646" spans="2:15" x14ac:dyDescent="0.3">
      <c r="B646">
        <v>5658854</v>
      </c>
      <c r="C646" t="s">
        <v>231</v>
      </c>
      <c r="D646">
        <v>22103</v>
      </c>
      <c r="E646" t="s">
        <v>150</v>
      </c>
      <c r="F646" t="s">
        <v>372</v>
      </c>
      <c r="G646" s="28">
        <v>56</v>
      </c>
      <c r="H646" s="32">
        <v>18.489999999999998</v>
      </c>
      <c r="I646" s="32">
        <v>3680.32</v>
      </c>
      <c r="J646" t="s">
        <v>330</v>
      </c>
      <c r="K646" t="s">
        <v>234</v>
      </c>
      <c r="L646" t="s">
        <v>235</v>
      </c>
      <c r="M646" t="s">
        <v>236</v>
      </c>
      <c r="N646" t="s">
        <v>240</v>
      </c>
      <c r="O646" s="27">
        <v>46076</v>
      </c>
    </row>
    <row r="647" spans="2:15" hidden="1" x14ac:dyDescent="0.3">
      <c r="B647">
        <v>2569374</v>
      </c>
      <c r="C647" t="s">
        <v>231</v>
      </c>
      <c r="D647">
        <v>71997</v>
      </c>
      <c r="E647" t="s">
        <v>150</v>
      </c>
      <c r="F647" t="s">
        <v>246</v>
      </c>
      <c r="G647" s="28">
        <v>109</v>
      </c>
      <c r="H647" s="32">
        <v>18.48</v>
      </c>
      <c r="I647" s="32">
        <v>4049.05</v>
      </c>
      <c r="J647" t="s">
        <v>239</v>
      </c>
      <c r="K647" t="s">
        <v>245</v>
      </c>
      <c r="L647" t="s">
        <v>235</v>
      </c>
      <c r="M647" t="s">
        <v>236</v>
      </c>
      <c r="N647" t="s">
        <v>237</v>
      </c>
      <c r="O647" s="27">
        <v>46063</v>
      </c>
    </row>
    <row r="648" spans="2:15" hidden="1" x14ac:dyDescent="0.3">
      <c r="B648">
        <v>3409614</v>
      </c>
      <c r="C648" t="s">
        <v>231</v>
      </c>
      <c r="D648">
        <v>71881</v>
      </c>
      <c r="E648" t="s">
        <v>150</v>
      </c>
      <c r="F648" t="s">
        <v>156</v>
      </c>
      <c r="G648" s="28">
        <v>66</v>
      </c>
      <c r="H648" s="32">
        <v>18.46</v>
      </c>
      <c r="I648" s="32">
        <v>2943.64</v>
      </c>
      <c r="J648" t="s">
        <v>256</v>
      </c>
      <c r="K648" t="s">
        <v>234</v>
      </c>
      <c r="L648" t="s">
        <v>235</v>
      </c>
      <c r="M648" t="s">
        <v>236</v>
      </c>
      <c r="N648" t="s">
        <v>237</v>
      </c>
      <c r="O648" s="27">
        <v>46057</v>
      </c>
    </row>
    <row r="649" spans="2:15" hidden="1" x14ac:dyDescent="0.3">
      <c r="B649">
        <v>2390017</v>
      </c>
      <c r="C649" t="s">
        <v>231</v>
      </c>
      <c r="D649">
        <v>69493</v>
      </c>
      <c r="E649" t="s">
        <v>150</v>
      </c>
      <c r="F649" t="s">
        <v>282</v>
      </c>
      <c r="G649" s="28">
        <v>52</v>
      </c>
      <c r="H649" s="32">
        <v>18.43</v>
      </c>
      <c r="I649" s="32">
        <v>2644.77</v>
      </c>
      <c r="J649" t="s">
        <v>239</v>
      </c>
      <c r="K649" t="s">
        <v>245</v>
      </c>
      <c r="L649" t="s">
        <v>235</v>
      </c>
      <c r="M649" t="s">
        <v>236</v>
      </c>
      <c r="N649" t="s">
        <v>240</v>
      </c>
      <c r="O649" s="27">
        <v>46055</v>
      </c>
    </row>
    <row r="650" spans="2:15" hidden="1" x14ac:dyDescent="0.3">
      <c r="B650">
        <v>272204</v>
      </c>
      <c r="C650" t="s">
        <v>231</v>
      </c>
      <c r="D650">
        <v>23648</v>
      </c>
      <c r="E650" t="s">
        <v>150</v>
      </c>
      <c r="F650" t="s">
        <v>337</v>
      </c>
      <c r="G650" s="28">
        <v>117</v>
      </c>
      <c r="H650" s="32">
        <v>18.420000000000002</v>
      </c>
      <c r="I650" s="32">
        <v>4250.01</v>
      </c>
      <c r="J650" t="s">
        <v>239</v>
      </c>
      <c r="K650" t="s">
        <v>245</v>
      </c>
      <c r="L650" t="s">
        <v>235</v>
      </c>
      <c r="M650" t="s">
        <v>236</v>
      </c>
      <c r="N650" t="s">
        <v>237</v>
      </c>
      <c r="O650" s="27">
        <v>46063</v>
      </c>
    </row>
    <row r="651" spans="2:15" hidden="1" x14ac:dyDescent="0.3">
      <c r="B651">
        <v>2632292</v>
      </c>
      <c r="C651" t="s">
        <v>231</v>
      </c>
      <c r="D651">
        <v>69519</v>
      </c>
      <c r="E651" t="s">
        <v>150</v>
      </c>
      <c r="F651" t="s">
        <v>164</v>
      </c>
      <c r="G651" s="28">
        <v>63</v>
      </c>
      <c r="H651" s="32">
        <v>18.309999999999999</v>
      </c>
      <c r="I651" s="32">
        <v>3055.58</v>
      </c>
      <c r="J651" t="s">
        <v>239</v>
      </c>
      <c r="K651" t="s">
        <v>245</v>
      </c>
      <c r="L651" t="s">
        <v>235</v>
      </c>
      <c r="M651" t="s">
        <v>236</v>
      </c>
      <c r="N651" t="s">
        <v>240</v>
      </c>
      <c r="O651" s="27">
        <v>46072</v>
      </c>
    </row>
    <row r="652" spans="2:15" hidden="1" x14ac:dyDescent="0.3">
      <c r="B652">
        <v>5599981</v>
      </c>
      <c r="C652" t="s">
        <v>231</v>
      </c>
      <c r="D652">
        <v>69493</v>
      </c>
      <c r="E652" t="s">
        <v>150</v>
      </c>
      <c r="F652" t="s">
        <v>298</v>
      </c>
      <c r="G652" s="28">
        <v>91</v>
      </c>
      <c r="H652" s="32">
        <v>18.260000000000002</v>
      </c>
      <c r="I652" s="32">
        <v>1584.56</v>
      </c>
      <c r="J652" t="s">
        <v>239</v>
      </c>
      <c r="K652" t="s">
        <v>245</v>
      </c>
      <c r="L652" t="s">
        <v>235</v>
      </c>
      <c r="M652" t="s">
        <v>236</v>
      </c>
      <c r="N652" t="s">
        <v>237</v>
      </c>
      <c r="O652" s="27">
        <v>46063</v>
      </c>
    </row>
    <row r="653" spans="2:15" hidden="1" x14ac:dyDescent="0.3">
      <c r="B653">
        <v>3409614</v>
      </c>
      <c r="C653" t="s">
        <v>231</v>
      </c>
      <c r="D653">
        <v>71881</v>
      </c>
      <c r="E653" t="s">
        <v>150</v>
      </c>
      <c r="F653" t="s">
        <v>158</v>
      </c>
      <c r="G653" s="28">
        <v>11</v>
      </c>
      <c r="H653" s="32">
        <v>18.260000000000002</v>
      </c>
      <c r="I653" s="32">
        <v>1497.1</v>
      </c>
      <c r="J653" t="s">
        <v>256</v>
      </c>
      <c r="K653" t="s">
        <v>234</v>
      </c>
      <c r="L653" t="s">
        <v>235</v>
      </c>
      <c r="M653" t="s">
        <v>236</v>
      </c>
      <c r="N653" t="s">
        <v>237</v>
      </c>
      <c r="O653" s="27">
        <v>46057</v>
      </c>
    </row>
    <row r="654" spans="2:15" x14ac:dyDescent="0.3">
      <c r="B654">
        <v>79379</v>
      </c>
      <c r="C654" t="s">
        <v>231</v>
      </c>
      <c r="D654">
        <v>22103</v>
      </c>
      <c r="E654" t="s">
        <v>150</v>
      </c>
      <c r="F654" t="s">
        <v>287</v>
      </c>
      <c r="G654" s="28">
        <v>105</v>
      </c>
      <c r="H654" s="32">
        <v>18.25</v>
      </c>
      <c r="I654" s="32">
        <v>3279.57</v>
      </c>
      <c r="J654" t="s">
        <v>239</v>
      </c>
      <c r="K654" t="s">
        <v>245</v>
      </c>
      <c r="L654" t="s">
        <v>235</v>
      </c>
      <c r="M654" t="s">
        <v>236</v>
      </c>
      <c r="N654" t="s">
        <v>237</v>
      </c>
      <c r="O654" s="27">
        <v>46072</v>
      </c>
    </row>
    <row r="655" spans="2:15" hidden="1" x14ac:dyDescent="0.3">
      <c r="B655">
        <v>560966</v>
      </c>
      <c r="C655" t="s">
        <v>231</v>
      </c>
      <c r="D655">
        <v>21468</v>
      </c>
      <c r="E655" t="s">
        <v>150</v>
      </c>
      <c r="F655" t="s">
        <v>289</v>
      </c>
      <c r="G655" s="28">
        <v>65</v>
      </c>
      <c r="H655" s="32">
        <v>18.239999999999998</v>
      </c>
      <c r="I655" s="32">
        <v>1396.59</v>
      </c>
      <c r="J655" t="s">
        <v>239</v>
      </c>
      <c r="K655" t="s">
        <v>245</v>
      </c>
      <c r="L655" t="s">
        <v>235</v>
      </c>
      <c r="M655" t="s">
        <v>236</v>
      </c>
      <c r="N655" t="s">
        <v>237</v>
      </c>
      <c r="O655" s="27">
        <v>46055</v>
      </c>
    </row>
    <row r="656" spans="2:15" x14ac:dyDescent="0.3">
      <c r="B656">
        <v>5658854</v>
      </c>
      <c r="C656" t="s">
        <v>231</v>
      </c>
      <c r="D656">
        <v>22103</v>
      </c>
      <c r="E656" t="s">
        <v>150</v>
      </c>
      <c r="F656" t="s">
        <v>345</v>
      </c>
      <c r="G656" s="28">
        <v>76</v>
      </c>
      <c r="H656" s="32">
        <v>18.22</v>
      </c>
      <c r="I656" s="32">
        <v>3626.83</v>
      </c>
      <c r="J656" t="s">
        <v>330</v>
      </c>
      <c r="K656" t="s">
        <v>234</v>
      </c>
      <c r="L656" t="s">
        <v>235</v>
      </c>
      <c r="M656" t="s">
        <v>236</v>
      </c>
      <c r="N656" t="s">
        <v>237</v>
      </c>
      <c r="O656" s="27">
        <v>46076</v>
      </c>
    </row>
    <row r="657" spans="2:15" hidden="1" x14ac:dyDescent="0.3">
      <c r="B657">
        <v>3065087</v>
      </c>
      <c r="C657" t="s">
        <v>231</v>
      </c>
      <c r="D657">
        <v>22674</v>
      </c>
      <c r="E657" t="s">
        <v>150</v>
      </c>
      <c r="F657" t="s">
        <v>298</v>
      </c>
      <c r="G657" s="28">
        <v>91</v>
      </c>
      <c r="H657" s="32">
        <v>18.2</v>
      </c>
      <c r="I657" s="32">
        <v>1584.56</v>
      </c>
      <c r="J657" t="s">
        <v>239</v>
      </c>
      <c r="K657" t="s">
        <v>245</v>
      </c>
      <c r="L657" t="s">
        <v>235</v>
      </c>
      <c r="M657" t="s">
        <v>236</v>
      </c>
      <c r="N657" t="s">
        <v>237</v>
      </c>
      <c r="O657" s="27">
        <v>46063</v>
      </c>
    </row>
    <row r="658" spans="2:15" x14ac:dyDescent="0.3">
      <c r="B658">
        <v>7397602</v>
      </c>
      <c r="C658" t="s">
        <v>231</v>
      </c>
      <c r="D658">
        <v>22103</v>
      </c>
      <c r="E658" t="s">
        <v>150</v>
      </c>
      <c r="F658" t="s">
        <v>161</v>
      </c>
      <c r="G658" s="28">
        <v>129</v>
      </c>
      <c r="H658" s="32">
        <v>18.149999999999999</v>
      </c>
      <c r="I658" s="32">
        <v>3508.98</v>
      </c>
      <c r="J658" t="s">
        <v>239</v>
      </c>
      <c r="K658" t="s">
        <v>245</v>
      </c>
      <c r="L658" t="s">
        <v>235</v>
      </c>
      <c r="M658" t="s">
        <v>236</v>
      </c>
      <c r="N658" t="s">
        <v>237</v>
      </c>
      <c r="O658" s="27">
        <v>46072</v>
      </c>
    </row>
    <row r="659" spans="2:15" hidden="1" x14ac:dyDescent="0.3">
      <c r="B659">
        <v>3409614</v>
      </c>
      <c r="C659" t="s">
        <v>231</v>
      </c>
      <c r="D659">
        <v>71881</v>
      </c>
      <c r="E659" t="s">
        <v>150</v>
      </c>
      <c r="F659" t="s">
        <v>161</v>
      </c>
      <c r="G659" s="28">
        <v>55</v>
      </c>
      <c r="H659" s="32">
        <v>18.09</v>
      </c>
      <c r="I659" s="32">
        <v>1480.03</v>
      </c>
      <c r="J659" t="s">
        <v>239</v>
      </c>
      <c r="K659" t="s">
        <v>234</v>
      </c>
      <c r="L659" t="s">
        <v>235</v>
      </c>
      <c r="M659" t="s">
        <v>236</v>
      </c>
      <c r="N659" t="s">
        <v>237</v>
      </c>
      <c r="O659" s="27">
        <v>46057</v>
      </c>
    </row>
    <row r="660" spans="2:15" hidden="1" x14ac:dyDescent="0.3">
      <c r="B660">
        <v>591394</v>
      </c>
      <c r="C660" t="s">
        <v>231</v>
      </c>
      <c r="D660">
        <v>69493</v>
      </c>
      <c r="E660" t="s">
        <v>150</v>
      </c>
      <c r="F660" t="s">
        <v>287</v>
      </c>
      <c r="G660" s="28">
        <v>112</v>
      </c>
      <c r="H660" s="32">
        <v>17.97</v>
      </c>
      <c r="I660" s="32">
        <v>3513.26</v>
      </c>
      <c r="J660" t="s">
        <v>239</v>
      </c>
      <c r="K660" t="s">
        <v>245</v>
      </c>
      <c r="L660" t="s">
        <v>235</v>
      </c>
      <c r="M660" t="s">
        <v>236</v>
      </c>
      <c r="N660" t="s">
        <v>237</v>
      </c>
      <c r="O660" s="27">
        <v>46063</v>
      </c>
    </row>
    <row r="661" spans="2:15" hidden="1" x14ac:dyDescent="0.3">
      <c r="B661">
        <v>366105</v>
      </c>
      <c r="C661" t="s">
        <v>231</v>
      </c>
      <c r="D661">
        <v>69519</v>
      </c>
      <c r="E661" t="s">
        <v>150</v>
      </c>
      <c r="F661" t="s">
        <v>402</v>
      </c>
      <c r="G661" s="28">
        <v>232</v>
      </c>
      <c r="H661" s="32">
        <v>17.97</v>
      </c>
      <c r="I661" s="32">
        <v>2149.65</v>
      </c>
      <c r="J661" t="s">
        <v>267</v>
      </c>
      <c r="K661" t="s">
        <v>245</v>
      </c>
      <c r="L661" t="s">
        <v>235</v>
      </c>
      <c r="M661" t="s">
        <v>236</v>
      </c>
      <c r="N661" t="s">
        <v>237</v>
      </c>
      <c r="O661" s="27">
        <v>46063</v>
      </c>
    </row>
    <row r="662" spans="2:15" hidden="1" x14ac:dyDescent="0.3">
      <c r="B662">
        <v>2084946</v>
      </c>
      <c r="C662" t="s">
        <v>231</v>
      </c>
      <c r="D662">
        <v>69493</v>
      </c>
      <c r="E662" t="s">
        <v>150</v>
      </c>
      <c r="F662" t="s">
        <v>298</v>
      </c>
      <c r="G662" s="28">
        <v>156</v>
      </c>
      <c r="H662" s="32">
        <v>17.75</v>
      </c>
      <c r="I662" s="32">
        <v>2561.09</v>
      </c>
      <c r="J662" t="s">
        <v>239</v>
      </c>
      <c r="K662" t="s">
        <v>245</v>
      </c>
      <c r="L662" t="s">
        <v>235</v>
      </c>
      <c r="M662" t="s">
        <v>236</v>
      </c>
      <c r="N662" t="s">
        <v>237</v>
      </c>
      <c r="O662" s="27">
        <v>46055</v>
      </c>
    </row>
    <row r="663" spans="2:15" hidden="1" x14ac:dyDescent="0.3">
      <c r="B663">
        <v>18797810</v>
      </c>
      <c r="C663" t="s">
        <v>231</v>
      </c>
      <c r="D663">
        <v>74304</v>
      </c>
      <c r="E663" t="s">
        <v>150</v>
      </c>
      <c r="F663" t="s">
        <v>369</v>
      </c>
      <c r="G663" s="28">
        <v>82</v>
      </c>
      <c r="H663" s="32">
        <v>17.739999999999998</v>
      </c>
      <c r="I663" s="32">
        <v>4518.72</v>
      </c>
      <c r="J663" t="s">
        <v>239</v>
      </c>
      <c r="K663" t="s">
        <v>245</v>
      </c>
      <c r="L663" t="s">
        <v>235</v>
      </c>
      <c r="M663" t="s">
        <v>236</v>
      </c>
      <c r="N663" t="s">
        <v>240</v>
      </c>
      <c r="O663" s="27">
        <v>46063</v>
      </c>
    </row>
    <row r="664" spans="2:15" x14ac:dyDescent="0.3">
      <c r="B664">
        <v>5658854</v>
      </c>
      <c r="C664" t="s">
        <v>231</v>
      </c>
      <c r="D664">
        <v>22103</v>
      </c>
      <c r="E664" t="s">
        <v>150</v>
      </c>
      <c r="F664" t="s">
        <v>341</v>
      </c>
      <c r="G664" s="28">
        <v>66</v>
      </c>
      <c r="H664" s="32">
        <v>17.72</v>
      </c>
      <c r="I664" s="32">
        <v>3527.04</v>
      </c>
      <c r="J664" t="s">
        <v>330</v>
      </c>
      <c r="K664" t="s">
        <v>234</v>
      </c>
      <c r="L664" t="s">
        <v>235</v>
      </c>
      <c r="M664" t="s">
        <v>236</v>
      </c>
      <c r="N664" t="s">
        <v>240</v>
      </c>
      <c r="O664" s="27">
        <v>46076</v>
      </c>
    </row>
    <row r="665" spans="2:15" hidden="1" x14ac:dyDescent="0.3">
      <c r="B665">
        <v>2495068</v>
      </c>
      <c r="C665" t="s">
        <v>231</v>
      </c>
      <c r="D665">
        <v>69493</v>
      </c>
      <c r="E665" t="s">
        <v>150</v>
      </c>
      <c r="F665" t="s">
        <v>298</v>
      </c>
      <c r="G665" s="28">
        <v>155</v>
      </c>
      <c r="H665" s="32">
        <v>17.64</v>
      </c>
      <c r="I665" s="32">
        <v>2544.67</v>
      </c>
      <c r="J665" t="s">
        <v>239</v>
      </c>
      <c r="K665" t="s">
        <v>245</v>
      </c>
      <c r="L665" t="s">
        <v>235</v>
      </c>
      <c r="M665" t="s">
        <v>236</v>
      </c>
      <c r="N665" t="s">
        <v>237</v>
      </c>
      <c r="O665" s="27">
        <v>46055</v>
      </c>
    </row>
    <row r="666" spans="2:15" hidden="1" x14ac:dyDescent="0.3">
      <c r="B666">
        <v>2390017</v>
      </c>
      <c r="C666" t="s">
        <v>231</v>
      </c>
      <c r="D666">
        <v>69493</v>
      </c>
      <c r="E666" t="s">
        <v>150</v>
      </c>
      <c r="F666" t="s">
        <v>298</v>
      </c>
      <c r="G666" s="28">
        <v>154</v>
      </c>
      <c r="H666" s="32">
        <v>17.62</v>
      </c>
      <c r="I666" s="32">
        <v>2528.25</v>
      </c>
      <c r="J666" t="s">
        <v>239</v>
      </c>
      <c r="K666" t="s">
        <v>245</v>
      </c>
      <c r="L666" t="s">
        <v>235</v>
      </c>
      <c r="M666" t="s">
        <v>236</v>
      </c>
      <c r="N666" t="s">
        <v>237</v>
      </c>
      <c r="O666" s="27">
        <v>46055</v>
      </c>
    </row>
    <row r="667" spans="2:15" hidden="1" x14ac:dyDescent="0.3">
      <c r="B667">
        <v>14690888</v>
      </c>
      <c r="C667" t="s">
        <v>231</v>
      </c>
      <c r="D667">
        <v>21468</v>
      </c>
      <c r="E667" t="s">
        <v>150</v>
      </c>
      <c r="F667" t="s">
        <v>258</v>
      </c>
      <c r="G667" s="28">
        <v>156</v>
      </c>
      <c r="H667" s="32">
        <v>17.62</v>
      </c>
      <c r="I667" s="32">
        <v>1686.95</v>
      </c>
      <c r="J667" t="s">
        <v>239</v>
      </c>
      <c r="K667" t="s">
        <v>245</v>
      </c>
      <c r="L667" t="s">
        <v>235</v>
      </c>
      <c r="M667" t="s">
        <v>236</v>
      </c>
      <c r="N667" t="s">
        <v>240</v>
      </c>
      <c r="O667" s="27">
        <v>46055</v>
      </c>
    </row>
    <row r="668" spans="2:15" hidden="1" x14ac:dyDescent="0.3">
      <c r="B668">
        <v>2496015</v>
      </c>
      <c r="C668" t="s">
        <v>231</v>
      </c>
      <c r="D668">
        <v>38517</v>
      </c>
      <c r="E668" t="s">
        <v>150</v>
      </c>
      <c r="F668" t="s">
        <v>246</v>
      </c>
      <c r="G668" s="28">
        <v>114</v>
      </c>
      <c r="H668" s="32">
        <v>17.61</v>
      </c>
      <c r="I668" s="32">
        <v>4234.93</v>
      </c>
      <c r="J668" t="s">
        <v>239</v>
      </c>
      <c r="K668" t="s">
        <v>245</v>
      </c>
      <c r="L668" t="s">
        <v>235</v>
      </c>
      <c r="M668" t="s">
        <v>236</v>
      </c>
      <c r="N668" t="s">
        <v>237</v>
      </c>
      <c r="O668" s="27">
        <v>46063</v>
      </c>
    </row>
    <row r="669" spans="2:15" hidden="1" x14ac:dyDescent="0.3">
      <c r="B669">
        <v>2403987</v>
      </c>
      <c r="C669" t="s">
        <v>231</v>
      </c>
      <c r="D669">
        <v>23648</v>
      </c>
      <c r="E669" t="s">
        <v>150</v>
      </c>
      <c r="F669" t="s">
        <v>298</v>
      </c>
      <c r="G669" s="28">
        <v>87</v>
      </c>
      <c r="H669" s="32">
        <v>17.59</v>
      </c>
      <c r="I669" s="32">
        <v>1514.83</v>
      </c>
      <c r="J669" t="s">
        <v>239</v>
      </c>
      <c r="K669" t="s">
        <v>245</v>
      </c>
      <c r="L669" t="s">
        <v>235</v>
      </c>
      <c r="M669" t="s">
        <v>236</v>
      </c>
      <c r="N669" t="s">
        <v>237</v>
      </c>
      <c r="O669" s="27">
        <v>46063</v>
      </c>
    </row>
    <row r="670" spans="2:15" hidden="1" x14ac:dyDescent="0.3">
      <c r="B670">
        <v>2826183</v>
      </c>
      <c r="C670" t="s">
        <v>231</v>
      </c>
      <c r="D670">
        <v>69493</v>
      </c>
      <c r="E670" t="s">
        <v>150</v>
      </c>
      <c r="F670" t="s">
        <v>282</v>
      </c>
      <c r="G670" s="28">
        <v>48</v>
      </c>
      <c r="H670" s="32">
        <v>17.57</v>
      </c>
      <c r="I670" s="32">
        <v>2441.33</v>
      </c>
      <c r="J670" t="s">
        <v>239</v>
      </c>
      <c r="K670" t="s">
        <v>245</v>
      </c>
      <c r="L670" t="s">
        <v>235</v>
      </c>
      <c r="M670" t="s">
        <v>236</v>
      </c>
      <c r="N670" t="s">
        <v>240</v>
      </c>
      <c r="O670" s="27">
        <v>46055</v>
      </c>
    </row>
    <row r="671" spans="2:15" hidden="1" x14ac:dyDescent="0.3">
      <c r="B671">
        <v>2632292</v>
      </c>
      <c r="C671" t="s">
        <v>231</v>
      </c>
      <c r="D671">
        <v>69519</v>
      </c>
      <c r="E671" t="s">
        <v>150</v>
      </c>
      <c r="F671" t="s">
        <v>246</v>
      </c>
      <c r="G671" s="28">
        <v>78</v>
      </c>
      <c r="H671" s="32">
        <v>17.48</v>
      </c>
      <c r="I671" s="32">
        <v>2962.42</v>
      </c>
      <c r="J671" t="s">
        <v>239</v>
      </c>
      <c r="K671" t="s">
        <v>245</v>
      </c>
      <c r="L671" t="s">
        <v>235</v>
      </c>
      <c r="M671" t="s">
        <v>236</v>
      </c>
      <c r="N671" t="s">
        <v>240</v>
      </c>
      <c r="O671" s="27">
        <v>46072</v>
      </c>
    </row>
    <row r="672" spans="2:15" hidden="1" x14ac:dyDescent="0.3">
      <c r="B672">
        <v>6901714</v>
      </c>
      <c r="C672" t="s">
        <v>260</v>
      </c>
      <c r="D672">
        <v>71997</v>
      </c>
      <c r="E672" t="s">
        <v>150</v>
      </c>
      <c r="F672" t="s">
        <v>163</v>
      </c>
      <c r="G672" s="28">
        <v>100</v>
      </c>
      <c r="H672" s="32">
        <v>17.47</v>
      </c>
      <c r="I672" s="32">
        <v>1396.09</v>
      </c>
      <c r="J672" t="s">
        <v>239</v>
      </c>
      <c r="K672" t="s">
        <v>245</v>
      </c>
      <c r="L672" t="s">
        <v>235</v>
      </c>
      <c r="M672" t="s">
        <v>236</v>
      </c>
      <c r="N672" t="s">
        <v>237</v>
      </c>
      <c r="O672" s="27">
        <v>46063</v>
      </c>
    </row>
    <row r="673" spans="2:15" hidden="1" x14ac:dyDescent="0.3">
      <c r="B673">
        <v>2013549</v>
      </c>
      <c r="C673" t="s">
        <v>231</v>
      </c>
      <c r="D673">
        <v>23648</v>
      </c>
      <c r="E673" t="s">
        <v>150</v>
      </c>
      <c r="F673" t="s">
        <v>283</v>
      </c>
      <c r="G673" s="28">
        <v>300</v>
      </c>
      <c r="H673" s="32">
        <v>17.45</v>
      </c>
      <c r="I673" s="32">
        <v>3396</v>
      </c>
      <c r="J673" t="s">
        <v>239</v>
      </c>
      <c r="K673" t="s">
        <v>234</v>
      </c>
      <c r="L673" t="s">
        <v>235</v>
      </c>
      <c r="M673" t="s">
        <v>236</v>
      </c>
      <c r="N673" t="s">
        <v>240</v>
      </c>
      <c r="O673" s="27">
        <v>46059</v>
      </c>
    </row>
    <row r="674" spans="2:15" hidden="1" x14ac:dyDescent="0.3">
      <c r="B674">
        <v>2987541</v>
      </c>
      <c r="C674" t="s">
        <v>231</v>
      </c>
      <c r="D674">
        <v>23648</v>
      </c>
      <c r="E674" t="s">
        <v>150</v>
      </c>
      <c r="F674" t="s">
        <v>298</v>
      </c>
      <c r="G674" s="28">
        <v>86</v>
      </c>
      <c r="H674" s="32">
        <v>17.420000000000002</v>
      </c>
      <c r="I674" s="32">
        <v>1497.35</v>
      </c>
      <c r="J674" t="s">
        <v>239</v>
      </c>
      <c r="K674" t="s">
        <v>245</v>
      </c>
      <c r="L674" t="s">
        <v>235</v>
      </c>
      <c r="M674" t="s">
        <v>236</v>
      </c>
      <c r="N674" t="s">
        <v>237</v>
      </c>
      <c r="O674" s="27">
        <v>46063</v>
      </c>
    </row>
    <row r="675" spans="2:15" hidden="1" x14ac:dyDescent="0.3">
      <c r="B675">
        <v>2255037</v>
      </c>
      <c r="C675" t="s">
        <v>231</v>
      </c>
      <c r="D675">
        <v>22674</v>
      </c>
      <c r="E675" t="s">
        <v>150</v>
      </c>
      <c r="F675" t="s">
        <v>298</v>
      </c>
      <c r="G675" s="28">
        <v>86</v>
      </c>
      <c r="H675" s="32">
        <v>17.39</v>
      </c>
      <c r="I675" s="32">
        <v>1497.35</v>
      </c>
      <c r="J675" t="s">
        <v>239</v>
      </c>
      <c r="K675" t="s">
        <v>245</v>
      </c>
      <c r="L675" t="s">
        <v>235</v>
      </c>
      <c r="M675" t="s">
        <v>236</v>
      </c>
      <c r="N675" t="s">
        <v>237</v>
      </c>
      <c r="O675" s="27">
        <v>46063</v>
      </c>
    </row>
    <row r="676" spans="2:15" x14ac:dyDescent="0.3">
      <c r="B676">
        <v>7397602</v>
      </c>
      <c r="C676" t="s">
        <v>231</v>
      </c>
      <c r="D676">
        <v>22103</v>
      </c>
      <c r="E676" t="s">
        <v>150</v>
      </c>
      <c r="F676" t="s">
        <v>246</v>
      </c>
      <c r="G676" s="28">
        <v>73</v>
      </c>
      <c r="H676" s="32">
        <v>17.37</v>
      </c>
      <c r="I676" s="32">
        <v>2697.41</v>
      </c>
      <c r="J676" t="s">
        <v>239</v>
      </c>
      <c r="K676" t="s">
        <v>245</v>
      </c>
      <c r="L676" t="s">
        <v>235</v>
      </c>
      <c r="M676" t="s">
        <v>236</v>
      </c>
      <c r="N676" t="s">
        <v>237</v>
      </c>
      <c r="O676" s="27">
        <v>46055</v>
      </c>
    </row>
    <row r="677" spans="2:15" hidden="1" x14ac:dyDescent="0.3">
      <c r="B677">
        <v>2973255</v>
      </c>
      <c r="C677" t="s">
        <v>260</v>
      </c>
      <c r="D677">
        <v>69519</v>
      </c>
      <c r="E677" t="s">
        <v>150</v>
      </c>
      <c r="F677" t="s">
        <v>402</v>
      </c>
      <c r="G677" s="28">
        <v>226</v>
      </c>
      <c r="H677" s="32">
        <v>17.37</v>
      </c>
      <c r="I677" s="32">
        <v>2094.0700000000002</v>
      </c>
      <c r="J677" t="s">
        <v>267</v>
      </c>
      <c r="K677" t="s">
        <v>245</v>
      </c>
      <c r="L677" t="s">
        <v>235</v>
      </c>
      <c r="M677" t="s">
        <v>236</v>
      </c>
      <c r="N677" t="s">
        <v>237</v>
      </c>
      <c r="O677" s="27">
        <v>46063</v>
      </c>
    </row>
    <row r="678" spans="2:15" hidden="1" x14ac:dyDescent="0.3">
      <c r="B678">
        <v>9796204</v>
      </c>
      <c r="C678" t="s">
        <v>260</v>
      </c>
      <c r="D678">
        <v>21468</v>
      </c>
      <c r="E678" t="s">
        <v>150</v>
      </c>
      <c r="F678" t="s">
        <v>407</v>
      </c>
      <c r="G678" s="28">
        <v>28</v>
      </c>
      <c r="H678" s="32">
        <v>17.32</v>
      </c>
      <c r="I678" s="32">
        <v>1442.18</v>
      </c>
      <c r="J678" t="s">
        <v>239</v>
      </c>
      <c r="K678" t="s">
        <v>245</v>
      </c>
      <c r="L678" t="s">
        <v>235</v>
      </c>
      <c r="M678" t="s">
        <v>236</v>
      </c>
      <c r="N678" t="s">
        <v>237</v>
      </c>
      <c r="O678" s="27">
        <v>46072</v>
      </c>
    </row>
    <row r="679" spans="2:15" x14ac:dyDescent="0.3">
      <c r="B679">
        <v>4745805</v>
      </c>
      <c r="C679" t="s">
        <v>231</v>
      </c>
      <c r="D679">
        <v>22103</v>
      </c>
      <c r="E679" t="s">
        <v>150</v>
      </c>
      <c r="F679" t="s">
        <v>282</v>
      </c>
      <c r="G679" s="28">
        <v>85</v>
      </c>
      <c r="H679" s="32">
        <v>17.22</v>
      </c>
      <c r="I679" s="32">
        <v>4341.97</v>
      </c>
      <c r="J679" t="s">
        <v>239</v>
      </c>
      <c r="K679" t="s">
        <v>245</v>
      </c>
      <c r="L679" t="s">
        <v>235</v>
      </c>
      <c r="M679" t="s">
        <v>236</v>
      </c>
      <c r="N679" t="s">
        <v>240</v>
      </c>
      <c r="O679" s="27">
        <v>46063</v>
      </c>
    </row>
    <row r="680" spans="2:15" hidden="1" x14ac:dyDescent="0.3">
      <c r="B680">
        <v>2632292</v>
      </c>
      <c r="C680" t="s">
        <v>231</v>
      </c>
      <c r="D680">
        <v>69519</v>
      </c>
      <c r="E680" t="s">
        <v>150</v>
      </c>
      <c r="F680" t="s">
        <v>318</v>
      </c>
      <c r="G680" s="28">
        <v>19</v>
      </c>
      <c r="H680" s="32">
        <v>17.21</v>
      </c>
      <c r="I680" s="32">
        <v>2918.82</v>
      </c>
      <c r="J680" t="s">
        <v>239</v>
      </c>
      <c r="K680" t="s">
        <v>245</v>
      </c>
      <c r="L680" t="s">
        <v>235</v>
      </c>
      <c r="M680" t="s">
        <v>236</v>
      </c>
      <c r="N680" t="s">
        <v>237</v>
      </c>
      <c r="O680" s="27">
        <v>46072</v>
      </c>
    </row>
    <row r="681" spans="2:15" hidden="1" x14ac:dyDescent="0.3">
      <c r="B681">
        <v>5933489</v>
      </c>
      <c r="C681" t="s">
        <v>231</v>
      </c>
      <c r="D681">
        <v>23648</v>
      </c>
      <c r="E681" t="s">
        <v>150</v>
      </c>
      <c r="F681" t="s">
        <v>163</v>
      </c>
      <c r="G681" s="28">
        <v>98</v>
      </c>
      <c r="H681" s="32">
        <v>17.170000000000002</v>
      </c>
      <c r="I681" s="32">
        <v>1368.11</v>
      </c>
      <c r="J681" t="s">
        <v>239</v>
      </c>
      <c r="K681" t="s">
        <v>245</v>
      </c>
      <c r="L681" t="s">
        <v>235</v>
      </c>
      <c r="M681" t="s">
        <v>236</v>
      </c>
      <c r="N681" t="s">
        <v>237</v>
      </c>
      <c r="O681" s="27">
        <v>46063</v>
      </c>
    </row>
    <row r="682" spans="2:15" hidden="1" x14ac:dyDescent="0.3">
      <c r="B682">
        <v>4415330</v>
      </c>
      <c r="C682" t="s">
        <v>260</v>
      </c>
      <c r="D682">
        <v>22674</v>
      </c>
      <c r="E682" t="s">
        <v>150</v>
      </c>
      <c r="F682" t="s">
        <v>163</v>
      </c>
      <c r="G682" s="28">
        <v>97</v>
      </c>
      <c r="H682" s="32">
        <v>17.05</v>
      </c>
      <c r="I682" s="32">
        <v>1354.23</v>
      </c>
      <c r="J682" t="s">
        <v>239</v>
      </c>
      <c r="K682" t="s">
        <v>245</v>
      </c>
      <c r="L682" t="s">
        <v>235</v>
      </c>
      <c r="M682" t="s">
        <v>236</v>
      </c>
      <c r="N682" t="s">
        <v>237</v>
      </c>
      <c r="O682" s="27">
        <v>46063</v>
      </c>
    </row>
    <row r="683" spans="2:15" hidden="1" x14ac:dyDescent="0.3">
      <c r="B683">
        <v>750270</v>
      </c>
      <c r="C683" t="s">
        <v>231</v>
      </c>
      <c r="D683">
        <v>22674</v>
      </c>
      <c r="E683" t="s">
        <v>150</v>
      </c>
      <c r="F683" t="s">
        <v>363</v>
      </c>
      <c r="G683" s="28">
        <v>73</v>
      </c>
      <c r="H683" s="32">
        <v>17.03</v>
      </c>
      <c r="I683" s="32">
        <v>2898.83</v>
      </c>
      <c r="J683" t="s">
        <v>330</v>
      </c>
      <c r="K683" t="s">
        <v>234</v>
      </c>
      <c r="L683" t="s">
        <v>235</v>
      </c>
      <c r="M683" t="s">
        <v>236</v>
      </c>
      <c r="N683" t="s">
        <v>237</v>
      </c>
      <c r="O683" s="27">
        <v>46065</v>
      </c>
    </row>
    <row r="684" spans="2:15" hidden="1" x14ac:dyDescent="0.3">
      <c r="B684">
        <v>54685</v>
      </c>
      <c r="C684" t="s">
        <v>260</v>
      </c>
      <c r="D684">
        <v>22674</v>
      </c>
      <c r="E684" t="s">
        <v>150</v>
      </c>
      <c r="F684" t="s">
        <v>377</v>
      </c>
      <c r="G684" s="28">
        <v>94</v>
      </c>
      <c r="H684" s="32">
        <v>17.010000000000002</v>
      </c>
      <c r="I684" s="32">
        <v>2939.38</v>
      </c>
      <c r="J684" t="s">
        <v>330</v>
      </c>
      <c r="K684" t="s">
        <v>234</v>
      </c>
      <c r="L684" t="s">
        <v>235</v>
      </c>
      <c r="M684" t="s">
        <v>236</v>
      </c>
      <c r="N684" t="s">
        <v>237</v>
      </c>
      <c r="O684" s="27">
        <v>46063</v>
      </c>
    </row>
    <row r="685" spans="2:15" hidden="1" x14ac:dyDescent="0.3">
      <c r="B685">
        <v>54685</v>
      </c>
      <c r="C685" t="s">
        <v>260</v>
      </c>
      <c r="D685">
        <v>22674</v>
      </c>
      <c r="E685" t="s">
        <v>150</v>
      </c>
      <c r="F685" t="s">
        <v>363</v>
      </c>
      <c r="G685" s="28">
        <v>75</v>
      </c>
      <c r="H685" s="32">
        <v>17</v>
      </c>
      <c r="I685" s="32">
        <v>2937.17</v>
      </c>
      <c r="J685" t="s">
        <v>330</v>
      </c>
      <c r="K685" t="s">
        <v>234</v>
      </c>
      <c r="L685" t="s">
        <v>235</v>
      </c>
      <c r="M685" t="s">
        <v>236</v>
      </c>
      <c r="N685" t="s">
        <v>237</v>
      </c>
      <c r="O685" s="27">
        <v>46063</v>
      </c>
    </row>
    <row r="686" spans="2:15" hidden="1" x14ac:dyDescent="0.3">
      <c r="B686">
        <v>750270</v>
      </c>
      <c r="C686" t="s">
        <v>231</v>
      </c>
      <c r="D686">
        <v>22674</v>
      </c>
      <c r="E686" t="s">
        <v>150</v>
      </c>
      <c r="F686" t="s">
        <v>329</v>
      </c>
      <c r="G686" s="28">
        <v>32</v>
      </c>
      <c r="H686" s="32">
        <v>16.989999999999998</v>
      </c>
      <c r="I686" s="32">
        <v>2892.48</v>
      </c>
      <c r="J686" t="s">
        <v>330</v>
      </c>
      <c r="K686" t="s">
        <v>234</v>
      </c>
      <c r="L686" t="s">
        <v>235</v>
      </c>
      <c r="M686" t="s">
        <v>236</v>
      </c>
      <c r="N686" t="s">
        <v>237</v>
      </c>
      <c r="O686" s="27">
        <v>46065</v>
      </c>
    </row>
    <row r="687" spans="2:15" hidden="1" x14ac:dyDescent="0.3">
      <c r="B687">
        <v>750270</v>
      </c>
      <c r="C687" t="s">
        <v>231</v>
      </c>
      <c r="D687">
        <v>22674</v>
      </c>
      <c r="E687" t="s">
        <v>150</v>
      </c>
      <c r="F687" t="s">
        <v>361</v>
      </c>
      <c r="G687" s="28">
        <v>78</v>
      </c>
      <c r="H687" s="32">
        <v>16.95</v>
      </c>
      <c r="I687" s="32">
        <v>2885.8</v>
      </c>
      <c r="J687" t="s">
        <v>330</v>
      </c>
      <c r="K687" t="s">
        <v>234</v>
      </c>
      <c r="L687" t="s">
        <v>235</v>
      </c>
      <c r="M687" t="s">
        <v>236</v>
      </c>
      <c r="N687" t="s">
        <v>237</v>
      </c>
      <c r="O687" s="27">
        <v>46065</v>
      </c>
    </row>
    <row r="688" spans="2:15" hidden="1" x14ac:dyDescent="0.3">
      <c r="B688">
        <v>54685</v>
      </c>
      <c r="C688" t="s">
        <v>260</v>
      </c>
      <c r="D688">
        <v>22674</v>
      </c>
      <c r="E688" t="s">
        <v>150</v>
      </c>
      <c r="F688" t="s">
        <v>263</v>
      </c>
      <c r="G688" s="28">
        <v>200</v>
      </c>
      <c r="H688" s="32">
        <v>16.95</v>
      </c>
      <c r="I688" s="32">
        <v>2928</v>
      </c>
      <c r="J688" t="s">
        <v>239</v>
      </c>
      <c r="K688" t="s">
        <v>234</v>
      </c>
      <c r="L688" t="s">
        <v>235</v>
      </c>
      <c r="M688" t="s">
        <v>236</v>
      </c>
      <c r="N688" t="s">
        <v>237</v>
      </c>
      <c r="O688" s="27">
        <v>46063</v>
      </c>
    </row>
    <row r="689" spans="2:15" hidden="1" x14ac:dyDescent="0.3">
      <c r="B689">
        <v>750270</v>
      </c>
      <c r="C689" t="s">
        <v>231</v>
      </c>
      <c r="D689">
        <v>22674</v>
      </c>
      <c r="E689" t="s">
        <v>150</v>
      </c>
      <c r="F689" t="s">
        <v>377</v>
      </c>
      <c r="G689" s="28">
        <v>94</v>
      </c>
      <c r="H689" s="32">
        <v>16.920000000000002</v>
      </c>
      <c r="I689" s="32">
        <v>2880.12</v>
      </c>
      <c r="J689" t="s">
        <v>330</v>
      </c>
      <c r="K689" t="s">
        <v>234</v>
      </c>
      <c r="L689" t="s">
        <v>235</v>
      </c>
      <c r="M689" t="s">
        <v>236</v>
      </c>
      <c r="N689" t="s">
        <v>237</v>
      </c>
      <c r="O689" s="27">
        <v>46065</v>
      </c>
    </row>
    <row r="690" spans="2:15" hidden="1" x14ac:dyDescent="0.3">
      <c r="B690">
        <v>4382412</v>
      </c>
      <c r="C690" t="s">
        <v>231</v>
      </c>
      <c r="D690">
        <v>49894</v>
      </c>
      <c r="E690" t="s">
        <v>150</v>
      </c>
      <c r="F690" t="s">
        <v>287</v>
      </c>
      <c r="G690" s="28">
        <v>100</v>
      </c>
      <c r="H690" s="32">
        <v>16.86</v>
      </c>
      <c r="I690" s="32">
        <v>3169</v>
      </c>
      <c r="J690" t="s">
        <v>239</v>
      </c>
      <c r="K690" t="s">
        <v>234</v>
      </c>
      <c r="L690" t="s">
        <v>235</v>
      </c>
      <c r="M690" t="s">
        <v>236</v>
      </c>
      <c r="N690" t="s">
        <v>240</v>
      </c>
      <c r="O690" s="27">
        <v>46076</v>
      </c>
    </row>
    <row r="691" spans="2:15" hidden="1" x14ac:dyDescent="0.3">
      <c r="B691">
        <v>8781959</v>
      </c>
      <c r="C691" t="s">
        <v>231</v>
      </c>
      <c r="D691">
        <v>72444</v>
      </c>
      <c r="E691" t="s">
        <v>150</v>
      </c>
      <c r="F691" t="s">
        <v>163</v>
      </c>
      <c r="G691" s="28">
        <v>89</v>
      </c>
      <c r="H691" s="32">
        <v>16.86</v>
      </c>
      <c r="I691" s="32">
        <v>1242.51</v>
      </c>
      <c r="J691" t="s">
        <v>239</v>
      </c>
      <c r="K691" t="s">
        <v>245</v>
      </c>
      <c r="L691" t="s">
        <v>235</v>
      </c>
      <c r="M691" t="s">
        <v>236</v>
      </c>
      <c r="N691" t="s">
        <v>237</v>
      </c>
      <c r="O691" s="27">
        <v>46063</v>
      </c>
    </row>
    <row r="692" spans="2:15" hidden="1" x14ac:dyDescent="0.3">
      <c r="B692">
        <v>3684655</v>
      </c>
      <c r="C692" t="s">
        <v>260</v>
      </c>
      <c r="D692">
        <v>38517</v>
      </c>
      <c r="E692" t="s">
        <v>150</v>
      </c>
      <c r="F692" t="s">
        <v>298</v>
      </c>
      <c r="G692" s="28">
        <v>82</v>
      </c>
      <c r="H692" s="32">
        <v>16.82</v>
      </c>
      <c r="I692" s="32">
        <v>1427.67</v>
      </c>
      <c r="J692" t="s">
        <v>239</v>
      </c>
      <c r="K692" t="s">
        <v>245</v>
      </c>
      <c r="L692" t="s">
        <v>235</v>
      </c>
      <c r="M692" t="s">
        <v>236</v>
      </c>
      <c r="N692" t="s">
        <v>237</v>
      </c>
      <c r="O692" s="27">
        <v>46063</v>
      </c>
    </row>
    <row r="693" spans="2:15" hidden="1" x14ac:dyDescent="0.3">
      <c r="B693">
        <v>18797810</v>
      </c>
      <c r="C693" t="s">
        <v>231</v>
      </c>
      <c r="D693">
        <v>74304</v>
      </c>
      <c r="E693" t="s">
        <v>150</v>
      </c>
      <c r="F693" t="s">
        <v>246</v>
      </c>
      <c r="G693" s="28">
        <v>86</v>
      </c>
      <c r="H693" s="32">
        <v>16.79</v>
      </c>
      <c r="I693" s="32">
        <v>3194.85</v>
      </c>
      <c r="J693" t="s">
        <v>239</v>
      </c>
      <c r="K693" t="s">
        <v>245</v>
      </c>
      <c r="L693" t="s">
        <v>235</v>
      </c>
      <c r="M693" t="s">
        <v>236</v>
      </c>
      <c r="N693" t="s">
        <v>237</v>
      </c>
      <c r="O693" s="27">
        <v>46063</v>
      </c>
    </row>
    <row r="694" spans="2:15" hidden="1" x14ac:dyDescent="0.3">
      <c r="B694">
        <v>3824485</v>
      </c>
      <c r="C694" t="s">
        <v>260</v>
      </c>
      <c r="D694">
        <v>69579</v>
      </c>
      <c r="E694" t="s">
        <v>150</v>
      </c>
      <c r="F694" t="s">
        <v>407</v>
      </c>
      <c r="G694" s="28">
        <v>36</v>
      </c>
      <c r="H694" s="32">
        <v>16.77</v>
      </c>
      <c r="I694" s="32">
        <v>1854.04</v>
      </c>
      <c r="J694" t="s">
        <v>239</v>
      </c>
      <c r="K694" t="s">
        <v>245</v>
      </c>
      <c r="L694" t="s">
        <v>235</v>
      </c>
      <c r="M694" t="s">
        <v>236</v>
      </c>
      <c r="N694" t="s">
        <v>237</v>
      </c>
      <c r="O694" s="27">
        <v>46072</v>
      </c>
    </row>
    <row r="695" spans="2:15" hidden="1" x14ac:dyDescent="0.3">
      <c r="B695">
        <v>750270</v>
      </c>
      <c r="C695" t="s">
        <v>231</v>
      </c>
      <c r="D695">
        <v>22674</v>
      </c>
      <c r="E695" t="s">
        <v>150</v>
      </c>
      <c r="F695" t="s">
        <v>345</v>
      </c>
      <c r="G695" s="28">
        <v>59</v>
      </c>
      <c r="H695" s="32">
        <v>16.72</v>
      </c>
      <c r="I695" s="32">
        <v>2846.16</v>
      </c>
      <c r="J695" t="s">
        <v>330</v>
      </c>
      <c r="K695" t="s">
        <v>234</v>
      </c>
      <c r="L695" t="s">
        <v>235</v>
      </c>
      <c r="M695" t="s">
        <v>236</v>
      </c>
      <c r="N695" t="s">
        <v>237</v>
      </c>
      <c r="O695" s="27">
        <v>46065</v>
      </c>
    </row>
    <row r="696" spans="2:15" hidden="1" x14ac:dyDescent="0.3">
      <c r="B696">
        <v>3321439</v>
      </c>
      <c r="C696" t="s">
        <v>231</v>
      </c>
      <c r="D696">
        <v>22674</v>
      </c>
      <c r="E696" t="s">
        <v>150</v>
      </c>
      <c r="F696" t="s">
        <v>298</v>
      </c>
      <c r="G696" s="28">
        <v>80</v>
      </c>
      <c r="H696" s="32">
        <v>16.489999999999998</v>
      </c>
      <c r="I696" s="32">
        <v>1392.89</v>
      </c>
      <c r="J696" t="s">
        <v>239</v>
      </c>
      <c r="K696" t="s">
        <v>245</v>
      </c>
      <c r="L696" t="s">
        <v>235</v>
      </c>
      <c r="M696" t="s">
        <v>236</v>
      </c>
      <c r="N696" t="s">
        <v>237</v>
      </c>
      <c r="O696" s="27">
        <v>46063</v>
      </c>
    </row>
    <row r="697" spans="2:15" hidden="1" x14ac:dyDescent="0.3">
      <c r="B697">
        <v>4382412</v>
      </c>
      <c r="C697" t="s">
        <v>231</v>
      </c>
      <c r="D697">
        <v>49894</v>
      </c>
      <c r="E697" t="s">
        <v>150</v>
      </c>
      <c r="F697" t="s">
        <v>341</v>
      </c>
      <c r="G697" s="28">
        <v>58</v>
      </c>
      <c r="H697" s="32">
        <v>16.489999999999998</v>
      </c>
      <c r="I697" s="32">
        <v>3098.94</v>
      </c>
      <c r="J697" t="s">
        <v>330</v>
      </c>
      <c r="K697" t="s">
        <v>234</v>
      </c>
      <c r="L697" t="s">
        <v>235</v>
      </c>
      <c r="M697" t="s">
        <v>236</v>
      </c>
      <c r="N697" t="s">
        <v>240</v>
      </c>
      <c r="O697" s="27">
        <v>46076</v>
      </c>
    </row>
    <row r="698" spans="2:15" hidden="1" x14ac:dyDescent="0.3">
      <c r="B698">
        <v>3953521</v>
      </c>
      <c r="C698" t="s">
        <v>231</v>
      </c>
      <c r="D698">
        <v>38517</v>
      </c>
      <c r="E698" t="s">
        <v>150</v>
      </c>
      <c r="F698" t="s">
        <v>298</v>
      </c>
      <c r="G698" s="28">
        <v>95</v>
      </c>
      <c r="H698" s="32">
        <v>16.48</v>
      </c>
      <c r="I698" s="32">
        <v>1653.96</v>
      </c>
      <c r="J698" t="s">
        <v>239</v>
      </c>
      <c r="K698" t="s">
        <v>245</v>
      </c>
      <c r="L698" t="s">
        <v>235</v>
      </c>
      <c r="M698" t="s">
        <v>236</v>
      </c>
      <c r="N698" t="s">
        <v>237</v>
      </c>
      <c r="O698" s="27">
        <v>46063</v>
      </c>
    </row>
    <row r="699" spans="2:15" hidden="1" x14ac:dyDescent="0.3">
      <c r="B699">
        <v>2603913</v>
      </c>
      <c r="C699" t="s">
        <v>231</v>
      </c>
      <c r="D699">
        <v>69519</v>
      </c>
      <c r="E699" t="s">
        <v>150</v>
      </c>
      <c r="F699" t="s">
        <v>306</v>
      </c>
      <c r="G699" s="28">
        <v>117</v>
      </c>
      <c r="H699" s="32">
        <v>16.47</v>
      </c>
      <c r="I699" s="32">
        <v>1046.44</v>
      </c>
      <c r="J699" t="s">
        <v>267</v>
      </c>
      <c r="K699" t="s">
        <v>245</v>
      </c>
      <c r="L699" t="s">
        <v>235</v>
      </c>
      <c r="M699" t="s">
        <v>236</v>
      </c>
      <c r="N699" t="s">
        <v>240</v>
      </c>
      <c r="O699" s="27">
        <v>46063</v>
      </c>
    </row>
    <row r="700" spans="2:15" hidden="1" x14ac:dyDescent="0.3">
      <c r="B700">
        <v>2826183</v>
      </c>
      <c r="C700" t="s">
        <v>231</v>
      </c>
      <c r="D700">
        <v>69493</v>
      </c>
      <c r="E700" t="s">
        <v>150</v>
      </c>
      <c r="F700" t="s">
        <v>298</v>
      </c>
      <c r="G700" s="28">
        <v>139</v>
      </c>
      <c r="H700" s="32">
        <v>16.420000000000002</v>
      </c>
      <c r="I700" s="32">
        <v>2281.9899999999998</v>
      </c>
      <c r="J700" t="s">
        <v>239</v>
      </c>
      <c r="K700" t="s">
        <v>245</v>
      </c>
      <c r="L700" t="s">
        <v>235</v>
      </c>
      <c r="M700" t="s">
        <v>236</v>
      </c>
      <c r="N700" t="s">
        <v>237</v>
      </c>
      <c r="O700" s="27">
        <v>46055</v>
      </c>
    </row>
    <row r="701" spans="2:15" hidden="1" x14ac:dyDescent="0.3">
      <c r="B701">
        <v>250134</v>
      </c>
      <c r="C701" t="s">
        <v>231</v>
      </c>
      <c r="D701">
        <v>22674</v>
      </c>
      <c r="E701" t="s">
        <v>150</v>
      </c>
      <c r="F701" t="s">
        <v>369</v>
      </c>
      <c r="G701" s="28">
        <v>73</v>
      </c>
      <c r="H701" s="32">
        <v>16.36</v>
      </c>
      <c r="I701" s="32">
        <v>4022.64</v>
      </c>
      <c r="J701" t="s">
        <v>239</v>
      </c>
      <c r="K701" t="s">
        <v>245</v>
      </c>
      <c r="L701" t="s">
        <v>235</v>
      </c>
      <c r="M701" t="s">
        <v>236</v>
      </c>
      <c r="N701" t="s">
        <v>240</v>
      </c>
      <c r="O701" s="27">
        <v>46063</v>
      </c>
    </row>
    <row r="702" spans="2:15" hidden="1" x14ac:dyDescent="0.3">
      <c r="B702">
        <v>18872460</v>
      </c>
      <c r="C702" t="s">
        <v>231</v>
      </c>
      <c r="D702">
        <v>74304</v>
      </c>
      <c r="E702" t="s">
        <v>150</v>
      </c>
      <c r="F702" t="s">
        <v>274</v>
      </c>
      <c r="G702" s="28">
        <v>214</v>
      </c>
      <c r="H702" s="32">
        <v>16.36</v>
      </c>
      <c r="I702" s="32">
        <v>3143.05</v>
      </c>
      <c r="J702" t="s">
        <v>239</v>
      </c>
      <c r="K702" t="s">
        <v>245</v>
      </c>
      <c r="L702" t="s">
        <v>235</v>
      </c>
      <c r="M702" t="s">
        <v>236</v>
      </c>
      <c r="N702" t="s">
        <v>237</v>
      </c>
      <c r="O702" s="27">
        <v>46055</v>
      </c>
    </row>
    <row r="703" spans="2:15" hidden="1" x14ac:dyDescent="0.3">
      <c r="B703">
        <v>8518733</v>
      </c>
      <c r="C703" t="s">
        <v>260</v>
      </c>
      <c r="D703">
        <v>40901</v>
      </c>
      <c r="E703" t="s">
        <v>150</v>
      </c>
      <c r="F703" t="s">
        <v>258</v>
      </c>
      <c r="G703" s="28">
        <v>106</v>
      </c>
      <c r="H703" s="32">
        <v>16.34</v>
      </c>
      <c r="I703" s="32">
        <v>1146.26</v>
      </c>
      <c r="J703" t="s">
        <v>239</v>
      </c>
      <c r="K703" t="s">
        <v>245</v>
      </c>
      <c r="L703" t="s">
        <v>235</v>
      </c>
      <c r="M703" t="s">
        <v>236</v>
      </c>
      <c r="N703" t="s">
        <v>240</v>
      </c>
      <c r="O703" s="27">
        <v>46055</v>
      </c>
    </row>
    <row r="704" spans="2:15" hidden="1" x14ac:dyDescent="0.3">
      <c r="B704">
        <v>8518733</v>
      </c>
      <c r="C704" t="s">
        <v>260</v>
      </c>
      <c r="D704">
        <v>40901</v>
      </c>
      <c r="E704" t="s">
        <v>150</v>
      </c>
      <c r="F704" t="s">
        <v>289</v>
      </c>
      <c r="G704" s="28">
        <v>53</v>
      </c>
      <c r="H704" s="32">
        <v>16.2</v>
      </c>
      <c r="I704" s="32">
        <v>1138.76</v>
      </c>
      <c r="J704" t="s">
        <v>239</v>
      </c>
      <c r="K704" t="s">
        <v>245</v>
      </c>
      <c r="L704" t="s">
        <v>235</v>
      </c>
      <c r="M704" t="s">
        <v>236</v>
      </c>
      <c r="N704" t="s">
        <v>237</v>
      </c>
      <c r="O704" s="27">
        <v>46055</v>
      </c>
    </row>
    <row r="705" spans="2:15" hidden="1" x14ac:dyDescent="0.3">
      <c r="B705">
        <v>2922242</v>
      </c>
      <c r="C705" t="s">
        <v>260</v>
      </c>
      <c r="D705">
        <v>69519</v>
      </c>
      <c r="E705" t="s">
        <v>150</v>
      </c>
      <c r="F705" t="s">
        <v>361</v>
      </c>
      <c r="G705" s="28">
        <v>82</v>
      </c>
      <c r="H705" s="32">
        <v>16.18</v>
      </c>
      <c r="I705" s="32">
        <v>3007.81</v>
      </c>
      <c r="J705" t="s">
        <v>330</v>
      </c>
      <c r="K705" t="s">
        <v>234</v>
      </c>
      <c r="L705" t="s">
        <v>235</v>
      </c>
      <c r="M705" t="s">
        <v>236</v>
      </c>
      <c r="N705" t="s">
        <v>237</v>
      </c>
      <c r="O705" s="27">
        <v>46062</v>
      </c>
    </row>
    <row r="706" spans="2:15" hidden="1" x14ac:dyDescent="0.3">
      <c r="B706">
        <v>12025620</v>
      </c>
      <c r="C706" t="s">
        <v>231</v>
      </c>
      <c r="D706">
        <v>38517</v>
      </c>
      <c r="E706" t="s">
        <v>150</v>
      </c>
      <c r="F706" t="s">
        <v>163</v>
      </c>
      <c r="G706" s="28">
        <v>91</v>
      </c>
      <c r="H706" s="32">
        <v>16.14</v>
      </c>
      <c r="I706" s="32">
        <v>1270.4000000000001</v>
      </c>
      <c r="J706" t="s">
        <v>239</v>
      </c>
      <c r="K706" t="s">
        <v>245</v>
      </c>
      <c r="L706" t="s">
        <v>235</v>
      </c>
      <c r="M706" t="s">
        <v>236</v>
      </c>
      <c r="N706" t="s">
        <v>237</v>
      </c>
      <c r="O706" s="27">
        <v>46063</v>
      </c>
    </row>
    <row r="707" spans="2:15" hidden="1" x14ac:dyDescent="0.3">
      <c r="B707">
        <v>6024970</v>
      </c>
      <c r="C707" t="s">
        <v>260</v>
      </c>
      <c r="D707">
        <v>72444</v>
      </c>
      <c r="E707" t="s">
        <v>150</v>
      </c>
      <c r="F707" t="s">
        <v>369</v>
      </c>
      <c r="G707" s="28">
        <v>39</v>
      </c>
      <c r="H707" s="32">
        <v>16.13</v>
      </c>
      <c r="I707" s="32">
        <v>2015.78</v>
      </c>
      <c r="J707" t="s">
        <v>239</v>
      </c>
      <c r="K707" t="s">
        <v>245</v>
      </c>
      <c r="L707" t="s">
        <v>235</v>
      </c>
      <c r="M707" t="s">
        <v>236</v>
      </c>
      <c r="N707" t="s">
        <v>240</v>
      </c>
      <c r="O707" s="27">
        <v>46055</v>
      </c>
    </row>
    <row r="708" spans="2:15" hidden="1" x14ac:dyDescent="0.3">
      <c r="B708">
        <v>4375042</v>
      </c>
      <c r="C708" t="s">
        <v>231</v>
      </c>
      <c r="D708">
        <v>25619</v>
      </c>
      <c r="E708" t="s">
        <v>150</v>
      </c>
      <c r="F708" t="s">
        <v>163</v>
      </c>
      <c r="G708" s="28">
        <v>196</v>
      </c>
      <c r="H708" s="32">
        <v>16.059999999999999</v>
      </c>
      <c r="I708" s="32">
        <v>2789.86</v>
      </c>
      <c r="J708" t="s">
        <v>239</v>
      </c>
      <c r="K708" t="s">
        <v>245</v>
      </c>
      <c r="L708" t="s">
        <v>235</v>
      </c>
      <c r="M708" t="s">
        <v>236</v>
      </c>
      <c r="N708" t="s">
        <v>237</v>
      </c>
      <c r="O708" s="27">
        <v>46072</v>
      </c>
    </row>
    <row r="709" spans="2:15" hidden="1" x14ac:dyDescent="0.3">
      <c r="B709">
        <v>18533421</v>
      </c>
      <c r="C709" t="s">
        <v>231</v>
      </c>
      <c r="D709">
        <v>40901</v>
      </c>
      <c r="E709" t="s">
        <v>150</v>
      </c>
      <c r="F709" t="s">
        <v>289</v>
      </c>
      <c r="G709" s="28">
        <v>55</v>
      </c>
      <c r="H709" s="32">
        <v>16.010000000000002</v>
      </c>
      <c r="I709" s="32">
        <v>1181.73</v>
      </c>
      <c r="J709" t="s">
        <v>239</v>
      </c>
      <c r="K709" t="s">
        <v>245</v>
      </c>
      <c r="L709" t="s">
        <v>235</v>
      </c>
      <c r="M709" t="s">
        <v>236</v>
      </c>
      <c r="N709" t="s">
        <v>237</v>
      </c>
      <c r="O709" s="27">
        <v>46055</v>
      </c>
    </row>
    <row r="710" spans="2:15" hidden="1" x14ac:dyDescent="0.3">
      <c r="B710">
        <v>5362471</v>
      </c>
      <c r="C710" t="s">
        <v>260</v>
      </c>
      <c r="D710">
        <v>22674</v>
      </c>
      <c r="E710" t="s">
        <v>150</v>
      </c>
      <c r="F710" t="s">
        <v>163</v>
      </c>
      <c r="G710" s="28">
        <v>170</v>
      </c>
      <c r="H710" s="32">
        <v>15.94</v>
      </c>
      <c r="I710" s="32">
        <v>2418.96</v>
      </c>
      <c r="J710" t="s">
        <v>239</v>
      </c>
      <c r="K710" t="s">
        <v>245</v>
      </c>
      <c r="L710" t="s">
        <v>235</v>
      </c>
      <c r="M710" t="s">
        <v>236</v>
      </c>
      <c r="N710" t="s">
        <v>237</v>
      </c>
      <c r="O710" s="27">
        <v>46072</v>
      </c>
    </row>
    <row r="711" spans="2:15" hidden="1" x14ac:dyDescent="0.3">
      <c r="B711">
        <v>389066</v>
      </c>
      <c r="C711" t="s">
        <v>260</v>
      </c>
      <c r="D711">
        <v>21559</v>
      </c>
      <c r="E711" t="s">
        <v>150</v>
      </c>
      <c r="F711" t="s">
        <v>377</v>
      </c>
      <c r="G711" s="28">
        <v>99</v>
      </c>
      <c r="H711" s="32">
        <v>15.94</v>
      </c>
      <c r="I711" s="32">
        <v>3123.45</v>
      </c>
      <c r="J711" t="s">
        <v>330</v>
      </c>
      <c r="K711" t="s">
        <v>234</v>
      </c>
      <c r="L711" t="s">
        <v>235</v>
      </c>
      <c r="M711" t="s">
        <v>236</v>
      </c>
      <c r="N711" t="s">
        <v>237</v>
      </c>
      <c r="O711" s="27">
        <v>46072</v>
      </c>
    </row>
    <row r="712" spans="2:15" hidden="1" x14ac:dyDescent="0.3">
      <c r="B712">
        <v>15947590</v>
      </c>
      <c r="C712" t="s">
        <v>231</v>
      </c>
      <c r="D712">
        <v>69519</v>
      </c>
      <c r="E712" t="s">
        <v>150</v>
      </c>
      <c r="F712" t="s">
        <v>369</v>
      </c>
      <c r="G712" s="28">
        <v>70</v>
      </c>
      <c r="H712" s="32">
        <v>15.92</v>
      </c>
      <c r="I712" s="32">
        <v>3857.53</v>
      </c>
      <c r="J712" t="s">
        <v>239</v>
      </c>
      <c r="K712" t="s">
        <v>245</v>
      </c>
      <c r="L712" t="s">
        <v>235</v>
      </c>
      <c r="M712" t="s">
        <v>236</v>
      </c>
      <c r="N712" t="s">
        <v>240</v>
      </c>
      <c r="O712" s="27">
        <v>46063</v>
      </c>
    </row>
    <row r="713" spans="2:15" hidden="1" x14ac:dyDescent="0.3">
      <c r="B713">
        <v>6468519</v>
      </c>
      <c r="C713" t="s">
        <v>231</v>
      </c>
      <c r="D713">
        <v>72444</v>
      </c>
      <c r="E713" t="s">
        <v>150</v>
      </c>
      <c r="F713" t="s">
        <v>443</v>
      </c>
      <c r="G713" s="28">
        <v>349</v>
      </c>
      <c r="H713" s="32">
        <v>15.92</v>
      </c>
      <c r="I713" s="32">
        <v>2358.65</v>
      </c>
      <c r="J713" t="s">
        <v>239</v>
      </c>
      <c r="K713" t="s">
        <v>245</v>
      </c>
      <c r="L713" t="s">
        <v>235</v>
      </c>
      <c r="M713" t="s">
        <v>236</v>
      </c>
      <c r="N713" t="s">
        <v>237</v>
      </c>
      <c r="O713" s="27">
        <v>46055</v>
      </c>
    </row>
    <row r="714" spans="2:15" hidden="1" x14ac:dyDescent="0.3">
      <c r="B714">
        <v>6859448</v>
      </c>
      <c r="C714" t="s">
        <v>231</v>
      </c>
      <c r="D714">
        <v>25619</v>
      </c>
      <c r="E714" t="s">
        <v>150</v>
      </c>
      <c r="F714" t="s">
        <v>298</v>
      </c>
      <c r="G714" s="28">
        <v>76</v>
      </c>
      <c r="H714" s="32">
        <v>15.89</v>
      </c>
      <c r="I714" s="32">
        <v>1323.19</v>
      </c>
      <c r="J714" t="s">
        <v>239</v>
      </c>
      <c r="K714" t="s">
        <v>245</v>
      </c>
      <c r="L714" t="s">
        <v>235</v>
      </c>
      <c r="M714" t="s">
        <v>236</v>
      </c>
      <c r="N714" t="s">
        <v>237</v>
      </c>
      <c r="O714" s="27">
        <v>46063</v>
      </c>
    </row>
    <row r="715" spans="2:15" hidden="1" x14ac:dyDescent="0.3">
      <c r="B715">
        <v>3409614</v>
      </c>
      <c r="C715" t="s">
        <v>231</v>
      </c>
      <c r="D715">
        <v>71881</v>
      </c>
      <c r="E715" t="s">
        <v>150</v>
      </c>
      <c r="F715" t="s">
        <v>298</v>
      </c>
      <c r="G715" s="28">
        <v>91</v>
      </c>
      <c r="H715" s="32">
        <v>15.88</v>
      </c>
      <c r="I715" s="32">
        <v>1584.56</v>
      </c>
      <c r="J715" t="s">
        <v>239</v>
      </c>
      <c r="K715" t="s">
        <v>245</v>
      </c>
      <c r="L715" t="s">
        <v>235</v>
      </c>
      <c r="M715" t="s">
        <v>236</v>
      </c>
      <c r="N715" t="s">
        <v>237</v>
      </c>
      <c r="O715" s="27">
        <v>46063</v>
      </c>
    </row>
    <row r="716" spans="2:15" hidden="1" x14ac:dyDescent="0.3">
      <c r="B716">
        <v>8230892</v>
      </c>
      <c r="C716" t="s">
        <v>231</v>
      </c>
      <c r="D716">
        <v>69519</v>
      </c>
      <c r="E716" t="s">
        <v>150</v>
      </c>
      <c r="F716" t="s">
        <v>163</v>
      </c>
      <c r="G716" s="28">
        <v>90</v>
      </c>
      <c r="H716" s="32">
        <v>15.88</v>
      </c>
      <c r="I716" s="32">
        <v>1256.5</v>
      </c>
      <c r="J716" t="s">
        <v>239</v>
      </c>
      <c r="K716" t="s">
        <v>245</v>
      </c>
      <c r="L716" t="s">
        <v>235</v>
      </c>
      <c r="M716" t="s">
        <v>236</v>
      </c>
      <c r="N716" t="s">
        <v>237</v>
      </c>
      <c r="O716" s="27">
        <v>46063</v>
      </c>
    </row>
    <row r="717" spans="2:15" hidden="1" x14ac:dyDescent="0.3">
      <c r="B717">
        <v>54685</v>
      </c>
      <c r="C717" t="s">
        <v>260</v>
      </c>
      <c r="D717">
        <v>22674</v>
      </c>
      <c r="E717" t="s">
        <v>150</v>
      </c>
      <c r="F717" t="s">
        <v>360</v>
      </c>
      <c r="G717" s="28">
        <v>67</v>
      </c>
      <c r="H717" s="32">
        <v>15.81</v>
      </c>
      <c r="I717" s="32">
        <v>2732.26</v>
      </c>
      <c r="J717" t="s">
        <v>330</v>
      </c>
      <c r="K717" t="s">
        <v>234</v>
      </c>
      <c r="L717" t="s">
        <v>235</v>
      </c>
      <c r="M717" t="s">
        <v>236</v>
      </c>
      <c r="N717" t="s">
        <v>240</v>
      </c>
      <c r="O717" s="27">
        <v>46063</v>
      </c>
    </row>
    <row r="718" spans="2:15" hidden="1" x14ac:dyDescent="0.3">
      <c r="B718">
        <v>2569374</v>
      </c>
      <c r="C718" t="s">
        <v>231</v>
      </c>
      <c r="D718">
        <v>71997</v>
      </c>
      <c r="E718" t="s">
        <v>150</v>
      </c>
      <c r="F718" t="s">
        <v>164</v>
      </c>
      <c r="G718" s="28">
        <v>88</v>
      </c>
      <c r="H718" s="32">
        <v>15.8</v>
      </c>
      <c r="I718" s="32">
        <v>4278.0200000000004</v>
      </c>
      <c r="J718" t="s">
        <v>239</v>
      </c>
      <c r="K718" t="s">
        <v>245</v>
      </c>
      <c r="L718" t="s">
        <v>235</v>
      </c>
      <c r="M718" t="s">
        <v>236</v>
      </c>
      <c r="N718" t="s">
        <v>237</v>
      </c>
      <c r="O718" s="27">
        <v>46063</v>
      </c>
    </row>
    <row r="719" spans="2:15" hidden="1" x14ac:dyDescent="0.3">
      <c r="B719">
        <v>4078178</v>
      </c>
      <c r="C719" t="s">
        <v>231</v>
      </c>
      <c r="D719">
        <v>49894</v>
      </c>
      <c r="E719" t="s">
        <v>150</v>
      </c>
      <c r="F719" t="s">
        <v>163</v>
      </c>
      <c r="G719" s="28">
        <v>89</v>
      </c>
      <c r="H719" s="32">
        <v>15.76</v>
      </c>
      <c r="I719" s="32">
        <v>1242.51</v>
      </c>
      <c r="J719" t="s">
        <v>239</v>
      </c>
      <c r="K719" t="s">
        <v>245</v>
      </c>
      <c r="L719" t="s">
        <v>235</v>
      </c>
      <c r="M719" t="s">
        <v>236</v>
      </c>
      <c r="N719" t="s">
        <v>237</v>
      </c>
      <c r="O719" s="27">
        <v>46063</v>
      </c>
    </row>
    <row r="720" spans="2:15" hidden="1" x14ac:dyDescent="0.3">
      <c r="B720">
        <v>2727239</v>
      </c>
      <c r="C720" t="s">
        <v>231</v>
      </c>
      <c r="D720">
        <v>21559</v>
      </c>
      <c r="E720" t="s">
        <v>150</v>
      </c>
      <c r="F720" t="s">
        <v>369</v>
      </c>
      <c r="G720" s="28">
        <v>69</v>
      </c>
      <c r="H720" s="32">
        <v>15.75</v>
      </c>
      <c r="I720" s="32">
        <v>3802.26</v>
      </c>
      <c r="J720" t="s">
        <v>239</v>
      </c>
      <c r="K720" t="s">
        <v>245</v>
      </c>
      <c r="L720" t="s">
        <v>235</v>
      </c>
      <c r="M720" t="s">
        <v>236</v>
      </c>
      <c r="N720" t="s">
        <v>240</v>
      </c>
      <c r="O720" s="27">
        <v>46063</v>
      </c>
    </row>
    <row r="721" spans="2:15" hidden="1" x14ac:dyDescent="0.3">
      <c r="B721">
        <v>3461330</v>
      </c>
      <c r="C721" t="s">
        <v>260</v>
      </c>
      <c r="D721">
        <v>21468</v>
      </c>
      <c r="E721" t="s">
        <v>150</v>
      </c>
      <c r="F721" t="s">
        <v>298</v>
      </c>
      <c r="G721" s="28">
        <v>75</v>
      </c>
      <c r="H721" s="32">
        <v>15.7</v>
      </c>
      <c r="I721" s="32">
        <v>1305.99</v>
      </c>
      <c r="J721" t="s">
        <v>239</v>
      </c>
      <c r="K721" t="s">
        <v>245</v>
      </c>
      <c r="L721" t="s">
        <v>235</v>
      </c>
      <c r="M721" t="s">
        <v>236</v>
      </c>
      <c r="N721" t="s">
        <v>237</v>
      </c>
      <c r="O721" s="27">
        <v>46063</v>
      </c>
    </row>
    <row r="722" spans="2:15" hidden="1" x14ac:dyDescent="0.3">
      <c r="B722">
        <v>5362471</v>
      </c>
      <c r="C722" t="s">
        <v>260</v>
      </c>
      <c r="D722">
        <v>22674</v>
      </c>
      <c r="E722" t="s">
        <v>150</v>
      </c>
      <c r="F722" t="s">
        <v>164</v>
      </c>
      <c r="G722" s="28">
        <v>49</v>
      </c>
      <c r="H722" s="32">
        <v>15.69</v>
      </c>
      <c r="I722" s="32">
        <v>2381.1999999999998</v>
      </c>
      <c r="J722" t="s">
        <v>239</v>
      </c>
      <c r="K722" t="s">
        <v>245</v>
      </c>
      <c r="L722" t="s">
        <v>235</v>
      </c>
      <c r="M722" t="s">
        <v>236</v>
      </c>
      <c r="N722" t="s">
        <v>237</v>
      </c>
      <c r="O722" s="27">
        <v>46072</v>
      </c>
    </row>
    <row r="723" spans="2:15" hidden="1" x14ac:dyDescent="0.3">
      <c r="B723">
        <v>4382412</v>
      </c>
      <c r="C723" t="s">
        <v>231</v>
      </c>
      <c r="D723">
        <v>49894</v>
      </c>
      <c r="E723" t="s">
        <v>150</v>
      </c>
      <c r="F723" t="s">
        <v>359</v>
      </c>
      <c r="G723" s="28">
        <v>84</v>
      </c>
      <c r="H723" s="32">
        <v>15.63</v>
      </c>
      <c r="I723" s="32">
        <v>2937.93</v>
      </c>
      <c r="J723" t="s">
        <v>330</v>
      </c>
      <c r="K723" t="s">
        <v>234</v>
      </c>
      <c r="L723" t="s">
        <v>235</v>
      </c>
      <c r="M723" t="s">
        <v>236</v>
      </c>
      <c r="N723" t="s">
        <v>240</v>
      </c>
      <c r="O723" s="27">
        <v>46076</v>
      </c>
    </row>
    <row r="724" spans="2:15" hidden="1" x14ac:dyDescent="0.3">
      <c r="B724">
        <v>1579</v>
      </c>
      <c r="C724" t="s">
        <v>231</v>
      </c>
      <c r="D724">
        <v>21468</v>
      </c>
      <c r="E724" t="s">
        <v>150</v>
      </c>
      <c r="F724" t="s">
        <v>289</v>
      </c>
      <c r="G724" s="28">
        <v>54</v>
      </c>
      <c r="H724" s="32">
        <v>15.6</v>
      </c>
      <c r="I724" s="32">
        <v>1160.24</v>
      </c>
      <c r="J724" t="s">
        <v>239</v>
      </c>
      <c r="K724" t="s">
        <v>245</v>
      </c>
      <c r="L724" t="s">
        <v>235</v>
      </c>
      <c r="M724" t="s">
        <v>236</v>
      </c>
      <c r="N724" t="s">
        <v>237</v>
      </c>
      <c r="O724" s="27">
        <v>46055</v>
      </c>
    </row>
    <row r="725" spans="2:15" hidden="1" x14ac:dyDescent="0.3">
      <c r="B725">
        <v>4051319</v>
      </c>
      <c r="C725" t="s">
        <v>231</v>
      </c>
      <c r="D725">
        <v>22674</v>
      </c>
      <c r="E725" t="s">
        <v>150</v>
      </c>
      <c r="F725" t="s">
        <v>163</v>
      </c>
      <c r="G725" s="28">
        <v>87</v>
      </c>
      <c r="H725" s="32">
        <v>15.5</v>
      </c>
      <c r="I725" s="32">
        <v>1214.6300000000001</v>
      </c>
      <c r="J725" t="s">
        <v>239</v>
      </c>
      <c r="K725" t="s">
        <v>245</v>
      </c>
      <c r="L725" t="s">
        <v>235</v>
      </c>
      <c r="M725" t="s">
        <v>236</v>
      </c>
      <c r="N725" t="s">
        <v>237</v>
      </c>
      <c r="O725" s="27">
        <v>46063</v>
      </c>
    </row>
    <row r="726" spans="2:15" hidden="1" x14ac:dyDescent="0.3">
      <c r="B726">
        <v>2922242</v>
      </c>
      <c r="C726" t="s">
        <v>260</v>
      </c>
      <c r="D726">
        <v>69519</v>
      </c>
      <c r="E726" t="s">
        <v>150</v>
      </c>
      <c r="F726" t="s">
        <v>363</v>
      </c>
      <c r="G726" s="28">
        <v>76</v>
      </c>
      <c r="H726" s="32">
        <v>15.5</v>
      </c>
      <c r="I726" s="32">
        <v>2881.92</v>
      </c>
      <c r="J726" t="s">
        <v>330</v>
      </c>
      <c r="K726" t="s">
        <v>234</v>
      </c>
      <c r="L726" t="s">
        <v>235</v>
      </c>
      <c r="M726" t="s">
        <v>236</v>
      </c>
      <c r="N726" t="s">
        <v>237</v>
      </c>
      <c r="O726" s="27">
        <v>46062</v>
      </c>
    </row>
    <row r="727" spans="2:15" hidden="1" x14ac:dyDescent="0.3">
      <c r="B727">
        <v>18533421</v>
      </c>
      <c r="C727" t="s">
        <v>231</v>
      </c>
      <c r="D727">
        <v>40901</v>
      </c>
      <c r="E727" t="s">
        <v>150</v>
      </c>
      <c r="F727" t="s">
        <v>258</v>
      </c>
      <c r="G727" s="28">
        <v>106</v>
      </c>
      <c r="H727" s="32">
        <v>15.49</v>
      </c>
      <c r="I727" s="32">
        <v>1146.26</v>
      </c>
      <c r="J727" t="s">
        <v>239</v>
      </c>
      <c r="K727" t="s">
        <v>245</v>
      </c>
      <c r="L727" t="s">
        <v>235</v>
      </c>
      <c r="M727" t="s">
        <v>236</v>
      </c>
      <c r="N727" t="s">
        <v>240</v>
      </c>
      <c r="O727" s="27">
        <v>46055</v>
      </c>
    </row>
    <row r="728" spans="2:15" hidden="1" x14ac:dyDescent="0.3">
      <c r="B728">
        <v>325473</v>
      </c>
      <c r="C728" t="s">
        <v>231</v>
      </c>
      <c r="D728">
        <v>22674</v>
      </c>
      <c r="E728" t="s">
        <v>150</v>
      </c>
      <c r="F728" t="s">
        <v>369</v>
      </c>
      <c r="G728" s="28">
        <v>67</v>
      </c>
      <c r="H728" s="32">
        <v>15.48</v>
      </c>
      <c r="I728" s="32">
        <v>3692.05</v>
      </c>
      <c r="J728" t="s">
        <v>239</v>
      </c>
      <c r="K728" t="s">
        <v>245</v>
      </c>
      <c r="L728" t="s">
        <v>235</v>
      </c>
      <c r="M728" t="s">
        <v>236</v>
      </c>
      <c r="N728" t="s">
        <v>240</v>
      </c>
      <c r="O728" s="27">
        <v>46063</v>
      </c>
    </row>
    <row r="729" spans="2:15" hidden="1" x14ac:dyDescent="0.3">
      <c r="B729">
        <v>4382412</v>
      </c>
      <c r="C729" t="s">
        <v>231</v>
      </c>
      <c r="D729">
        <v>49894</v>
      </c>
      <c r="E729" t="s">
        <v>150</v>
      </c>
      <c r="F729" t="s">
        <v>298</v>
      </c>
      <c r="G729" s="28">
        <v>73</v>
      </c>
      <c r="H729" s="32">
        <v>15.47</v>
      </c>
      <c r="I729" s="32">
        <v>1271.07</v>
      </c>
      <c r="J729" t="s">
        <v>239</v>
      </c>
      <c r="K729" t="s">
        <v>245</v>
      </c>
      <c r="L729" t="s">
        <v>235</v>
      </c>
      <c r="M729" t="s">
        <v>236</v>
      </c>
      <c r="N729" t="s">
        <v>237</v>
      </c>
      <c r="O729" s="27">
        <v>46063</v>
      </c>
    </row>
    <row r="730" spans="2:15" hidden="1" x14ac:dyDescent="0.3">
      <c r="B730">
        <v>2051406</v>
      </c>
      <c r="C730" t="s">
        <v>231</v>
      </c>
      <c r="D730">
        <v>25104</v>
      </c>
      <c r="E730" t="s">
        <v>150</v>
      </c>
      <c r="F730" t="s">
        <v>289</v>
      </c>
      <c r="G730" s="28">
        <v>63</v>
      </c>
      <c r="H730" s="32">
        <v>15.45</v>
      </c>
      <c r="I730" s="32">
        <v>1353.62</v>
      </c>
      <c r="J730" t="s">
        <v>239</v>
      </c>
      <c r="K730" t="s">
        <v>245</v>
      </c>
      <c r="L730" t="s">
        <v>235</v>
      </c>
      <c r="M730" t="s">
        <v>236</v>
      </c>
      <c r="N730" t="s">
        <v>237</v>
      </c>
      <c r="O730" s="27">
        <v>46055</v>
      </c>
    </row>
    <row r="731" spans="2:15" hidden="1" x14ac:dyDescent="0.3">
      <c r="B731">
        <v>2405094</v>
      </c>
      <c r="C731" t="s">
        <v>231</v>
      </c>
      <c r="D731">
        <v>38517</v>
      </c>
      <c r="E731" t="s">
        <v>150</v>
      </c>
      <c r="F731" t="s">
        <v>258</v>
      </c>
      <c r="G731" s="28">
        <v>97</v>
      </c>
      <c r="H731" s="32">
        <v>15.34</v>
      </c>
      <c r="I731" s="32">
        <v>1048.94</v>
      </c>
      <c r="J731" t="s">
        <v>239</v>
      </c>
      <c r="K731" t="s">
        <v>245</v>
      </c>
      <c r="L731" t="s">
        <v>235</v>
      </c>
      <c r="M731" t="s">
        <v>236</v>
      </c>
      <c r="N731" t="s">
        <v>240</v>
      </c>
      <c r="O731" s="27">
        <v>46055</v>
      </c>
    </row>
    <row r="732" spans="2:15" hidden="1" x14ac:dyDescent="0.3">
      <c r="B732">
        <v>8781959</v>
      </c>
      <c r="C732" t="s">
        <v>231</v>
      </c>
      <c r="D732">
        <v>72444</v>
      </c>
      <c r="E732" t="s">
        <v>150</v>
      </c>
      <c r="F732" t="s">
        <v>164</v>
      </c>
      <c r="G732" s="28">
        <v>58</v>
      </c>
      <c r="H732" s="32">
        <v>15.31</v>
      </c>
      <c r="I732" s="32">
        <v>2819.5</v>
      </c>
      <c r="J732" t="s">
        <v>239</v>
      </c>
      <c r="K732" t="s">
        <v>245</v>
      </c>
      <c r="L732" t="s">
        <v>235</v>
      </c>
      <c r="M732" t="s">
        <v>236</v>
      </c>
      <c r="N732" t="s">
        <v>240</v>
      </c>
      <c r="O732" s="27">
        <v>46063</v>
      </c>
    </row>
    <row r="733" spans="2:15" hidden="1" x14ac:dyDescent="0.3">
      <c r="B733">
        <v>250134</v>
      </c>
      <c r="C733" t="s">
        <v>231</v>
      </c>
      <c r="D733">
        <v>22674</v>
      </c>
      <c r="E733" t="s">
        <v>150</v>
      </c>
      <c r="F733" t="s">
        <v>246</v>
      </c>
      <c r="G733" s="28">
        <v>76</v>
      </c>
      <c r="H733" s="32">
        <v>15.25</v>
      </c>
      <c r="I733" s="32">
        <v>2823.28</v>
      </c>
      <c r="J733" t="s">
        <v>239</v>
      </c>
      <c r="K733" t="s">
        <v>245</v>
      </c>
      <c r="L733" t="s">
        <v>235</v>
      </c>
      <c r="M733" t="s">
        <v>236</v>
      </c>
      <c r="N733" t="s">
        <v>237</v>
      </c>
      <c r="O733" s="27">
        <v>46063</v>
      </c>
    </row>
    <row r="734" spans="2:15" hidden="1" x14ac:dyDescent="0.3">
      <c r="B734">
        <v>2412490</v>
      </c>
      <c r="C734" t="s">
        <v>231</v>
      </c>
      <c r="D734">
        <v>71881</v>
      </c>
      <c r="E734" t="s">
        <v>150</v>
      </c>
      <c r="F734" t="s">
        <v>342</v>
      </c>
      <c r="G734" s="28">
        <v>32</v>
      </c>
      <c r="H734" s="32">
        <v>15.23</v>
      </c>
      <c r="I734" s="32">
        <v>1729.28</v>
      </c>
      <c r="J734" t="s">
        <v>330</v>
      </c>
      <c r="K734" t="s">
        <v>234</v>
      </c>
      <c r="L734" t="s">
        <v>235</v>
      </c>
      <c r="M734" t="s">
        <v>236</v>
      </c>
      <c r="N734" t="s">
        <v>240</v>
      </c>
      <c r="O734" s="27">
        <v>46057</v>
      </c>
    </row>
    <row r="735" spans="2:15" hidden="1" x14ac:dyDescent="0.3">
      <c r="B735">
        <v>18797810</v>
      </c>
      <c r="C735" t="s">
        <v>231</v>
      </c>
      <c r="D735">
        <v>74304</v>
      </c>
      <c r="E735" t="s">
        <v>150</v>
      </c>
      <c r="F735" t="s">
        <v>282</v>
      </c>
      <c r="G735" s="28">
        <v>72</v>
      </c>
      <c r="H735" s="32">
        <v>15.22</v>
      </c>
      <c r="I735" s="32">
        <v>3678.19</v>
      </c>
      <c r="J735" t="s">
        <v>239</v>
      </c>
      <c r="K735" t="s">
        <v>245</v>
      </c>
      <c r="L735" t="s">
        <v>235</v>
      </c>
      <c r="M735" t="s">
        <v>236</v>
      </c>
      <c r="N735" t="s">
        <v>240</v>
      </c>
      <c r="O735" s="27">
        <v>46063</v>
      </c>
    </row>
    <row r="736" spans="2:15" hidden="1" x14ac:dyDescent="0.3">
      <c r="B736">
        <v>5751194</v>
      </c>
      <c r="C736" t="s">
        <v>260</v>
      </c>
      <c r="D736">
        <v>25104</v>
      </c>
      <c r="E736" t="s">
        <v>150</v>
      </c>
      <c r="F736" t="s">
        <v>350</v>
      </c>
      <c r="G736" s="28">
        <v>70</v>
      </c>
      <c r="H736" s="32">
        <v>15.21</v>
      </c>
      <c r="I736" s="32">
        <v>3652.68</v>
      </c>
      <c r="J736" t="s">
        <v>330</v>
      </c>
      <c r="K736" t="s">
        <v>234</v>
      </c>
      <c r="L736" t="s">
        <v>235</v>
      </c>
      <c r="M736" t="s">
        <v>236</v>
      </c>
      <c r="N736" t="s">
        <v>240</v>
      </c>
      <c r="O736" s="27">
        <v>46064</v>
      </c>
    </row>
    <row r="737" spans="2:15" hidden="1" x14ac:dyDescent="0.3">
      <c r="B737">
        <v>9635202</v>
      </c>
      <c r="C737" t="s">
        <v>231</v>
      </c>
      <c r="D737">
        <v>71881</v>
      </c>
      <c r="E737" t="s">
        <v>150</v>
      </c>
      <c r="F737" t="s">
        <v>298</v>
      </c>
      <c r="G737" s="28">
        <v>86</v>
      </c>
      <c r="H737" s="32">
        <v>15.15</v>
      </c>
      <c r="I737" s="32">
        <v>1497.35</v>
      </c>
      <c r="J737" t="s">
        <v>239</v>
      </c>
      <c r="K737" t="s">
        <v>245</v>
      </c>
      <c r="L737" t="s">
        <v>235</v>
      </c>
      <c r="M737" t="s">
        <v>236</v>
      </c>
      <c r="N737" t="s">
        <v>237</v>
      </c>
      <c r="O737" s="27">
        <v>46063</v>
      </c>
    </row>
    <row r="738" spans="2:15" hidden="1" x14ac:dyDescent="0.3">
      <c r="B738">
        <v>4089266</v>
      </c>
      <c r="C738" t="s">
        <v>260</v>
      </c>
      <c r="D738">
        <v>22674</v>
      </c>
      <c r="E738" t="s">
        <v>150</v>
      </c>
      <c r="F738" t="s">
        <v>163</v>
      </c>
      <c r="G738" s="28">
        <v>159</v>
      </c>
      <c r="H738" s="32">
        <v>15.15</v>
      </c>
      <c r="I738" s="32">
        <v>2262.56</v>
      </c>
      <c r="J738" t="s">
        <v>239</v>
      </c>
      <c r="K738" t="s">
        <v>245</v>
      </c>
      <c r="L738" t="s">
        <v>235</v>
      </c>
      <c r="M738" t="s">
        <v>236</v>
      </c>
      <c r="N738" t="s">
        <v>237</v>
      </c>
      <c r="O738" s="27">
        <v>46072</v>
      </c>
    </row>
    <row r="739" spans="2:15" hidden="1" x14ac:dyDescent="0.3">
      <c r="B739">
        <v>2013549</v>
      </c>
      <c r="C739" t="s">
        <v>231</v>
      </c>
      <c r="D739">
        <v>23648</v>
      </c>
      <c r="E739" t="s">
        <v>150</v>
      </c>
      <c r="F739" t="s">
        <v>363</v>
      </c>
      <c r="G739" s="28">
        <v>77</v>
      </c>
      <c r="H739" s="32">
        <v>15.12</v>
      </c>
      <c r="I739" s="32">
        <v>2942.17</v>
      </c>
      <c r="J739" t="s">
        <v>330</v>
      </c>
      <c r="K739" t="s">
        <v>234</v>
      </c>
      <c r="L739" t="s">
        <v>235</v>
      </c>
      <c r="M739" t="s">
        <v>236</v>
      </c>
      <c r="N739" t="s">
        <v>237</v>
      </c>
      <c r="O739" s="27">
        <v>46059</v>
      </c>
    </row>
    <row r="740" spans="2:15" hidden="1" x14ac:dyDescent="0.3">
      <c r="B740">
        <v>6468519</v>
      </c>
      <c r="C740" t="s">
        <v>231</v>
      </c>
      <c r="D740">
        <v>72444</v>
      </c>
      <c r="E740" t="s">
        <v>150</v>
      </c>
      <c r="F740" t="s">
        <v>444</v>
      </c>
      <c r="G740" s="28">
        <v>134</v>
      </c>
      <c r="H740" s="32">
        <v>15.11</v>
      </c>
      <c r="I740" s="32">
        <v>2257.46</v>
      </c>
      <c r="J740" t="s">
        <v>239</v>
      </c>
      <c r="K740" t="s">
        <v>245</v>
      </c>
      <c r="L740" t="s">
        <v>235</v>
      </c>
      <c r="M740" t="s">
        <v>236</v>
      </c>
      <c r="N740" t="s">
        <v>237</v>
      </c>
      <c r="O740" s="27">
        <v>46055</v>
      </c>
    </row>
    <row r="741" spans="2:15" hidden="1" x14ac:dyDescent="0.3">
      <c r="B741">
        <v>18805586</v>
      </c>
      <c r="C741" t="s">
        <v>260</v>
      </c>
      <c r="D741">
        <v>23410</v>
      </c>
      <c r="E741" t="s">
        <v>150</v>
      </c>
      <c r="F741" t="s">
        <v>298</v>
      </c>
      <c r="G741" s="28">
        <v>70</v>
      </c>
      <c r="H741" s="32">
        <v>15.06</v>
      </c>
      <c r="I741" s="32">
        <v>1218.74</v>
      </c>
      <c r="J741" t="s">
        <v>239</v>
      </c>
      <c r="K741" t="s">
        <v>245</v>
      </c>
      <c r="L741" t="s">
        <v>235</v>
      </c>
      <c r="M741" t="s">
        <v>236</v>
      </c>
      <c r="N741" t="s">
        <v>237</v>
      </c>
      <c r="O741" s="27">
        <v>46063</v>
      </c>
    </row>
    <row r="742" spans="2:15" hidden="1" x14ac:dyDescent="0.3">
      <c r="B742">
        <v>3663401</v>
      </c>
      <c r="C742" t="s">
        <v>231</v>
      </c>
      <c r="D742">
        <v>21468</v>
      </c>
      <c r="E742" t="s">
        <v>150</v>
      </c>
      <c r="F742" t="s">
        <v>369</v>
      </c>
      <c r="G742" s="28">
        <v>35</v>
      </c>
      <c r="H742" s="32">
        <v>15.05</v>
      </c>
      <c r="I742" s="32">
        <v>1809.03</v>
      </c>
      <c r="J742" t="s">
        <v>239</v>
      </c>
      <c r="K742" t="s">
        <v>245</v>
      </c>
      <c r="L742" t="s">
        <v>235</v>
      </c>
      <c r="M742" t="s">
        <v>236</v>
      </c>
      <c r="N742" t="s">
        <v>240</v>
      </c>
      <c r="O742" s="27">
        <v>46055</v>
      </c>
    </row>
    <row r="743" spans="2:15" hidden="1" x14ac:dyDescent="0.3">
      <c r="B743">
        <v>2405094</v>
      </c>
      <c r="C743" t="s">
        <v>231</v>
      </c>
      <c r="D743">
        <v>38517</v>
      </c>
      <c r="E743" t="s">
        <v>150</v>
      </c>
      <c r="F743" t="s">
        <v>289</v>
      </c>
      <c r="G743" s="28">
        <v>48</v>
      </c>
      <c r="H743" s="32">
        <v>15.04</v>
      </c>
      <c r="I743" s="32">
        <v>1031.33</v>
      </c>
      <c r="J743" t="s">
        <v>239</v>
      </c>
      <c r="K743" t="s">
        <v>245</v>
      </c>
      <c r="L743" t="s">
        <v>235</v>
      </c>
      <c r="M743" t="s">
        <v>236</v>
      </c>
      <c r="N743" t="s">
        <v>237</v>
      </c>
      <c r="O743" s="27">
        <v>46055</v>
      </c>
    </row>
    <row r="744" spans="2:15" hidden="1" x14ac:dyDescent="0.3">
      <c r="B744">
        <v>2632292</v>
      </c>
      <c r="C744" t="s">
        <v>231</v>
      </c>
      <c r="D744">
        <v>69519</v>
      </c>
      <c r="E744" t="s">
        <v>150</v>
      </c>
      <c r="F744" t="s">
        <v>243</v>
      </c>
      <c r="G744" s="28">
        <v>100</v>
      </c>
      <c r="H744" s="32">
        <v>15.03</v>
      </c>
      <c r="I744" s="32">
        <v>2693</v>
      </c>
      <c r="J744" t="s">
        <v>239</v>
      </c>
      <c r="K744" t="s">
        <v>234</v>
      </c>
      <c r="L744" t="s">
        <v>235</v>
      </c>
      <c r="M744" t="s">
        <v>236</v>
      </c>
      <c r="N744" t="s">
        <v>237</v>
      </c>
      <c r="O744" s="27">
        <v>46073</v>
      </c>
    </row>
    <row r="745" spans="2:15" hidden="1" x14ac:dyDescent="0.3">
      <c r="B745">
        <v>2013549</v>
      </c>
      <c r="C745" t="s">
        <v>231</v>
      </c>
      <c r="D745">
        <v>23648</v>
      </c>
      <c r="E745" t="s">
        <v>150</v>
      </c>
      <c r="F745" t="s">
        <v>412</v>
      </c>
      <c r="G745" s="28">
        <v>100</v>
      </c>
      <c r="H745" s="32">
        <v>15.01</v>
      </c>
      <c r="I745" s="32">
        <v>2921</v>
      </c>
      <c r="J745" t="s">
        <v>239</v>
      </c>
      <c r="K745" t="s">
        <v>234</v>
      </c>
      <c r="L745" t="s">
        <v>235</v>
      </c>
      <c r="M745" t="s">
        <v>236</v>
      </c>
      <c r="N745" t="s">
        <v>240</v>
      </c>
      <c r="O745" s="27">
        <v>46059</v>
      </c>
    </row>
    <row r="746" spans="2:15" hidden="1" x14ac:dyDescent="0.3">
      <c r="B746">
        <v>54685</v>
      </c>
      <c r="C746" t="s">
        <v>260</v>
      </c>
      <c r="D746">
        <v>22674</v>
      </c>
      <c r="E746" t="s">
        <v>150</v>
      </c>
      <c r="F746" t="s">
        <v>272</v>
      </c>
      <c r="G746" s="28">
        <v>400</v>
      </c>
      <c r="H746" s="32">
        <v>14.98</v>
      </c>
      <c r="I746" s="32">
        <v>2588</v>
      </c>
      <c r="J746" t="s">
        <v>239</v>
      </c>
      <c r="K746" t="s">
        <v>234</v>
      </c>
      <c r="L746" t="s">
        <v>235</v>
      </c>
      <c r="M746" t="s">
        <v>236</v>
      </c>
      <c r="N746" t="s">
        <v>237</v>
      </c>
      <c r="O746" s="27">
        <v>46063</v>
      </c>
    </row>
    <row r="747" spans="2:15" hidden="1" x14ac:dyDescent="0.3">
      <c r="B747">
        <v>4089266</v>
      </c>
      <c r="C747" t="s">
        <v>260</v>
      </c>
      <c r="D747">
        <v>22674</v>
      </c>
      <c r="E747" t="s">
        <v>150</v>
      </c>
      <c r="F747" t="s">
        <v>164</v>
      </c>
      <c r="G747" s="28">
        <v>46</v>
      </c>
      <c r="H747" s="32">
        <v>14.96</v>
      </c>
      <c r="I747" s="32">
        <v>2235.41</v>
      </c>
      <c r="J747" t="s">
        <v>239</v>
      </c>
      <c r="K747" t="s">
        <v>245</v>
      </c>
      <c r="L747" t="s">
        <v>235</v>
      </c>
      <c r="M747" t="s">
        <v>236</v>
      </c>
      <c r="N747" t="s">
        <v>237</v>
      </c>
      <c r="O747" s="27">
        <v>46072</v>
      </c>
    </row>
    <row r="748" spans="2:15" hidden="1" x14ac:dyDescent="0.3">
      <c r="B748">
        <v>2727175</v>
      </c>
      <c r="C748" t="s">
        <v>231</v>
      </c>
      <c r="D748">
        <v>23648</v>
      </c>
      <c r="E748" t="s">
        <v>150</v>
      </c>
      <c r="F748" t="s">
        <v>298</v>
      </c>
      <c r="G748" s="28">
        <v>69</v>
      </c>
      <c r="H748" s="32">
        <v>14.86</v>
      </c>
      <c r="I748" s="32">
        <v>1201.45</v>
      </c>
      <c r="J748" t="s">
        <v>239</v>
      </c>
      <c r="K748" t="s">
        <v>245</v>
      </c>
      <c r="L748" t="s">
        <v>235</v>
      </c>
      <c r="M748" t="s">
        <v>236</v>
      </c>
      <c r="N748" t="s">
        <v>237</v>
      </c>
      <c r="O748" s="27">
        <v>46063</v>
      </c>
    </row>
    <row r="749" spans="2:15" hidden="1" x14ac:dyDescent="0.3">
      <c r="B749">
        <v>3317498</v>
      </c>
      <c r="C749" t="s">
        <v>231</v>
      </c>
      <c r="D749">
        <v>69493</v>
      </c>
      <c r="E749" t="s">
        <v>150</v>
      </c>
      <c r="F749" t="s">
        <v>369</v>
      </c>
      <c r="G749" s="28">
        <v>63</v>
      </c>
      <c r="H749" s="32">
        <v>14.85</v>
      </c>
      <c r="I749" s="32">
        <v>3471.63</v>
      </c>
      <c r="J749" t="s">
        <v>239</v>
      </c>
      <c r="K749" t="s">
        <v>245</v>
      </c>
      <c r="L749" t="s">
        <v>235</v>
      </c>
      <c r="M749" t="s">
        <v>236</v>
      </c>
      <c r="N749" t="s">
        <v>240</v>
      </c>
      <c r="O749" s="27">
        <v>46063</v>
      </c>
    </row>
    <row r="750" spans="2:15" hidden="1" x14ac:dyDescent="0.3">
      <c r="B750">
        <v>15083827</v>
      </c>
      <c r="C750" t="s">
        <v>260</v>
      </c>
      <c r="D750">
        <v>69493</v>
      </c>
      <c r="E750" t="s">
        <v>150</v>
      </c>
      <c r="F750" t="s">
        <v>298</v>
      </c>
      <c r="G750" s="28">
        <v>69</v>
      </c>
      <c r="H750" s="32">
        <v>14.85</v>
      </c>
      <c r="I750" s="32">
        <v>1201.45</v>
      </c>
      <c r="J750" t="s">
        <v>239</v>
      </c>
      <c r="K750" t="s">
        <v>245</v>
      </c>
      <c r="L750" t="s">
        <v>235</v>
      </c>
      <c r="M750" t="s">
        <v>236</v>
      </c>
      <c r="N750" t="s">
        <v>237</v>
      </c>
      <c r="O750" s="27">
        <v>46063</v>
      </c>
    </row>
    <row r="751" spans="2:15" hidden="1" x14ac:dyDescent="0.3">
      <c r="B751">
        <v>15974810</v>
      </c>
      <c r="C751" t="s">
        <v>231</v>
      </c>
      <c r="D751">
        <v>49894</v>
      </c>
      <c r="E751" t="s">
        <v>150</v>
      </c>
      <c r="F751" t="s">
        <v>369</v>
      </c>
      <c r="G751" s="28">
        <v>63</v>
      </c>
      <c r="H751" s="32">
        <v>14.84</v>
      </c>
      <c r="I751" s="32">
        <v>3471.63</v>
      </c>
      <c r="J751" t="s">
        <v>239</v>
      </c>
      <c r="K751" t="s">
        <v>245</v>
      </c>
      <c r="L751" t="s">
        <v>235</v>
      </c>
      <c r="M751" t="s">
        <v>236</v>
      </c>
      <c r="N751" t="s">
        <v>240</v>
      </c>
      <c r="O751" s="27">
        <v>46063</v>
      </c>
    </row>
    <row r="752" spans="2:15" hidden="1" x14ac:dyDescent="0.3">
      <c r="B752">
        <v>2727239</v>
      </c>
      <c r="C752" t="s">
        <v>231</v>
      </c>
      <c r="D752">
        <v>21559</v>
      </c>
      <c r="E752" t="s">
        <v>150</v>
      </c>
      <c r="F752" t="s">
        <v>246</v>
      </c>
      <c r="G752" s="28">
        <v>73</v>
      </c>
      <c r="H752" s="32">
        <v>14.84</v>
      </c>
      <c r="I752" s="32">
        <v>2711.9</v>
      </c>
      <c r="J752" t="s">
        <v>239</v>
      </c>
      <c r="K752" t="s">
        <v>245</v>
      </c>
      <c r="L752" t="s">
        <v>235</v>
      </c>
      <c r="M752" t="s">
        <v>236</v>
      </c>
      <c r="N752" t="s">
        <v>237</v>
      </c>
      <c r="O752" s="27">
        <v>46063</v>
      </c>
    </row>
    <row r="753" spans="2:15" hidden="1" x14ac:dyDescent="0.3">
      <c r="B753">
        <v>3409614</v>
      </c>
      <c r="C753" t="s">
        <v>231</v>
      </c>
      <c r="D753">
        <v>71881</v>
      </c>
      <c r="E753" t="s">
        <v>150</v>
      </c>
      <c r="F753" t="s">
        <v>158</v>
      </c>
      <c r="G753" s="28">
        <v>7</v>
      </c>
      <c r="H753" s="32">
        <v>14.83</v>
      </c>
      <c r="I753" s="32">
        <v>912.31</v>
      </c>
      <c r="J753" t="s">
        <v>256</v>
      </c>
      <c r="K753" t="s">
        <v>270</v>
      </c>
      <c r="L753" t="s">
        <v>235</v>
      </c>
      <c r="M753" t="s">
        <v>236</v>
      </c>
      <c r="N753" t="s">
        <v>237</v>
      </c>
      <c r="O753" s="27">
        <v>46064</v>
      </c>
    </row>
    <row r="754" spans="2:15" hidden="1" x14ac:dyDescent="0.3">
      <c r="B754">
        <v>3409614</v>
      </c>
      <c r="C754" t="s">
        <v>231</v>
      </c>
      <c r="D754">
        <v>71881</v>
      </c>
      <c r="E754" t="s">
        <v>150</v>
      </c>
      <c r="F754" t="s">
        <v>158</v>
      </c>
      <c r="G754" s="28">
        <v>11</v>
      </c>
      <c r="H754" s="32">
        <v>14.83</v>
      </c>
      <c r="I754" s="32">
        <v>1466.3</v>
      </c>
      <c r="J754" t="s">
        <v>256</v>
      </c>
      <c r="K754" t="s">
        <v>234</v>
      </c>
      <c r="L754" t="s">
        <v>235</v>
      </c>
      <c r="M754" t="s">
        <v>236</v>
      </c>
      <c r="N754" t="s">
        <v>237</v>
      </c>
      <c r="O754" s="27">
        <v>46064</v>
      </c>
    </row>
    <row r="755" spans="2:15" hidden="1" x14ac:dyDescent="0.3">
      <c r="B755">
        <v>3409614</v>
      </c>
      <c r="C755" t="s">
        <v>231</v>
      </c>
      <c r="D755">
        <v>71881</v>
      </c>
      <c r="E755" t="s">
        <v>150</v>
      </c>
      <c r="F755" t="s">
        <v>161</v>
      </c>
      <c r="G755" s="28">
        <v>54</v>
      </c>
      <c r="H755" s="32">
        <v>14.83</v>
      </c>
      <c r="I755" s="32">
        <v>1477.98</v>
      </c>
      <c r="J755" t="s">
        <v>239</v>
      </c>
      <c r="K755" t="s">
        <v>234</v>
      </c>
      <c r="L755" t="s">
        <v>235</v>
      </c>
      <c r="M755" t="s">
        <v>236</v>
      </c>
      <c r="N755" t="s">
        <v>237</v>
      </c>
      <c r="O755" s="27">
        <v>46064</v>
      </c>
    </row>
    <row r="756" spans="2:15" hidden="1" x14ac:dyDescent="0.3">
      <c r="B756">
        <v>15947590</v>
      </c>
      <c r="C756" t="s">
        <v>231</v>
      </c>
      <c r="D756">
        <v>69519</v>
      </c>
      <c r="E756" t="s">
        <v>150</v>
      </c>
      <c r="F756" t="s">
        <v>246</v>
      </c>
      <c r="G756" s="28">
        <v>73</v>
      </c>
      <c r="H756" s="32">
        <v>14.81</v>
      </c>
      <c r="I756" s="32">
        <v>2711.9</v>
      </c>
      <c r="J756" t="s">
        <v>239</v>
      </c>
      <c r="K756" t="s">
        <v>245</v>
      </c>
      <c r="L756" t="s">
        <v>235</v>
      </c>
      <c r="M756" t="s">
        <v>236</v>
      </c>
      <c r="N756" t="s">
        <v>237</v>
      </c>
      <c r="O756" s="27">
        <v>46063</v>
      </c>
    </row>
    <row r="757" spans="2:15" hidden="1" x14ac:dyDescent="0.3">
      <c r="B757">
        <v>750270</v>
      </c>
      <c r="C757" t="s">
        <v>231</v>
      </c>
      <c r="D757">
        <v>22674</v>
      </c>
      <c r="E757" t="s">
        <v>150</v>
      </c>
      <c r="F757" t="s">
        <v>272</v>
      </c>
      <c r="G757" s="28">
        <v>400</v>
      </c>
      <c r="H757" s="32">
        <v>14.8</v>
      </c>
      <c r="I757" s="32">
        <v>2520</v>
      </c>
      <c r="J757" t="s">
        <v>239</v>
      </c>
      <c r="K757" t="s">
        <v>234</v>
      </c>
      <c r="L757" t="s">
        <v>235</v>
      </c>
      <c r="M757" t="s">
        <v>236</v>
      </c>
      <c r="N757" t="s">
        <v>237</v>
      </c>
      <c r="O757" s="27">
        <v>46065</v>
      </c>
    </row>
    <row r="758" spans="2:15" hidden="1" x14ac:dyDescent="0.3">
      <c r="B758">
        <v>2091913</v>
      </c>
      <c r="C758" t="s">
        <v>260</v>
      </c>
      <c r="D758">
        <v>49894</v>
      </c>
      <c r="E758" t="s">
        <v>150</v>
      </c>
      <c r="F758" t="s">
        <v>163</v>
      </c>
      <c r="G758" s="28">
        <v>81</v>
      </c>
      <c r="H758" s="32">
        <v>14.63</v>
      </c>
      <c r="I758" s="32">
        <v>1130.8699999999999</v>
      </c>
      <c r="J758" t="s">
        <v>239</v>
      </c>
      <c r="K758" t="s">
        <v>245</v>
      </c>
      <c r="L758" t="s">
        <v>235</v>
      </c>
      <c r="M758" t="s">
        <v>236</v>
      </c>
      <c r="N758" t="s">
        <v>237</v>
      </c>
      <c r="O758" s="27">
        <v>46063</v>
      </c>
    </row>
    <row r="759" spans="2:15" hidden="1" x14ac:dyDescent="0.3">
      <c r="B759">
        <v>18731282</v>
      </c>
      <c r="C759" t="s">
        <v>231</v>
      </c>
      <c r="D759">
        <v>40901</v>
      </c>
      <c r="E759" t="s">
        <v>150</v>
      </c>
      <c r="F759" t="s">
        <v>298</v>
      </c>
      <c r="G759" s="28">
        <v>67</v>
      </c>
      <c r="H759" s="32">
        <v>14.54</v>
      </c>
      <c r="I759" s="32">
        <v>1166.5899999999999</v>
      </c>
      <c r="J759" t="s">
        <v>239</v>
      </c>
      <c r="K759" t="s">
        <v>245</v>
      </c>
      <c r="L759" t="s">
        <v>235</v>
      </c>
      <c r="M759" t="s">
        <v>236</v>
      </c>
      <c r="N759" t="s">
        <v>237</v>
      </c>
      <c r="O759" s="27">
        <v>46063</v>
      </c>
    </row>
    <row r="760" spans="2:15" hidden="1" x14ac:dyDescent="0.3">
      <c r="B760">
        <v>1579</v>
      </c>
      <c r="C760" t="s">
        <v>231</v>
      </c>
      <c r="D760">
        <v>21468</v>
      </c>
      <c r="E760" t="s">
        <v>150</v>
      </c>
      <c r="F760" t="s">
        <v>258</v>
      </c>
      <c r="G760" s="28">
        <v>100</v>
      </c>
      <c r="H760" s="32">
        <v>14.49</v>
      </c>
      <c r="I760" s="32">
        <v>1081.3800000000001</v>
      </c>
      <c r="J760" t="s">
        <v>239</v>
      </c>
      <c r="K760" t="s">
        <v>245</v>
      </c>
      <c r="L760" t="s">
        <v>235</v>
      </c>
      <c r="M760" t="s">
        <v>236</v>
      </c>
      <c r="N760" t="s">
        <v>240</v>
      </c>
      <c r="O760" s="27">
        <v>46055</v>
      </c>
    </row>
    <row r="761" spans="2:15" hidden="1" x14ac:dyDescent="0.3">
      <c r="B761">
        <v>2013549</v>
      </c>
      <c r="C761" t="s">
        <v>231</v>
      </c>
      <c r="D761">
        <v>23648</v>
      </c>
      <c r="E761" t="s">
        <v>150</v>
      </c>
      <c r="F761" t="s">
        <v>370</v>
      </c>
      <c r="G761" s="28">
        <v>52</v>
      </c>
      <c r="H761" s="32">
        <v>14.48</v>
      </c>
      <c r="I761" s="32">
        <v>2817.88</v>
      </c>
      <c r="J761" t="s">
        <v>256</v>
      </c>
      <c r="K761" t="s">
        <v>234</v>
      </c>
      <c r="L761" t="s">
        <v>235</v>
      </c>
      <c r="M761" t="s">
        <v>236</v>
      </c>
      <c r="N761" t="s">
        <v>240</v>
      </c>
      <c r="O761" s="27">
        <v>46059</v>
      </c>
    </row>
    <row r="762" spans="2:15" hidden="1" x14ac:dyDescent="0.3">
      <c r="B762">
        <v>9260624</v>
      </c>
      <c r="C762" t="s">
        <v>231</v>
      </c>
      <c r="D762">
        <v>24415</v>
      </c>
      <c r="E762" t="s">
        <v>150</v>
      </c>
      <c r="F762" t="s">
        <v>369</v>
      </c>
      <c r="G762" s="28">
        <v>32</v>
      </c>
      <c r="H762" s="32">
        <v>14.47</v>
      </c>
      <c r="I762" s="32">
        <v>1653.97</v>
      </c>
      <c r="J762" t="s">
        <v>239</v>
      </c>
      <c r="K762" t="s">
        <v>245</v>
      </c>
      <c r="L762" t="s">
        <v>235</v>
      </c>
      <c r="M762" t="s">
        <v>236</v>
      </c>
      <c r="N762" t="s">
        <v>240</v>
      </c>
      <c r="O762" s="27">
        <v>46055</v>
      </c>
    </row>
    <row r="763" spans="2:15" hidden="1" x14ac:dyDescent="0.3">
      <c r="B763">
        <v>2410665</v>
      </c>
      <c r="C763" t="s">
        <v>231</v>
      </c>
      <c r="D763">
        <v>21559</v>
      </c>
      <c r="E763" t="s">
        <v>150</v>
      </c>
      <c r="F763" t="s">
        <v>246</v>
      </c>
      <c r="G763" s="28">
        <v>65</v>
      </c>
      <c r="H763" s="32">
        <v>14.47</v>
      </c>
      <c r="I763" s="32">
        <v>2414.5100000000002</v>
      </c>
      <c r="J763" t="s">
        <v>239</v>
      </c>
      <c r="K763" t="s">
        <v>245</v>
      </c>
      <c r="L763" t="s">
        <v>235</v>
      </c>
      <c r="M763" t="s">
        <v>236</v>
      </c>
      <c r="N763" t="s">
        <v>237</v>
      </c>
      <c r="O763" s="27">
        <v>46063</v>
      </c>
    </row>
    <row r="764" spans="2:15" hidden="1" x14ac:dyDescent="0.3">
      <c r="B764">
        <v>2590120</v>
      </c>
      <c r="C764" t="s">
        <v>231</v>
      </c>
      <c r="D764">
        <v>96553</v>
      </c>
      <c r="E764" t="s">
        <v>150</v>
      </c>
      <c r="F764" t="s">
        <v>289</v>
      </c>
      <c r="G764" s="28">
        <v>49</v>
      </c>
      <c r="H764" s="32">
        <v>14.46</v>
      </c>
      <c r="I764" s="32">
        <v>1052.81</v>
      </c>
      <c r="J764" t="s">
        <v>239</v>
      </c>
      <c r="K764" t="s">
        <v>245</v>
      </c>
      <c r="L764" t="s">
        <v>235</v>
      </c>
      <c r="M764" t="s">
        <v>236</v>
      </c>
      <c r="N764" t="s">
        <v>237</v>
      </c>
      <c r="O764" s="27">
        <v>46055</v>
      </c>
    </row>
    <row r="765" spans="2:15" hidden="1" x14ac:dyDescent="0.3">
      <c r="B765">
        <v>17005725</v>
      </c>
      <c r="C765" t="s">
        <v>260</v>
      </c>
      <c r="D765">
        <v>22674</v>
      </c>
      <c r="E765" t="s">
        <v>150</v>
      </c>
      <c r="F765" t="s">
        <v>298</v>
      </c>
      <c r="G765" s="28">
        <v>67</v>
      </c>
      <c r="H765" s="32">
        <v>14.45</v>
      </c>
      <c r="I765" s="32">
        <v>1166.5899999999999</v>
      </c>
      <c r="J765" t="s">
        <v>239</v>
      </c>
      <c r="K765" t="s">
        <v>245</v>
      </c>
      <c r="L765" t="s">
        <v>235</v>
      </c>
      <c r="M765" t="s">
        <v>236</v>
      </c>
      <c r="N765" t="s">
        <v>237</v>
      </c>
      <c r="O765" s="27">
        <v>46063</v>
      </c>
    </row>
    <row r="766" spans="2:15" hidden="1" x14ac:dyDescent="0.3">
      <c r="B766">
        <v>3911170</v>
      </c>
      <c r="C766" t="s">
        <v>231</v>
      </c>
      <c r="D766">
        <v>21468</v>
      </c>
      <c r="E766" t="s">
        <v>150</v>
      </c>
      <c r="F766" t="s">
        <v>298</v>
      </c>
      <c r="G766" s="28">
        <v>66</v>
      </c>
      <c r="H766" s="32">
        <v>14.44</v>
      </c>
      <c r="I766" s="32">
        <v>1149.18</v>
      </c>
      <c r="J766" t="s">
        <v>239</v>
      </c>
      <c r="K766" t="s">
        <v>245</v>
      </c>
      <c r="L766" t="s">
        <v>235</v>
      </c>
      <c r="M766" t="s">
        <v>236</v>
      </c>
      <c r="N766" t="s">
        <v>237</v>
      </c>
      <c r="O766" s="27">
        <v>46063</v>
      </c>
    </row>
    <row r="767" spans="2:15" hidden="1" x14ac:dyDescent="0.3">
      <c r="B767">
        <v>8668372</v>
      </c>
      <c r="C767" t="s">
        <v>231</v>
      </c>
      <c r="D767">
        <v>25619</v>
      </c>
      <c r="E767" t="s">
        <v>150</v>
      </c>
      <c r="F767" t="s">
        <v>163</v>
      </c>
      <c r="G767" s="28">
        <v>110</v>
      </c>
      <c r="H767" s="32">
        <v>14.43</v>
      </c>
      <c r="I767" s="32">
        <v>1449.17</v>
      </c>
      <c r="J767" t="s">
        <v>239</v>
      </c>
      <c r="K767" t="s">
        <v>245</v>
      </c>
      <c r="L767" t="s">
        <v>235</v>
      </c>
      <c r="M767" t="s">
        <v>236</v>
      </c>
      <c r="N767" t="s">
        <v>237</v>
      </c>
      <c r="O767" s="27">
        <v>46055</v>
      </c>
    </row>
    <row r="768" spans="2:15" hidden="1" x14ac:dyDescent="0.3">
      <c r="B768">
        <v>18731282</v>
      </c>
      <c r="C768" t="s">
        <v>231</v>
      </c>
      <c r="D768">
        <v>40901</v>
      </c>
      <c r="E768" t="s">
        <v>150</v>
      </c>
      <c r="F768" t="s">
        <v>443</v>
      </c>
      <c r="G768" s="28">
        <v>392</v>
      </c>
      <c r="H768" s="32">
        <v>14.41</v>
      </c>
      <c r="I768" s="32">
        <v>2649.24</v>
      </c>
      <c r="J768" t="s">
        <v>239</v>
      </c>
      <c r="K768" t="s">
        <v>245</v>
      </c>
      <c r="L768" t="s">
        <v>235</v>
      </c>
      <c r="M768" t="s">
        <v>236</v>
      </c>
      <c r="N768" t="s">
        <v>237</v>
      </c>
      <c r="O768" s="27">
        <v>46055</v>
      </c>
    </row>
    <row r="769" spans="2:15" hidden="1" x14ac:dyDescent="0.3">
      <c r="B769">
        <v>2033851</v>
      </c>
      <c r="C769" t="s">
        <v>231</v>
      </c>
      <c r="D769">
        <v>24415</v>
      </c>
      <c r="E769" t="s">
        <v>150</v>
      </c>
      <c r="F769" t="s">
        <v>254</v>
      </c>
      <c r="G769" s="28">
        <v>112</v>
      </c>
      <c r="H769" s="32">
        <v>14.37</v>
      </c>
      <c r="I769" s="32">
        <v>2426.9</v>
      </c>
      <c r="J769" t="s">
        <v>239</v>
      </c>
      <c r="K769" t="s">
        <v>245</v>
      </c>
      <c r="L769" t="s">
        <v>235</v>
      </c>
      <c r="M769" t="s">
        <v>236</v>
      </c>
      <c r="N769" t="s">
        <v>237</v>
      </c>
      <c r="O769" s="27">
        <v>46072</v>
      </c>
    </row>
    <row r="770" spans="2:15" hidden="1" x14ac:dyDescent="0.3">
      <c r="B770">
        <v>325473</v>
      </c>
      <c r="C770" t="s">
        <v>231</v>
      </c>
      <c r="D770">
        <v>22674</v>
      </c>
      <c r="E770" t="s">
        <v>150</v>
      </c>
      <c r="F770" t="s">
        <v>246</v>
      </c>
      <c r="G770" s="28">
        <v>70</v>
      </c>
      <c r="H770" s="32">
        <v>14.36</v>
      </c>
      <c r="I770" s="32">
        <v>2600.4899999999998</v>
      </c>
      <c r="J770" t="s">
        <v>239</v>
      </c>
      <c r="K770" t="s">
        <v>245</v>
      </c>
      <c r="L770" t="s">
        <v>235</v>
      </c>
      <c r="M770" t="s">
        <v>236</v>
      </c>
      <c r="N770" t="s">
        <v>237</v>
      </c>
      <c r="O770" s="27">
        <v>46063</v>
      </c>
    </row>
    <row r="771" spans="2:15" hidden="1" x14ac:dyDescent="0.3">
      <c r="B771">
        <v>3687422</v>
      </c>
      <c r="C771" t="s">
        <v>260</v>
      </c>
      <c r="D771">
        <v>68542</v>
      </c>
      <c r="E771" t="s">
        <v>150</v>
      </c>
      <c r="F771" t="s">
        <v>323</v>
      </c>
      <c r="G771" s="28">
        <v>178</v>
      </c>
      <c r="H771" s="32">
        <v>14.36</v>
      </c>
      <c r="I771" s="32">
        <v>1220.24</v>
      </c>
      <c r="J771" t="s">
        <v>267</v>
      </c>
      <c r="K771" t="s">
        <v>245</v>
      </c>
      <c r="L771" t="s">
        <v>235</v>
      </c>
      <c r="M771" t="s">
        <v>236</v>
      </c>
      <c r="N771" t="s">
        <v>240</v>
      </c>
      <c r="O771" s="27">
        <v>46057</v>
      </c>
    </row>
    <row r="772" spans="2:15" hidden="1" x14ac:dyDescent="0.3">
      <c r="B772">
        <v>2590120</v>
      </c>
      <c r="C772" t="s">
        <v>231</v>
      </c>
      <c r="D772">
        <v>96553</v>
      </c>
      <c r="E772" t="s">
        <v>150</v>
      </c>
      <c r="F772" t="s">
        <v>258</v>
      </c>
      <c r="G772" s="28">
        <v>97</v>
      </c>
      <c r="H772" s="32">
        <v>14.34</v>
      </c>
      <c r="I772" s="32">
        <v>1048.94</v>
      </c>
      <c r="J772" t="s">
        <v>239</v>
      </c>
      <c r="K772" t="s">
        <v>245</v>
      </c>
      <c r="L772" t="s">
        <v>235</v>
      </c>
      <c r="M772" t="s">
        <v>236</v>
      </c>
      <c r="N772" t="s">
        <v>240</v>
      </c>
      <c r="O772" s="27">
        <v>46055</v>
      </c>
    </row>
    <row r="773" spans="2:15" hidden="1" x14ac:dyDescent="0.3">
      <c r="B773">
        <v>2051406</v>
      </c>
      <c r="C773" t="s">
        <v>231</v>
      </c>
      <c r="D773">
        <v>25104</v>
      </c>
      <c r="E773" t="s">
        <v>150</v>
      </c>
      <c r="F773" t="s">
        <v>258</v>
      </c>
      <c r="G773" s="28">
        <v>116</v>
      </c>
      <c r="H773" s="32">
        <v>14.24</v>
      </c>
      <c r="I773" s="32">
        <v>1254.4000000000001</v>
      </c>
      <c r="J773" t="s">
        <v>239</v>
      </c>
      <c r="K773" t="s">
        <v>245</v>
      </c>
      <c r="L773" t="s">
        <v>235</v>
      </c>
      <c r="M773" t="s">
        <v>236</v>
      </c>
      <c r="N773" t="s">
        <v>240</v>
      </c>
      <c r="O773" s="27">
        <v>46055</v>
      </c>
    </row>
    <row r="774" spans="2:15" hidden="1" x14ac:dyDescent="0.3">
      <c r="B774">
        <v>2496015</v>
      </c>
      <c r="C774" t="s">
        <v>231</v>
      </c>
      <c r="D774">
        <v>38517</v>
      </c>
      <c r="E774" t="s">
        <v>150</v>
      </c>
      <c r="F774" t="s">
        <v>369</v>
      </c>
      <c r="G774" s="28">
        <v>86</v>
      </c>
      <c r="H774" s="32">
        <v>14.22</v>
      </c>
      <c r="I774" s="32">
        <v>4739.05</v>
      </c>
      <c r="J774" t="s">
        <v>239</v>
      </c>
      <c r="K774" t="s">
        <v>245</v>
      </c>
      <c r="L774" t="s">
        <v>235</v>
      </c>
      <c r="M774" t="s">
        <v>236</v>
      </c>
      <c r="N774" t="s">
        <v>240</v>
      </c>
      <c r="O774" s="27">
        <v>46063</v>
      </c>
    </row>
    <row r="775" spans="2:15" hidden="1" x14ac:dyDescent="0.3">
      <c r="B775">
        <v>6024970</v>
      </c>
      <c r="C775" t="s">
        <v>260</v>
      </c>
      <c r="D775">
        <v>72444</v>
      </c>
      <c r="E775" t="s">
        <v>150</v>
      </c>
      <c r="F775" t="s">
        <v>282</v>
      </c>
      <c r="G775" s="28">
        <v>35</v>
      </c>
      <c r="H775" s="32">
        <v>14.21</v>
      </c>
      <c r="I775" s="32">
        <v>1780.13</v>
      </c>
      <c r="J775" t="s">
        <v>239</v>
      </c>
      <c r="K775" t="s">
        <v>245</v>
      </c>
      <c r="L775" t="s">
        <v>235</v>
      </c>
      <c r="M775" t="s">
        <v>236</v>
      </c>
      <c r="N775" t="s">
        <v>240</v>
      </c>
      <c r="O775" s="27">
        <v>46055</v>
      </c>
    </row>
    <row r="776" spans="2:15" hidden="1" x14ac:dyDescent="0.3">
      <c r="B776">
        <v>2390017</v>
      </c>
      <c r="C776" t="s">
        <v>231</v>
      </c>
      <c r="D776">
        <v>69493</v>
      </c>
      <c r="E776" t="s">
        <v>150</v>
      </c>
      <c r="F776" t="s">
        <v>246</v>
      </c>
      <c r="G776" s="28">
        <v>55</v>
      </c>
      <c r="H776" s="32">
        <v>14.16</v>
      </c>
      <c r="I776" s="32">
        <v>2032.3</v>
      </c>
      <c r="J776" t="s">
        <v>239</v>
      </c>
      <c r="K776" t="s">
        <v>245</v>
      </c>
      <c r="L776" t="s">
        <v>235</v>
      </c>
      <c r="M776" t="s">
        <v>236</v>
      </c>
      <c r="N776" t="s">
        <v>237</v>
      </c>
      <c r="O776" s="27">
        <v>46055</v>
      </c>
    </row>
    <row r="777" spans="2:15" x14ac:dyDescent="0.3">
      <c r="B777">
        <v>5658854</v>
      </c>
      <c r="C777" t="s">
        <v>231</v>
      </c>
      <c r="D777">
        <v>22103</v>
      </c>
      <c r="E777" t="s">
        <v>150</v>
      </c>
      <c r="F777" t="s">
        <v>329</v>
      </c>
      <c r="G777" s="28">
        <v>32</v>
      </c>
      <c r="H777" s="32">
        <v>14.15</v>
      </c>
      <c r="I777" s="32">
        <v>2816</v>
      </c>
      <c r="J777" t="s">
        <v>330</v>
      </c>
      <c r="K777" t="s">
        <v>234</v>
      </c>
      <c r="L777" t="s">
        <v>235</v>
      </c>
      <c r="M777" t="s">
        <v>236</v>
      </c>
      <c r="N777" t="s">
        <v>237</v>
      </c>
      <c r="O777" s="27">
        <v>46076</v>
      </c>
    </row>
    <row r="778" spans="2:15" hidden="1" x14ac:dyDescent="0.3">
      <c r="B778">
        <v>3274546</v>
      </c>
      <c r="C778" t="s">
        <v>260</v>
      </c>
      <c r="D778">
        <v>22674</v>
      </c>
      <c r="E778" t="s">
        <v>150</v>
      </c>
      <c r="F778" t="s">
        <v>246</v>
      </c>
      <c r="G778" s="28">
        <v>78</v>
      </c>
      <c r="H778" s="32">
        <v>14.13</v>
      </c>
      <c r="I778" s="32">
        <v>2897.62</v>
      </c>
      <c r="J778" t="s">
        <v>239</v>
      </c>
      <c r="K778" t="s">
        <v>245</v>
      </c>
      <c r="L778" t="s">
        <v>235</v>
      </c>
      <c r="M778" t="s">
        <v>236</v>
      </c>
      <c r="N778" t="s">
        <v>237</v>
      </c>
      <c r="O778" s="27">
        <v>46063</v>
      </c>
    </row>
    <row r="779" spans="2:15" hidden="1" x14ac:dyDescent="0.3">
      <c r="B779">
        <v>2033851</v>
      </c>
      <c r="C779" t="s">
        <v>231</v>
      </c>
      <c r="D779">
        <v>24415</v>
      </c>
      <c r="E779" t="s">
        <v>150</v>
      </c>
      <c r="F779" t="s">
        <v>289</v>
      </c>
      <c r="G779" s="28">
        <v>112</v>
      </c>
      <c r="H779" s="32">
        <v>14.12</v>
      </c>
      <c r="I779" s="32">
        <v>2384.79</v>
      </c>
      <c r="J779" t="s">
        <v>239</v>
      </c>
      <c r="K779" t="s">
        <v>245</v>
      </c>
      <c r="L779" t="s">
        <v>235</v>
      </c>
      <c r="M779" t="s">
        <v>236</v>
      </c>
      <c r="N779" t="s">
        <v>237</v>
      </c>
      <c r="O779" s="27">
        <v>46072</v>
      </c>
    </row>
    <row r="780" spans="2:15" hidden="1" x14ac:dyDescent="0.3">
      <c r="B780">
        <v>18731282</v>
      </c>
      <c r="C780" t="s">
        <v>231</v>
      </c>
      <c r="D780">
        <v>40901</v>
      </c>
      <c r="E780" t="s">
        <v>150</v>
      </c>
      <c r="F780" t="s">
        <v>444</v>
      </c>
      <c r="G780" s="28">
        <v>154</v>
      </c>
      <c r="H780" s="32">
        <v>14.12</v>
      </c>
      <c r="I780" s="32">
        <v>2594.39</v>
      </c>
      <c r="J780" t="s">
        <v>239</v>
      </c>
      <c r="K780" t="s">
        <v>245</v>
      </c>
      <c r="L780" t="s">
        <v>235</v>
      </c>
      <c r="M780" t="s">
        <v>236</v>
      </c>
      <c r="N780" t="s">
        <v>237</v>
      </c>
      <c r="O780" s="27">
        <v>46055</v>
      </c>
    </row>
    <row r="781" spans="2:15" hidden="1" x14ac:dyDescent="0.3">
      <c r="B781">
        <v>2495068</v>
      </c>
      <c r="C781" t="s">
        <v>231</v>
      </c>
      <c r="D781">
        <v>69493</v>
      </c>
      <c r="E781" t="s">
        <v>150</v>
      </c>
      <c r="F781" t="s">
        <v>246</v>
      </c>
      <c r="G781" s="28">
        <v>55</v>
      </c>
      <c r="H781" s="32">
        <v>14.09</v>
      </c>
      <c r="I781" s="32">
        <v>2032.3</v>
      </c>
      <c r="J781" t="s">
        <v>239</v>
      </c>
      <c r="K781" t="s">
        <v>245</v>
      </c>
      <c r="L781" t="s">
        <v>235</v>
      </c>
      <c r="M781" t="s">
        <v>236</v>
      </c>
      <c r="N781" t="s">
        <v>237</v>
      </c>
      <c r="O781" s="27">
        <v>46055</v>
      </c>
    </row>
    <row r="782" spans="2:15" hidden="1" x14ac:dyDescent="0.3">
      <c r="B782">
        <v>6901714</v>
      </c>
      <c r="C782" t="s">
        <v>260</v>
      </c>
      <c r="D782">
        <v>71997</v>
      </c>
      <c r="E782" t="s">
        <v>150</v>
      </c>
      <c r="F782" t="s">
        <v>369</v>
      </c>
      <c r="G782" s="28">
        <v>58</v>
      </c>
      <c r="H782" s="32">
        <v>14.09</v>
      </c>
      <c r="I782" s="32">
        <v>3195.95</v>
      </c>
      <c r="J782" t="s">
        <v>239</v>
      </c>
      <c r="K782" t="s">
        <v>245</v>
      </c>
      <c r="L782" t="s">
        <v>235</v>
      </c>
      <c r="M782" t="s">
        <v>236</v>
      </c>
      <c r="N782" t="s">
        <v>240</v>
      </c>
      <c r="O782" s="27">
        <v>46063</v>
      </c>
    </row>
    <row r="783" spans="2:15" hidden="1" x14ac:dyDescent="0.3">
      <c r="B783">
        <v>2727239</v>
      </c>
      <c r="C783" t="s">
        <v>231</v>
      </c>
      <c r="D783">
        <v>21559</v>
      </c>
      <c r="E783" t="s">
        <v>150</v>
      </c>
      <c r="F783" t="s">
        <v>282</v>
      </c>
      <c r="G783" s="28">
        <v>63</v>
      </c>
      <c r="H783" s="32">
        <v>14.01</v>
      </c>
      <c r="I783" s="32">
        <v>3218.14</v>
      </c>
      <c r="J783" t="s">
        <v>239</v>
      </c>
      <c r="K783" t="s">
        <v>245</v>
      </c>
      <c r="L783" t="s">
        <v>235</v>
      </c>
      <c r="M783" t="s">
        <v>236</v>
      </c>
      <c r="N783" t="s">
        <v>240</v>
      </c>
      <c r="O783" s="27">
        <v>46063</v>
      </c>
    </row>
    <row r="784" spans="2:15" hidden="1" x14ac:dyDescent="0.3">
      <c r="B784">
        <v>3317498</v>
      </c>
      <c r="C784" t="s">
        <v>231</v>
      </c>
      <c r="D784">
        <v>69493</v>
      </c>
      <c r="E784" t="s">
        <v>150</v>
      </c>
      <c r="F784" t="s">
        <v>246</v>
      </c>
      <c r="G784" s="28">
        <v>67</v>
      </c>
      <c r="H784" s="32">
        <v>13.96</v>
      </c>
      <c r="I784" s="32">
        <v>2488.9299999999998</v>
      </c>
      <c r="J784" t="s">
        <v>239</v>
      </c>
      <c r="K784" t="s">
        <v>245</v>
      </c>
      <c r="L784" t="s">
        <v>235</v>
      </c>
      <c r="M784" t="s">
        <v>236</v>
      </c>
      <c r="N784" t="s">
        <v>237</v>
      </c>
      <c r="O784" s="27">
        <v>46063</v>
      </c>
    </row>
    <row r="785" spans="2:15" hidden="1" x14ac:dyDescent="0.3">
      <c r="B785">
        <v>2412490</v>
      </c>
      <c r="C785" t="s">
        <v>231</v>
      </c>
      <c r="D785">
        <v>71881</v>
      </c>
      <c r="E785" t="s">
        <v>150</v>
      </c>
      <c r="F785" t="s">
        <v>385</v>
      </c>
      <c r="G785" s="28">
        <v>97</v>
      </c>
      <c r="H785" s="32">
        <v>13.92</v>
      </c>
      <c r="I785" s="32">
        <v>1580.13</v>
      </c>
      <c r="J785" t="s">
        <v>330</v>
      </c>
      <c r="K785" t="s">
        <v>234</v>
      </c>
      <c r="L785" t="s">
        <v>235</v>
      </c>
      <c r="M785" t="s">
        <v>236</v>
      </c>
      <c r="N785" t="s">
        <v>237</v>
      </c>
      <c r="O785" s="27">
        <v>46057</v>
      </c>
    </row>
    <row r="786" spans="2:15" hidden="1" x14ac:dyDescent="0.3">
      <c r="B786">
        <v>5740954</v>
      </c>
      <c r="C786" t="s">
        <v>260</v>
      </c>
      <c r="D786">
        <v>23648</v>
      </c>
      <c r="E786" t="s">
        <v>150</v>
      </c>
      <c r="F786" t="s">
        <v>369</v>
      </c>
      <c r="G786" s="28">
        <v>30</v>
      </c>
      <c r="H786" s="32">
        <v>13.87</v>
      </c>
      <c r="I786" s="32">
        <v>1550.6</v>
      </c>
      <c r="J786" t="s">
        <v>239</v>
      </c>
      <c r="K786" t="s">
        <v>245</v>
      </c>
      <c r="L786" t="s">
        <v>235</v>
      </c>
      <c r="M786" t="s">
        <v>236</v>
      </c>
      <c r="N786" t="s">
        <v>240</v>
      </c>
      <c r="O786" s="27">
        <v>46055</v>
      </c>
    </row>
    <row r="787" spans="2:15" hidden="1" x14ac:dyDescent="0.3">
      <c r="B787">
        <v>440722</v>
      </c>
      <c r="C787" t="s">
        <v>231</v>
      </c>
      <c r="D787">
        <v>21468</v>
      </c>
      <c r="E787" t="s">
        <v>150</v>
      </c>
      <c r="F787" t="s">
        <v>289</v>
      </c>
      <c r="G787" s="28">
        <v>91</v>
      </c>
      <c r="H787" s="32">
        <v>13.86</v>
      </c>
      <c r="I787" s="32">
        <v>1955.23</v>
      </c>
      <c r="J787" t="s">
        <v>239</v>
      </c>
      <c r="K787" t="s">
        <v>245</v>
      </c>
      <c r="L787" t="s">
        <v>235</v>
      </c>
      <c r="M787" t="s">
        <v>236</v>
      </c>
      <c r="N787" t="s">
        <v>237</v>
      </c>
      <c r="O787" s="27">
        <v>46055</v>
      </c>
    </row>
    <row r="788" spans="2:15" hidden="1" x14ac:dyDescent="0.3">
      <c r="B788">
        <v>2084946</v>
      </c>
      <c r="C788" t="s">
        <v>231</v>
      </c>
      <c r="D788">
        <v>69493</v>
      </c>
      <c r="E788" t="s">
        <v>150</v>
      </c>
      <c r="F788" t="s">
        <v>246</v>
      </c>
      <c r="G788" s="28">
        <v>54</v>
      </c>
      <c r="H788" s="32">
        <v>13.82</v>
      </c>
      <c r="I788" s="32">
        <v>1995.35</v>
      </c>
      <c r="J788" t="s">
        <v>239</v>
      </c>
      <c r="K788" t="s">
        <v>245</v>
      </c>
      <c r="L788" t="s">
        <v>235</v>
      </c>
      <c r="M788" t="s">
        <v>236</v>
      </c>
      <c r="N788" t="s">
        <v>237</v>
      </c>
      <c r="O788" s="27">
        <v>46055</v>
      </c>
    </row>
    <row r="789" spans="2:15" hidden="1" x14ac:dyDescent="0.3">
      <c r="B789">
        <v>2632292</v>
      </c>
      <c r="C789" t="s">
        <v>231</v>
      </c>
      <c r="D789">
        <v>69519</v>
      </c>
      <c r="E789" t="s">
        <v>150</v>
      </c>
      <c r="F789" t="s">
        <v>243</v>
      </c>
      <c r="G789" s="28">
        <v>87</v>
      </c>
      <c r="H789" s="32">
        <v>13.81</v>
      </c>
      <c r="I789" s="32">
        <v>2357.23</v>
      </c>
      <c r="J789" t="s">
        <v>239</v>
      </c>
      <c r="K789" t="s">
        <v>245</v>
      </c>
      <c r="L789" t="s">
        <v>235</v>
      </c>
      <c r="M789" t="s">
        <v>236</v>
      </c>
      <c r="N789" t="s">
        <v>240</v>
      </c>
      <c r="O789" s="27">
        <v>46072</v>
      </c>
    </row>
    <row r="790" spans="2:15" hidden="1" x14ac:dyDescent="0.3">
      <c r="B790">
        <v>3270381</v>
      </c>
      <c r="C790" t="s">
        <v>260</v>
      </c>
      <c r="D790">
        <v>21559</v>
      </c>
      <c r="E790" t="s">
        <v>150</v>
      </c>
      <c r="F790" t="s">
        <v>293</v>
      </c>
      <c r="G790" s="28">
        <v>84</v>
      </c>
      <c r="H790" s="32">
        <v>13.79</v>
      </c>
      <c r="I790" s="32">
        <v>722.3</v>
      </c>
      <c r="J790" t="s">
        <v>267</v>
      </c>
      <c r="K790" t="s">
        <v>245</v>
      </c>
      <c r="L790" t="s">
        <v>235</v>
      </c>
      <c r="M790" t="s">
        <v>236</v>
      </c>
      <c r="N790" t="s">
        <v>240</v>
      </c>
      <c r="O790" s="27">
        <v>46057</v>
      </c>
    </row>
    <row r="791" spans="2:15" hidden="1" x14ac:dyDescent="0.3">
      <c r="B791">
        <v>14521528</v>
      </c>
      <c r="C791" t="s">
        <v>260</v>
      </c>
      <c r="D791">
        <v>25619</v>
      </c>
      <c r="E791" t="s">
        <v>150</v>
      </c>
      <c r="F791" t="s">
        <v>163</v>
      </c>
      <c r="G791" s="28">
        <v>76</v>
      </c>
      <c r="H791" s="32">
        <v>13.77</v>
      </c>
      <c r="I791" s="32">
        <v>1060.96</v>
      </c>
      <c r="J791" t="s">
        <v>239</v>
      </c>
      <c r="K791" t="s">
        <v>245</v>
      </c>
      <c r="L791" t="s">
        <v>235</v>
      </c>
      <c r="M791" t="s">
        <v>236</v>
      </c>
      <c r="N791" t="s">
        <v>237</v>
      </c>
      <c r="O791" s="27">
        <v>46063</v>
      </c>
    </row>
    <row r="792" spans="2:15" hidden="1" x14ac:dyDescent="0.3">
      <c r="B792">
        <v>6024970</v>
      </c>
      <c r="C792" t="s">
        <v>260</v>
      </c>
      <c r="D792">
        <v>72444</v>
      </c>
      <c r="E792" t="s">
        <v>150</v>
      </c>
      <c r="F792" t="s">
        <v>298</v>
      </c>
      <c r="G792" s="28">
        <v>105</v>
      </c>
      <c r="H792" s="32">
        <v>13.76</v>
      </c>
      <c r="I792" s="32">
        <v>1723.81</v>
      </c>
      <c r="J792" t="s">
        <v>239</v>
      </c>
      <c r="K792" t="s">
        <v>245</v>
      </c>
      <c r="L792" t="s">
        <v>235</v>
      </c>
      <c r="M792" t="s">
        <v>236</v>
      </c>
      <c r="N792" t="s">
        <v>237</v>
      </c>
      <c r="O792" s="27">
        <v>46055</v>
      </c>
    </row>
    <row r="793" spans="2:15" hidden="1" x14ac:dyDescent="0.3">
      <c r="B793">
        <v>15974810</v>
      </c>
      <c r="C793" t="s">
        <v>231</v>
      </c>
      <c r="D793">
        <v>49894</v>
      </c>
      <c r="E793" t="s">
        <v>150</v>
      </c>
      <c r="F793" t="s">
        <v>246</v>
      </c>
      <c r="G793" s="28">
        <v>66</v>
      </c>
      <c r="H793" s="32">
        <v>13.74</v>
      </c>
      <c r="I793" s="32">
        <v>2451.64</v>
      </c>
      <c r="J793" t="s">
        <v>239</v>
      </c>
      <c r="K793" t="s">
        <v>245</v>
      </c>
      <c r="L793" t="s">
        <v>235</v>
      </c>
      <c r="M793" t="s">
        <v>236</v>
      </c>
      <c r="N793" t="s">
        <v>237</v>
      </c>
      <c r="O793" s="27">
        <v>46063</v>
      </c>
    </row>
    <row r="794" spans="2:15" hidden="1" x14ac:dyDescent="0.3">
      <c r="B794">
        <v>5933489</v>
      </c>
      <c r="C794" t="s">
        <v>231</v>
      </c>
      <c r="D794">
        <v>23648</v>
      </c>
      <c r="E794" t="s">
        <v>150</v>
      </c>
      <c r="F794" t="s">
        <v>369</v>
      </c>
      <c r="G794" s="28">
        <v>56</v>
      </c>
      <c r="H794" s="32">
        <v>13.73</v>
      </c>
      <c r="I794" s="32">
        <v>3085.79</v>
      </c>
      <c r="J794" t="s">
        <v>239</v>
      </c>
      <c r="K794" t="s">
        <v>245</v>
      </c>
      <c r="L794" t="s">
        <v>235</v>
      </c>
      <c r="M794" t="s">
        <v>236</v>
      </c>
      <c r="N794" t="s">
        <v>240</v>
      </c>
      <c r="O794" s="27">
        <v>46063</v>
      </c>
    </row>
    <row r="795" spans="2:15" hidden="1" x14ac:dyDescent="0.3">
      <c r="B795">
        <v>2410665</v>
      </c>
      <c r="C795" t="s">
        <v>231</v>
      </c>
      <c r="D795">
        <v>21559</v>
      </c>
      <c r="E795" t="s">
        <v>150</v>
      </c>
      <c r="F795" t="s">
        <v>369</v>
      </c>
      <c r="G795" s="28">
        <v>54</v>
      </c>
      <c r="H795" s="32">
        <v>13.72</v>
      </c>
      <c r="I795" s="32">
        <v>2975.58</v>
      </c>
      <c r="J795" t="s">
        <v>239</v>
      </c>
      <c r="K795" t="s">
        <v>245</v>
      </c>
      <c r="L795" t="s">
        <v>235</v>
      </c>
      <c r="M795" t="s">
        <v>236</v>
      </c>
      <c r="N795" t="s">
        <v>240</v>
      </c>
      <c r="O795" s="27">
        <v>46063</v>
      </c>
    </row>
    <row r="796" spans="2:15" hidden="1" x14ac:dyDescent="0.3">
      <c r="B796">
        <v>3247420</v>
      </c>
      <c r="C796" t="s">
        <v>231</v>
      </c>
      <c r="D796">
        <v>23410</v>
      </c>
      <c r="E796" t="s">
        <v>150</v>
      </c>
      <c r="F796" t="s">
        <v>298</v>
      </c>
      <c r="G796" s="28">
        <v>61</v>
      </c>
      <c r="H796" s="32">
        <v>13.71</v>
      </c>
      <c r="I796" s="32">
        <v>1062.1199999999999</v>
      </c>
      <c r="J796" t="s">
        <v>239</v>
      </c>
      <c r="K796" t="s">
        <v>245</v>
      </c>
      <c r="L796" t="s">
        <v>235</v>
      </c>
      <c r="M796" t="s">
        <v>236</v>
      </c>
      <c r="N796" t="s">
        <v>237</v>
      </c>
      <c r="O796" s="27">
        <v>46063</v>
      </c>
    </row>
    <row r="797" spans="2:15" hidden="1" x14ac:dyDescent="0.3">
      <c r="B797">
        <v>4375042</v>
      </c>
      <c r="C797" t="s">
        <v>231</v>
      </c>
      <c r="D797">
        <v>25619</v>
      </c>
      <c r="E797" t="s">
        <v>150</v>
      </c>
      <c r="F797" t="s">
        <v>251</v>
      </c>
      <c r="G797" s="28">
        <v>50</v>
      </c>
      <c r="H797" s="32">
        <v>13.69</v>
      </c>
      <c r="I797" s="32">
        <v>2473.88</v>
      </c>
      <c r="J797" t="s">
        <v>239</v>
      </c>
      <c r="K797" t="s">
        <v>245</v>
      </c>
      <c r="L797" t="s">
        <v>235</v>
      </c>
      <c r="M797" t="s">
        <v>236</v>
      </c>
      <c r="N797" t="s">
        <v>237</v>
      </c>
      <c r="O797" s="27">
        <v>46072</v>
      </c>
    </row>
    <row r="798" spans="2:15" hidden="1" x14ac:dyDescent="0.3">
      <c r="B798">
        <v>9303108</v>
      </c>
      <c r="C798" t="s">
        <v>260</v>
      </c>
      <c r="D798">
        <v>69493</v>
      </c>
      <c r="E798" t="s">
        <v>150</v>
      </c>
      <c r="F798" t="s">
        <v>291</v>
      </c>
      <c r="G798" s="28">
        <v>100</v>
      </c>
      <c r="H798" s="32">
        <v>13.62</v>
      </c>
      <c r="I798" s="32">
        <v>987.28</v>
      </c>
      <c r="J798" t="s">
        <v>267</v>
      </c>
      <c r="K798" t="s">
        <v>245</v>
      </c>
      <c r="L798" t="s">
        <v>235</v>
      </c>
      <c r="M798" t="s">
        <v>236</v>
      </c>
      <c r="N798" t="s">
        <v>240</v>
      </c>
      <c r="O798" s="27">
        <v>46057</v>
      </c>
    </row>
    <row r="799" spans="2:15" hidden="1" x14ac:dyDescent="0.3">
      <c r="B799">
        <v>4238598</v>
      </c>
      <c r="C799" t="s">
        <v>231</v>
      </c>
      <c r="D799">
        <v>38517</v>
      </c>
      <c r="E799" t="s">
        <v>150</v>
      </c>
      <c r="F799" t="s">
        <v>287</v>
      </c>
      <c r="G799" s="28">
        <v>87</v>
      </c>
      <c r="H799" s="32">
        <v>13.58</v>
      </c>
      <c r="I799" s="32">
        <v>2729</v>
      </c>
      <c r="J799" t="s">
        <v>239</v>
      </c>
      <c r="K799" t="s">
        <v>245</v>
      </c>
      <c r="L799" t="s">
        <v>235</v>
      </c>
      <c r="M799" t="s">
        <v>236</v>
      </c>
      <c r="N799" t="s">
        <v>237</v>
      </c>
      <c r="O799" s="27">
        <v>46063</v>
      </c>
    </row>
    <row r="800" spans="2:15" hidden="1" x14ac:dyDescent="0.3">
      <c r="B800">
        <v>250134</v>
      </c>
      <c r="C800" t="s">
        <v>231</v>
      </c>
      <c r="D800">
        <v>22674</v>
      </c>
      <c r="E800" t="s">
        <v>150</v>
      </c>
      <c r="F800" t="s">
        <v>282</v>
      </c>
      <c r="G800" s="28">
        <v>62</v>
      </c>
      <c r="H800" s="32">
        <v>13.56</v>
      </c>
      <c r="I800" s="32">
        <v>3167.22</v>
      </c>
      <c r="J800" t="s">
        <v>239</v>
      </c>
      <c r="K800" t="s">
        <v>245</v>
      </c>
      <c r="L800" t="s">
        <v>235</v>
      </c>
      <c r="M800" t="s">
        <v>236</v>
      </c>
      <c r="N800" t="s">
        <v>240</v>
      </c>
      <c r="O800" s="27">
        <v>46063</v>
      </c>
    </row>
    <row r="801" spans="2:15" hidden="1" x14ac:dyDescent="0.3">
      <c r="B801">
        <v>8230892</v>
      </c>
      <c r="C801" t="s">
        <v>231</v>
      </c>
      <c r="D801">
        <v>69519</v>
      </c>
      <c r="E801" t="s">
        <v>150</v>
      </c>
      <c r="F801" t="s">
        <v>369</v>
      </c>
      <c r="G801" s="28">
        <v>54</v>
      </c>
      <c r="H801" s="32">
        <v>13.53</v>
      </c>
      <c r="I801" s="32">
        <v>2975.58</v>
      </c>
      <c r="J801" t="s">
        <v>239</v>
      </c>
      <c r="K801" t="s">
        <v>245</v>
      </c>
      <c r="L801" t="s">
        <v>235</v>
      </c>
      <c r="M801" t="s">
        <v>236</v>
      </c>
      <c r="N801" t="s">
        <v>240</v>
      </c>
      <c r="O801" s="27">
        <v>46063</v>
      </c>
    </row>
    <row r="802" spans="2:15" hidden="1" x14ac:dyDescent="0.3">
      <c r="B802">
        <v>16284979</v>
      </c>
      <c r="C802" t="s">
        <v>231</v>
      </c>
      <c r="D802">
        <v>25619</v>
      </c>
      <c r="E802" t="s">
        <v>150</v>
      </c>
      <c r="F802" t="s">
        <v>298</v>
      </c>
      <c r="G802" s="28">
        <v>60</v>
      </c>
      <c r="H802" s="32">
        <v>13.52</v>
      </c>
      <c r="I802" s="32">
        <v>1044.5999999999999</v>
      </c>
      <c r="J802" t="s">
        <v>239</v>
      </c>
      <c r="K802" t="s">
        <v>245</v>
      </c>
      <c r="L802" t="s">
        <v>235</v>
      </c>
      <c r="M802" t="s">
        <v>236</v>
      </c>
      <c r="N802" t="s">
        <v>237</v>
      </c>
      <c r="O802" s="27">
        <v>46063</v>
      </c>
    </row>
    <row r="803" spans="2:15" hidden="1" x14ac:dyDescent="0.3">
      <c r="B803">
        <v>15947590</v>
      </c>
      <c r="C803" t="s">
        <v>231</v>
      </c>
      <c r="D803">
        <v>69519</v>
      </c>
      <c r="E803" t="s">
        <v>150</v>
      </c>
      <c r="F803" t="s">
        <v>282</v>
      </c>
      <c r="G803" s="28">
        <v>61</v>
      </c>
      <c r="H803" s="32">
        <v>13.52</v>
      </c>
      <c r="I803" s="32">
        <v>3116.1</v>
      </c>
      <c r="J803" t="s">
        <v>239</v>
      </c>
      <c r="K803" t="s">
        <v>245</v>
      </c>
      <c r="L803" t="s">
        <v>235</v>
      </c>
      <c r="M803" t="s">
        <v>236</v>
      </c>
      <c r="N803" t="s">
        <v>240</v>
      </c>
      <c r="O803" s="27">
        <v>46063</v>
      </c>
    </row>
    <row r="804" spans="2:15" hidden="1" x14ac:dyDescent="0.3">
      <c r="B804">
        <v>4415330</v>
      </c>
      <c r="C804" t="s">
        <v>260</v>
      </c>
      <c r="D804">
        <v>22674</v>
      </c>
      <c r="E804" t="s">
        <v>150</v>
      </c>
      <c r="F804" t="s">
        <v>369</v>
      </c>
      <c r="G804" s="28">
        <v>54</v>
      </c>
      <c r="H804" s="32">
        <v>13.43</v>
      </c>
      <c r="I804" s="32">
        <v>2975.58</v>
      </c>
      <c r="J804" t="s">
        <v>239</v>
      </c>
      <c r="K804" t="s">
        <v>245</v>
      </c>
      <c r="L804" t="s">
        <v>235</v>
      </c>
      <c r="M804" t="s">
        <v>236</v>
      </c>
      <c r="N804" t="s">
        <v>240</v>
      </c>
      <c r="O804" s="27">
        <v>46063</v>
      </c>
    </row>
    <row r="805" spans="2:15" hidden="1" x14ac:dyDescent="0.3">
      <c r="B805">
        <v>2013549</v>
      </c>
      <c r="C805" t="s">
        <v>231</v>
      </c>
      <c r="D805">
        <v>23648</v>
      </c>
      <c r="E805" t="s">
        <v>150</v>
      </c>
      <c r="F805" t="s">
        <v>361</v>
      </c>
      <c r="G805" s="28">
        <v>71</v>
      </c>
      <c r="H805" s="32">
        <v>13.39</v>
      </c>
      <c r="I805" s="32">
        <v>2607.12</v>
      </c>
      <c r="J805" t="s">
        <v>330</v>
      </c>
      <c r="K805" t="s">
        <v>234</v>
      </c>
      <c r="L805" t="s">
        <v>235</v>
      </c>
      <c r="M805" t="s">
        <v>236</v>
      </c>
      <c r="N805" t="s">
        <v>237</v>
      </c>
      <c r="O805" s="27">
        <v>46059</v>
      </c>
    </row>
    <row r="806" spans="2:15" hidden="1" x14ac:dyDescent="0.3">
      <c r="B806">
        <v>11493548</v>
      </c>
      <c r="C806" t="s">
        <v>231</v>
      </c>
      <c r="D806">
        <v>38517</v>
      </c>
      <c r="E806" t="s">
        <v>150</v>
      </c>
      <c r="F806" t="s">
        <v>163</v>
      </c>
      <c r="G806" s="28">
        <v>73</v>
      </c>
      <c r="H806" s="32">
        <v>13.33</v>
      </c>
      <c r="I806" s="32">
        <v>1019.16</v>
      </c>
      <c r="J806" t="s">
        <v>239</v>
      </c>
      <c r="K806" t="s">
        <v>245</v>
      </c>
      <c r="L806" t="s">
        <v>235</v>
      </c>
      <c r="M806" t="s">
        <v>236</v>
      </c>
      <c r="N806" t="s">
        <v>237</v>
      </c>
      <c r="O806" s="27">
        <v>46063</v>
      </c>
    </row>
    <row r="807" spans="2:15" hidden="1" x14ac:dyDescent="0.3">
      <c r="B807">
        <v>4078178</v>
      </c>
      <c r="C807" t="s">
        <v>231</v>
      </c>
      <c r="D807">
        <v>49894</v>
      </c>
      <c r="E807" t="s">
        <v>150</v>
      </c>
      <c r="F807" t="s">
        <v>369</v>
      </c>
      <c r="G807" s="28">
        <v>53</v>
      </c>
      <c r="H807" s="32">
        <v>13.32</v>
      </c>
      <c r="I807" s="32">
        <v>2920.55</v>
      </c>
      <c r="J807" t="s">
        <v>239</v>
      </c>
      <c r="K807" t="s">
        <v>245</v>
      </c>
      <c r="L807" t="s">
        <v>235</v>
      </c>
      <c r="M807" t="s">
        <v>236</v>
      </c>
      <c r="N807" t="s">
        <v>240</v>
      </c>
      <c r="O807" s="27">
        <v>46063</v>
      </c>
    </row>
    <row r="808" spans="2:15" hidden="1" x14ac:dyDescent="0.3">
      <c r="B808">
        <v>3436001</v>
      </c>
      <c r="C808" t="s">
        <v>260</v>
      </c>
      <c r="D808">
        <v>21468</v>
      </c>
      <c r="E808" t="s">
        <v>150</v>
      </c>
      <c r="F808" t="s">
        <v>369</v>
      </c>
      <c r="G808" s="28">
        <v>28</v>
      </c>
      <c r="H808" s="32">
        <v>13.31</v>
      </c>
      <c r="I808" s="32">
        <v>1447.22</v>
      </c>
      <c r="J808" t="s">
        <v>239</v>
      </c>
      <c r="K808" t="s">
        <v>245</v>
      </c>
      <c r="L808" t="s">
        <v>235</v>
      </c>
      <c r="M808" t="s">
        <v>236</v>
      </c>
      <c r="N808" t="s">
        <v>240</v>
      </c>
      <c r="O808" s="27">
        <v>46055</v>
      </c>
    </row>
    <row r="809" spans="2:15" hidden="1" x14ac:dyDescent="0.3">
      <c r="B809">
        <v>5555592</v>
      </c>
      <c r="C809" t="s">
        <v>231</v>
      </c>
      <c r="D809">
        <v>38517</v>
      </c>
      <c r="E809" t="s">
        <v>150</v>
      </c>
      <c r="F809" t="s">
        <v>369</v>
      </c>
      <c r="G809" s="28">
        <v>26</v>
      </c>
      <c r="H809" s="32">
        <v>13.29</v>
      </c>
      <c r="I809" s="32">
        <v>1343.85</v>
      </c>
      <c r="J809" t="s">
        <v>239</v>
      </c>
      <c r="K809" t="s">
        <v>245</v>
      </c>
      <c r="L809" t="s">
        <v>235</v>
      </c>
      <c r="M809" t="s">
        <v>236</v>
      </c>
      <c r="N809" t="s">
        <v>240</v>
      </c>
      <c r="O809" s="27">
        <v>46055</v>
      </c>
    </row>
    <row r="810" spans="2:15" hidden="1" x14ac:dyDescent="0.3">
      <c r="B810">
        <v>3478209</v>
      </c>
      <c r="C810" t="s">
        <v>231</v>
      </c>
      <c r="D810">
        <v>21559</v>
      </c>
      <c r="E810" t="s">
        <v>150</v>
      </c>
      <c r="F810" t="s">
        <v>319</v>
      </c>
      <c r="G810" s="28">
        <v>82</v>
      </c>
      <c r="H810" s="32">
        <v>13.25</v>
      </c>
      <c r="I810" s="32">
        <v>3322.52</v>
      </c>
      <c r="J810" t="s">
        <v>239</v>
      </c>
      <c r="K810" t="s">
        <v>245</v>
      </c>
      <c r="L810" t="s">
        <v>235</v>
      </c>
      <c r="M810" t="s">
        <v>236</v>
      </c>
      <c r="N810" t="s">
        <v>240</v>
      </c>
      <c r="O810" s="27">
        <v>46063</v>
      </c>
    </row>
    <row r="811" spans="2:15" hidden="1" x14ac:dyDescent="0.3">
      <c r="B811">
        <v>6901714</v>
      </c>
      <c r="C811" t="s">
        <v>260</v>
      </c>
      <c r="D811">
        <v>71997</v>
      </c>
      <c r="E811" t="s">
        <v>150</v>
      </c>
      <c r="F811" t="s">
        <v>246</v>
      </c>
      <c r="G811" s="28">
        <v>62</v>
      </c>
      <c r="H811" s="32">
        <v>13.24</v>
      </c>
      <c r="I811" s="32">
        <v>2303.25</v>
      </c>
      <c r="J811" t="s">
        <v>239</v>
      </c>
      <c r="K811" t="s">
        <v>245</v>
      </c>
      <c r="L811" t="s">
        <v>235</v>
      </c>
      <c r="M811" t="s">
        <v>236</v>
      </c>
      <c r="N811" t="s">
        <v>237</v>
      </c>
      <c r="O811" s="27">
        <v>46063</v>
      </c>
    </row>
    <row r="812" spans="2:15" hidden="1" x14ac:dyDescent="0.3">
      <c r="B812">
        <v>3663401</v>
      </c>
      <c r="C812" t="s">
        <v>231</v>
      </c>
      <c r="D812">
        <v>21468</v>
      </c>
      <c r="E812" t="s">
        <v>150</v>
      </c>
      <c r="F812" t="s">
        <v>298</v>
      </c>
      <c r="G812" s="28">
        <v>97</v>
      </c>
      <c r="H812" s="32">
        <v>13.22</v>
      </c>
      <c r="I812" s="32">
        <v>1592.47</v>
      </c>
      <c r="J812" t="s">
        <v>239</v>
      </c>
      <c r="K812" t="s">
        <v>245</v>
      </c>
      <c r="L812" t="s">
        <v>235</v>
      </c>
      <c r="M812" t="s">
        <v>236</v>
      </c>
      <c r="N812" t="s">
        <v>237</v>
      </c>
      <c r="O812" s="27">
        <v>46055</v>
      </c>
    </row>
    <row r="813" spans="2:15" hidden="1" x14ac:dyDescent="0.3">
      <c r="B813">
        <v>293951</v>
      </c>
      <c r="C813" t="s">
        <v>231</v>
      </c>
      <c r="D813">
        <v>25619</v>
      </c>
      <c r="E813" t="s">
        <v>150</v>
      </c>
      <c r="F813" t="s">
        <v>298</v>
      </c>
      <c r="G813" s="28">
        <v>57</v>
      </c>
      <c r="H813" s="32">
        <v>13.21</v>
      </c>
      <c r="I813" s="32">
        <v>992.42</v>
      </c>
      <c r="J813" t="s">
        <v>239</v>
      </c>
      <c r="K813" t="s">
        <v>245</v>
      </c>
      <c r="L813" t="s">
        <v>235</v>
      </c>
      <c r="M813" t="s">
        <v>236</v>
      </c>
      <c r="N813" t="s">
        <v>237</v>
      </c>
      <c r="O813" s="27">
        <v>46063</v>
      </c>
    </row>
    <row r="814" spans="2:15" hidden="1" x14ac:dyDescent="0.3">
      <c r="B814">
        <v>12025620</v>
      </c>
      <c r="C814" t="s">
        <v>231</v>
      </c>
      <c r="D814">
        <v>38517</v>
      </c>
      <c r="E814" t="s">
        <v>150</v>
      </c>
      <c r="F814" t="s">
        <v>369</v>
      </c>
      <c r="G814" s="28">
        <v>52</v>
      </c>
      <c r="H814" s="32">
        <v>13.2</v>
      </c>
      <c r="I814" s="32">
        <v>2865.36</v>
      </c>
      <c r="J814" t="s">
        <v>239</v>
      </c>
      <c r="K814" t="s">
        <v>245</v>
      </c>
      <c r="L814" t="s">
        <v>235</v>
      </c>
      <c r="M814" t="s">
        <v>236</v>
      </c>
      <c r="N814" t="s">
        <v>240</v>
      </c>
      <c r="O814" s="27">
        <v>46063</v>
      </c>
    </row>
    <row r="815" spans="2:15" hidden="1" x14ac:dyDescent="0.3">
      <c r="B815">
        <v>6468519</v>
      </c>
      <c r="C815" t="s">
        <v>231</v>
      </c>
      <c r="D815">
        <v>72444</v>
      </c>
      <c r="E815" t="s">
        <v>150</v>
      </c>
      <c r="F815" t="s">
        <v>422</v>
      </c>
      <c r="G815" s="28">
        <v>109</v>
      </c>
      <c r="H815" s="32">
        <v>13.19</v>
      </c>
      <c r="I815" s="32">
        <v>1970.92</v>
      </c>
      <c r="J815" t="s">
        <v>239</v>
      </c>
      <c r="K815" t="s">
        <v>245</v>
      </c>
      <c r="L815" t="s">
        <v>235</v>
      </c>
      <c r="M815" t="s">
        <v>236</v>
      </c>
      <c r="N815" t="s">
        <v>240</v>
      </c>
      <c r="O815" s="27">
        <v>46055</v>
      </c>
    </row>
    <row r="816" spans="2:15" hidden="1" x14ac:dyDescent="0.3">
      <c r="B816">
        <v>440722</v>
      </c>
      <c r="C816" t="s">
        <v>231</v>
      </c>
      <c r="D816">
        <v>21468</v>
      </c>
      <c r="E816" t="s">
        <v>150</v>
      </c>
      <c r="F816" t="s">
        <v>164</v>
      </c>
      <c r="G816" s="28">
        <v>39</v>
      </c>
      <c r="H816" s="32">
        <v>13.18</v>
      </c>
      <c r="I816" s="32">
        <v>1866.51</v>
      </c>
      <c r="J816" t="s">
        <v>239</v>
      </c>
      <c r="K816" t="s">
        <v>245</v>
      </c>
      <c r="L816" t="s">
        <v>235</v>
      </c>
      <c r="M816" t="s">
        <v>236</v>
      </c>
      <c r="N816" t="s">
        <v>237</v>
      </c>
      <c r="O816" s="27">
        <v>46062</v>
      </c>
    </row>
    <row r="817" spans="2:15" hidden="1" x14ac:dyDescent="0.3">
      <c r="B817">
        <v>5362471</v>
      </c>
      <c r="C817" t="s">
        <v>260</v>
      </c>
      <c r="D817">
        <v>22674</v>
      </c>
      <c r="E817" t="s">
        <v>150</v>
      </c>
      <c r="F817" t="s">
        <v>160</v>
      </c>
      <c r="G817" s="28">
        <v>24</v>
      </c>
      <c r="H817" s="32">
        <v>13.18</v>
      </c>
      <c r="I817" s="32">
        <v>1999.94</v>
      </c>
      <c r="J817" t="s">
        <v>239</v>
      </c>
      <c r="K817" t="s">
        <v>245</v>
      </c>
      <c r="L817" t="s">
        <v>235</v>
      </c>
      <c r="M817" t="s">
        <v>236</v>
      </c>
      <c r="N817" t="s">
        <v>237</v>
      </c>
      <c r="O817" s="27">
        <v>46072</v>
      </c>
    </row>
    <row r="818" spans="2:15" hidden="1" x14ac:dyDescent="0.3">
      <c r="B818">
        <v>12429967</v>
      </c>
      <c r="C818" t="s">
        <v>260</v>
      </c>
      <c r="D818">
        <v>21468</v>
      </c>
      <c r="E818" t="s">
        <v>150</v>
      </c>
      <c r="F818" t="s">
        <v>289</v>
      </c>
      <c r="G818" s="28">
        <v>42</v>
      </c>
      <c r="H818" s="32">
        <v>13.16</v>
      </c>
      <c r="I818" s="32">
        <v>902.41</v>
      </c>
      <c r="J818" t="s">
        <v>239</v>
      </c>
      <c r="K818" t="s">
        <v>245</v>
      </c>
      <c r="L818" t="s">
        <v>235</v>
      </c>
      <c r="M818" t="s">
        <v>236</v>
      </c>
      <c r="N818" t="s">
        <v>237</v>
      </c>
      <c r="O818" s="27">
        <v>46055</v>
      </c>
    </row>
    <row r="819" spans="2:15" hidden="1" x14ac:dyDescent="0.3">
      <c r="B819">
        <v>3663401</v>
      </c>
      <c r="C819" t="s">
        <v>231</v>
      </c>
      <c r="D819">
        <v>21468</v>
      </c>
      <c r="E819" t="s">
        <v>150</v>
      </c>
      <c r="F819" t="s">
        <v>282</v>
      </c>
      <c r="G819" s="28">
        <v>31</v>
      </c>
      <c r="H819" s="32">
        <v>13.09</v>
      </c>
      <c r="I819" s="32">
        <v>1576.69</v>
      </c>
      <c r="J819" t="s">
        <v>239</v>
      </c>
      <c r="K819" t="s">
        <v>245</v>
      </c>
      <c r="L819" t="s">
        <v>235</v>
      </c>
      <c r="M819" t="s">
        <v>236</v>
      </c>
      <c r="N819" t="s">
        <v>240</v>
      </c>
      <c r="O819" s="27">
        <v>46055</v>
      </c>
    </row>
    <row r="820" spans="2:15" hidden="1" x14ac:dyDescent="0.3">
      <c r="B820">
        <v>4051319</v>
      </c>
      <c r="C820" t="s">
        <v>231</v>
      </c>
      <c r="D820">
        <v>22674</v>
      </c>
      <c r="E820" t="s">
        <v>150</v>
      </c>
      <c r="F820" t="s">
        <v>369</v>
      </c>
      <c r="G820" s="28">
        <v>51</v>
      </c>
      <c r="H820" s="32">
        <v>13.08</v>
      </c>
      <c r="I820" s="32">
        <v>2810.28</v>
      </c>
      <c r="J820" t="s">
        <v>239</v>
      </c>
      <c r="K820" t="s">
        <v>245</v>
      </c>
      <c r="L820" t="s">
        <v>235</v>
      </c>
      <c r="M820" t="s">
        <v>236</v>
      </c>
      <c r="N820" t="s">
        <v>240</v>
      </c>
      <c r="O820" s="27">
        <v>46063</v>
      </c>
    </row>
    <row r="821" spans="2:15" hidden="1" x14ac:dyDescent="0.3">
      <c r="B821">
        <v>325473</v>
      </c>
      <c r="C821" t="s">
        <v>231</v>
      </c>
      <c r="D821">
        <v>22674</v>
      </c>
      <c r="E821" t="s">
        <v>150</v>
      </c>
      <c r="F821" t="s">
        <v>282</v>
      </c>
      <c r="G821" s="28">
        <v>58</v>
      </c>
      <c r="H821" s="32">
        <v>13.07</v>
      </c>
      <c r="I821" s="32">
        <v>2962.82</v>
      </c>
      <c r="J821" t="s">
        <v>239</v>
      </c>
      <c r="K821" t="s">
        <v>245</v>
      </c>
      <c r="L821" t="s">
        <v>235</v>
      </c>
      <c r="M821" t="s">
        <v>236</v>
      </c>
      <c r="N821" t="s">
        <v>240</v>
      </c>
      <c r="O821" s="27">
        <v>46063</v>
      </c>
    </row>
    <row r="822" spans="2:15" hidden="1" x14ac:dyDescent="0.3">
      <c r="B822">
        <v>5362471</v>
      </c>
      <c r="C822" t="s">
        <v>260</v>
      </c>
      <c r="D822">
        <v>22674</v>
      </c>
      <c r="E822" t="s">
        <v>150</v>
      </c>
      <c r="F822" t="s">
        <v>298</v>
      </c>
      <c r="G822" s="28">
        <v>111</v>
      </c>
      <c r="H822" s="32">
        <v>13.03</v>
      </c>
      <c r="I822" s="32">
        <v>1978.35</v>
      </c>
      <c r="J822" t="s">
        <v>239</v>
      </c>
      <c r="K822" t="s">
        <v>245</v>
      </c>
      <c r="L822" t="s">
        <v>235</v>
      </c>
      <c r="M822" t="s">
        <v>236</v>
      </c>
      <c r="N822" t="s">
        <v>237</v>
      </c>
      <c r="O822" s="27">
        <v>46072</v>
      </c>
    </row>
    <row r="823" spans="2:15" hidden="1" x14ac:dyDescent="0.3">
      <c r="B823">
        <v>440722</v>
      </c>
      <c r="C823" t="s">
        <v>231</v>
      </c>
      <c r="D823">
        <v>21468</v>
      </c>
      <c r="E823" t="s">
        <v>150</v>
      </c>
      <c r="F823" t="s">
        <v>163</v>
      </c>
      <c r="G823" s="28">
        <v>135</v>
      </c>
      <c r="H823" s="32">
        <v>13.01</v>
      </c>
      <c r="I823" s="32">
        <v>1843.5</v>
      </c>
      <c r="J823" t="s">
        <v>239</v>
      </c>
      <c r="K823" t="s">
        <v>245</v>
      </c>
      <c r="L823" t="s">
        <v>235</v>
      </c>
      <c r="M823" t="s">
        <v>236</v>
      </c>
      <c r="N823" t="s">
        <v>237</v>
      </c>
      <c r="O823" s="27">
        <v>46062</v>
      </c>
    </row>
    <row r="824" spans="2:15" hidden="1" x14ac:dyDescent="0.3">
      <c r="B824">
        <v>4658833</v>
      </c>
      <c r="C824" t="s">
        <v>260</v>
      </c>
      <c r="D824">
        <v>38517</v>
      </c>
      <c r="E824" t="s">
        <v>150</v>
      </c>
      <c r="F824" t="s">
        <v>298</v>
      </c>
      <c r="G824" s="28">
        <v>53</v>
      </c>
      <c r="H824" s="32">
        <v>12.95</v>
      </c>
      <c r="I824" s="32">
        <v>922.85</v>
      </c>
      <c r="J824" t="s">
        <v>239</v>
      </c>
      <c r="K824" t="s">
        <v>245</v>
      </c>
      <c r="L824" t="s">
        <v>235</v>
      </c>
      <c r="M824" t="s">
        <v>236</v>
      </c>
      <c r="N824" t="s">
        <v>237</v>
      </c>
      <c r="O824" s="27">
        <v>46063</v>
      </c>
    </row>
    <row r="825" spans="2:15" hidden="1" x14ac:dyDescent="0.3">
      <c r="B825">
        <v>5933489</v>
      </c>
      <c r="C825" t="s">
        <v>231</v>
      </c>
      <c r="D825">
        <v>23648</v>
      </c>
      <c r="E825" t="s">
        <v>150</v>
      </c>
      <c r="F825" t="s">
        <v>246</v>
      </c>
      <c r="G825" s="28">
        <v>60</v>
      </c>
      <c r="H825" s="32">
        <v>12.91</v>
      </c>
      <c r="I825" s="32">
        <v>2228.9899999999998</v>
      </c>
      <c r="J825" t="s">
        <v>239</v>
      </c>
      <c r="K825" t="s">
        <v>245</v>
      </c>
      <c r="L825" t="s">
        <v>235</v>
      </c>
      <c r="M825" t="s">
        <v>236</v>
      </c>
      <c r="N825" t="s">
        <v>237</v>
      </c>
      <c r="O825" s="27">
        <v>46063</v>
      </c>
    </row>
    <row r="826" spans="2:15" hidden="1" x14ac:dyDescent="0.3">
      <c r="B826">
        <v>8810663</v>
      </c>
      <c r="C826" t="s">
        <v>231</v>
      </c>
      <c r="D826">
        <v>72444</v>
      </c>
      <c r="E826" t="s">
        <v>150</v>
      </c>
      <c r="F826" t="s">
        <v>258</v>
      </c>
      <c r="G826" s="28">
        <v>152</v>
      </c>
      <c r="H826" s="32">
        <v>12.88</v>
      </c>
      <c r="I826" s="32">
        <v>1643.7</v>
      </c>
      <c r="J826" t="s">
        <v>239</v>
      </c>
      <c r="K826" t="s">
        <v>245</v>
      </c>
      <c r="L826" t="s">
        <v>235</v>
      </c>
      <c r="M826" t="s">
        <v>236</v>
      </c>
      <c r="N826" t="s">
        <v>240</v>
      </c>
      <c r="O826" s="27">
        <v>46055</v>
      </c>
    </row>
    <row r="827" spans="2:15" hidden="1" x14ac:dyDescent="0.3">
      <c r="B827">
        <v>9260624</v>
      </c>
      <c r="C827" t="s">
        <v>231</v>
      </c>
      <c r="D827">
        <v>24415</v>
      </c>
      <c r="E827" t="s">
        <v>150</v>
      </c>
      <c r="F827" t="s">
        <v>282</v>
      </c>
      <c r="G827" s="28">
        <v>29</v>
      </c>
      <c r="H827" s="32">
        <v>12.86</v>
      </c>
      <c r="I827" s="32">
        <v>1474.97</v>
      </c>
      <c r="J827" t="s">
        <v>239</v>
      </c>
      <c r="K827" t="s">
        <v>245</v>
      </c>
      <c r="L827" t="s">
        <v>235</v>
      </c>
      <c r="M827" t="s">
        <v>236</v>
      </c>
      <c r="N827" t="s">
        <v>240</v>
      </c>
      <c r="O827" s="27">
        <v>46055</v>
      </c>
    </row>
    <row r="828" spans="2:15" hidden="1" x14ac:dyDescent="0.3">
      <c r="B828">
        <v>4089266</v>
      </c>
      <c r="C828" t="s">
        <v>260</v>
      </c>
      <c r="D828">
        <v>22674</v>
      </c>
      <c r="E828" t="s">
        <v>150</v>
      </c>
      <c r="F828" t="s">
        <v>298</v>
      </c>
      <c r="G828" s="28">
        <v>107</v>
      </c>
      <c r="H828" s="32">
        <v>12.77</v>
      </c>
      <c r="I828" s="32">
        <v>1907.05</v>
      </c>
      <c r="J828" t="s">
        <v>239</v>
      </c>
      <c r="K828" t="s">
        <v>245</v>
      </c>
      <c r="L828" t="s">
        <v>235</v>
      </c>
      <c r="M828" t="s">
        <v>236</v>
      </c>
      <c r="N828" t="s">
        <v>237</v>
      </c>
      <c r="O828" s="27">
        <v>46072</v>
      </c>
    </row>
    <row r="829" spans="2:15" x14ac:dyDescent="0.3">
      <c r="B829">
        <v>7397602</v>
      </c>
      <c r="C829" t="s">
        <v>231</v>
      </c>
      <c r="D829">
        <v>22103</v>
      </c>
      <c r="E829" t="s">
        <v>150</v>
      </c>
      <c r="F829" t="s">
        <v>271</v>
      </c>
      <c r="G829" s="28">
        <v>83</v>
      </c>
      <c r="H829" s="32">
        <v>12.76</v>
      </c>
      <c r="I829" s="32">
        <v>1532.43</v>
      </c>
      <c r="J829" t="s">
        <v>239</v>
      </c>
      <c r="K829" t="s">
        <v>245</v>
      </c>
      <c r="L829" t="s">
        <v>235</v>
      </c>
      <c r="M829" t="s">
        <v>236</v>
      </c>
      <c r="N829" t="s">
        <v>237</v>
      </c>
      <c r="O829" s="27">
        <v>46063</v>
      </c>
    </row>
    <row r="830" spans="2:15" hidden="1" x14ac:dyDescent="0.3">
      <c r="B830">
        <v>2538267</v>
      </c>
      <c r="C830" t="s">
        <v>231</v>
      </c>
      <c r="D830">
        <v>69579</v>
      </c>
      <c r="E830" t="s">
        <v>150</v>
      </c>
      <c r="F830" t="s">
        <v>246</v>
      </c>
      <c r="G830" s="28">
        <v>63</v>
      </c>
      <c r="H830" s="32">
        <v>12.76</v>
      </c>
      <c r="I830" s="32">
        <v>2327.4699999999998</v>
      </c>
      <c r="J830" t="s">
        <v>239</v>
      </c>
      <c r="K830" t="s">
        <v>245</v>
      </c>
      <c r="L830" t="s">
        <v>235</v>
      </c>
      <c r="M830" t="s">
        <v>236</v>
      </c>
      <c r="N830" t="s">
        <v>240</v>
      </c>
      <c r="O830" s="27">
        <v>46055</v>
      </c>
    </row>
    <row r="831" spans="2:15" hidden="1" x14ac:dyDescent="0.3">
      <c r="B831">
        <v>2826183</v>
      </c>
      <c r="C831" t="s">
        <v>231</v>
      </c>
      <c r="D831">
        <v>69493</v>
      </c>
      <c r="E831" t="s">
        <v>150</v>
      </c>
      <c r="F831" t="s">
        <v>246</v>
      </c>
      <c r="G831" s="28">
        <v>48</v>
      </c>
      <c r="H831" s="32">
        <v>12.76</v>
      </c>
      <c r="I831" s="32">
        <v>1773.64</v>
      </c>
      <c r="J831" t="s">
        <v>239</v>
      </c>
      <c r="K831" t="s">
        <v>245</v>
      </c>
      <c r="L831" t="s">
        <v>235</v>
      </c>
      <c r="M831" t="s">
        <v>236</v>
      </c>
      <c r="N831" t="s">
        <v>237</v>
      </c>
      <c r="O831" s="27">
        <v>46055</v>
      </c>
    </row>
    <row r="832" spans="2:15" hidden="1" x14ac:dyDescent="0.3">
      <c r="B832">
        <v>2569374</v>
      </c>
      <c r="C832" t="s">
        <v>231</v>
      </c>
      <c r="D832">
        <v>71997</v>
      </c>
      <c r="E832" t="s">
        <v>150</v>
      </c>
      <c r="F832" t="s">
        <v>319</v>
      </c>
      <c r="G832" s="28">
        <v>74</v>
      </c>
      <c r="H832" s="32">
        <v>12.76</v>
      </c>
      <c r="I832" s="32">
        <v>2988.88</v>
      </c>
      <c r="J832" t="s">
        <v>239</v>
      </c>
      <c r="K832" t="s">
        <v>245</v>
      </c>
      <c r="L832" t="s">
        <v>235</v>
      </c>
      <c r="M832" t="s">
        <v>236</v>
      </c>
      <c r="N832" t="s">
        <v>237</v>
      </c>
      <c r="O832" s="27">
        <v>46063</v>
      </c>
    </row>
    <row r="833" spans="2:15" hidden="1" x14ac:dyDescent="0.3">
      <c r="B833">
        <v>5362471</v>
      </c>
      <c r="C833" t="s">
        <v>260</v>
      </c>
      <c r="D833">
        <v>22674</v>
      </c>
      <c r="E833" t="s">
        <v>150</v>
      </c>
      <c r="F833" t="s">
        <v>246</v>
      </c>
      <c r="G833" s="28">
        <v>51</v>
      </c>
      <c r="H833" s="32">
        <v>12.76</v>
      </c>
      <c r="I833" s="32">
        <v>1937.15</v>
      </c>
      <c r="J833" t="s">
        <v>239</v>
      </c>
      <c r="K833" t="s">
        <v>245</v>
      </c>
      <c r="L833" t="s">
        <v>235</v>
      </c>
      <c r="M833" t="s">
        <v>236</v>
      </c>
      <c r="N833" t="s">
        <v>237</v>
      </c>
      <c r="O833" s="27">
        <v>46072</v>
      </c>
    </row>
    <row r="834" spans="2:15" hidden="1" x14ac:dyDescent="0.3">
      <c r="B834">
        <v>440722</v>
      </c>
      <c r="C834" t="s">
        <v>231</v>
      </c>
      <c r="D834">
        <v>21468</v>
      </c>
      <c r="E834" t="s">
        <v>150</v>
      </c>
      <c r="F834" t="s">
        <v>369</v>
      </c>
      <c r="G834" s="28">
        <v>35</v>
      </c>
      <c r="H834" s="32">
        <v>12.75</v>
      </c>
      <c r="I834" s="32">
        <v>1809.03</v>
      </c>
      <c r="J834" t="s">
        <v>239</v>
      </c>
      <c r="K834" t="s">
        <v>245</v>
      </c>
      <c r="L834" t="s">
        <v>235</v>
      </c>
      <c r="M834" t="s">
        <v>236</v>
      </c>
      <c r="N834" t="s">
        <v>240</v>
      </c>
      <c r="O834" s="27">
        <v>46055</v>
      </c>
    </row>
    <row r="835" spans="2:15" hidden="1" x14ac:dyDescent="0.3">
      <c r="B835">
        <v>440722</v>
      </c>
      <c r="C835" t="s">
        <v>231</v>
      </c>
      <c r="D835">
        <v>21468</v>
      </c>
      <c r="E835" t="s">
        <v>150</v>
      </c>
      <c r="F835" t="s">
        <v>258</v>
      </c>
      <c r="G835" s="28">
        <v>167</v>
      </c>
      <c r="H835" s="32">
        <v>12.73</v>
      </c>
      <c r="I835" s="32">
        <v>1805.91</v>
      </c>
      <c r="J835" t="s">
        <v>239</v>
      </c>
      <c r="K835" t="s">
        <v>245</v>
      </c>
      <c r="L835" t="s">
        <v>235</v>
      </c>
      <c r="M835" t="s">
        <v>236</v>
      </c>
      <c r="N835" t="s">
        <v>240</v>
      </c>
      <c r="O835" s="27">
        <v>46055</v>
      </c>
    </row>
    <row r="836" spans="2:15" hidden="1" x14ac:dyDescent="0.3">
      <c r="B836">
        <v>3343807</v>
      </c>
      <c r="C836" t="s">
        <v>231</v>
      </c>
      <c r="D836">
        <v>69519</v>
      </c>
      <c r="E836" t="s">
        <v>150</v>
      </c>
      <c r="F836" t="s">
        <v>402</v>
      </c>
      <c r="G836" s="28">
        <v>124</v>
      </c>
      <c r="H836" s="32">
        <v>12.72</v>
      </c>
      <c r="I836" s="32">
        <v>1148.97</v>
      </c>
      <c r="J836" t="s">
        <v>267</v>
      </c>
      <c r="K836" t="s">
        <v>245</v>
      </c>
      <c r="L836" t="s">
        <v>235</v>
      </c>
      <c r="M836" t="s">
        <v>236</v>
      </c>
      <c r="N836" t="s">
        <v>237</v>
      </c>
      <c r="O836" s="27">
        <v>46063</v>
      </c>
    </row>
    <row r="837" spans="2:15" hidden="1" x14ac:dyDescent="0.3">
      <c r="B837">
        <v>6468519</v>
      </c>
      <c r="C837" t="s">
        <v>231</v>
      </c>
      <c r="D837">
        <v>72444</v>
      </c>
      <c r="E837" t="s">
        <v>150</v>
      </c>
      <c r="F837" t="s">
        <v>412</v>
      </c>
      <c r="G837" s="28">
        <v>67</v>
      </c>
      <c r="H837" s="32">
        <v>12.69</v>
      </c>
      <c r="I837" s="32">
        <v>1895.92</v>
      </c>
      <c r="J837" t="s">
        <v>239</v>
      </c>
      <c r="K837" t="s">
        <v>245</v>
      </c>
      <c r="L837" t="s">
        <v>235</v>
      </c>
      <c r="M837" t="s">
        <v>236</v>
      </c>
      <c r="N837" t="s">
        <v>240</v>
      </c>
      <c r="O837" s="27">
        <v>46055</v>
      </c>
    </row>
    <row r="838" spans="2:15" hidden="1" x14ac:dyDescent="0.3">
      <c r="B838">
        <v>8230892</v>
      </c>
      <c r="C838" t="s">
        <v>231</v>
      </c>
      <c r="D838">
        <v>69519</v>
      </c>
      <c r="E838" t="s">
        <v>150</v>
      </c>
      <c r="F838" t="s">
        <v>246</v>
      </c>
      <c r="G838" s="28">
        <v>58</v>
      </c>
      <c r="H838" s="32">
        <v>12.68</v>
      </c>
      <c r="I838" s="32">
        <v>2154.61</v>
      </c>
      <c r="J838" t="s">
        <v>239</v>
      </c>
      <c r="K838" t="s">
        <v>245</v>
      </c>
      <c r="L838" t="s">
        <v>235</v>
      </c>
      <c r="M838" t="s">
        <v>236</v>
      </c>
      <c r="N838" t="s">
        <v>237</v>
      </c>
      <c r="O838" s="27">
        <v>46063</v>
      </c>
    </row>
    <row r="839" spans="2:15" hidden="1" x14ac:dyDescent="0.3">
      <c r="B839">
        <v>3478209</v>
      </c>
      <c r="C839" t="s">
        <v>231</v>
      </c>
      <c r="D839">
        <v>21559</v>
      </c>
      <c r="E839" t="s">
        <v>150</v>
      </c>
      <c r="F839" t="s">
        <v>337</v>
      </c>
      <c r="G839" s="28">
        <v>79</v>
      </c>
      <c r="H839" s="32">
        <v>12.67</v>
      </c>
      <c r="I839" s="32">
        <v>2869.54</v>
      </c>
      <c r="J839" t="s">
        <v>239</v>
      </c>
      <c r="K839" t="s">
        <v>245</v>
      </c>
      <c r="L839" t="s">
        <v>235</v>
      </c>
      <c r="M839" t="s">
        <v>236</v>
      </c>
      <c r="N839" t="s">
        <v>237</v>
      </c>
      <c r="O839" s="27">
        <v>46063</v>
      </c>
    </row>
    <row r="840" spans="2:15" x14ac:dyDescent="0.3">
      <c r="B840">
        <v>5658854</v>
      </c>
      <c r="C840" t="s">
        <v>231</v>
      </c>
      <c r="D840">
        <v>22103</v>
      </c>
      <c r="E840" t="s">
        <v>150</v>
      </c>
      <c r="F840" t="s">
        <v>389</v>
      </c>
      <c r="G840" s="28">
        <v>92</v>
      </c>
      <c r="H840" s="32">
        <v>12.67</v>
      </c>
      <c r="I840" s="32">
        <v>2521.7199999999998</v>
      </c>
      <c r="J840" t="s">
        <v>330</v>
      </c>
      <c r="K840" t="s">
        <v>234</v>
      </c>
      <c r="L840" t="s">
        <v>235</v>
      </c>
      <c r="M840" t="s">
        <v>236</v>
      </c>
      <c r="N840" t="s">
        <v>240</v>
      </c>
      <c r="O840" s="27">
        <v>46076</v>
      </c>
    </row>
    <row r="841" spans="2:15" x14ac:dyDescent="0.3">
      <c r="B841">
        <v>79379</v>
      </c>
      <c r="C841" t="s">
        <v>231</v>
      </c>
      <c r="D841">
        <v>22103</v>
      </c>
      <c r="E841" t="s">
        <v>150</v>
      </c>
      <c r="F841" t="s">
        <v>337</v>
      </c>
      <c r="G841" s="28">
        <v>64</v>
      </c>
      <c r="H841" s="32">
        <v>12.65</v>
      </c>
      <c r="I841" s="32">
        <v>2272.7600000000002</v>
      </c>
      <c r="J841" t="s">
        <v>239</v>
      </c>
      <c r="K841" t="s">
        <v>245</v>
      </c>
      <c r="L841" t="s">
        <v>235</v>
      </c>
      <c r="M841" t="s">
        <v>236</v>
      </c>
      <c r="N841" t="s">
        <v>237</v>
      </c>
      <c r="O841" s="27">
        <v>46072</v>
      </c>
    </row>
    <row r="842" spans="2:15" hidden="1" x14ac:dyDescent="0.3">
      <c r="B842">
        <v>11958876</v>
      </c>
      <c r="C842" t="s">
        <v>260</v>
      </c>
      <c r="D842">
        <v>38517</v>
      </c>
      <c r="E842" t="s">
        <v>150</v>
      </c>
      <c r="F842" t="s">
        <v>272</v>
      </c>
      <c r="G842" s="28">
        <v>314</v>
      </c>
      <c r="H842" s="32">
        <v>12.65</v>
      </c>
      <c r="I842" s="32">
        <v>2016.88</v>
      </c>
      <c r="J842" t="s">
        <v>239</v>
      </c>
      <c r="K842" t="s">
        <v>245</v>
      </c>
      <c r="L842" t="s">
        <v>235</v>
      </c>
      <c r="M842" t="s">
        <v>236</v>
      </c>
      <c r="N842" t="s">
        <v>237</v>
      </c>
      <c r="O842" s="27">
        <v>46062</v>
      </c>
    </row>
    <row r="843" spans="2:15" hidden="1" x14ac:dyDescent="0.3">
      <c r="B843">
        <v>7372714</v>
      </c>
      <c r="C843" t="s">
        <v>231</v>
      </c>
      <c r="D843">
        <v>22674</v>
      </c>
      <c r="E843" t="s">
        <v>150</v>
      </c>
      <c r="F843" t="s">
        <v>163</v>
      </c>
      <c r="G843" s="28">
        <v>68</v>
      </c>
      <c r="H843" s="32">
        <v>12.63</v>
      </c>
      <c r="I843" s="32">
        <v>949.33</v>
      </c>
      <c r="J843" t="s">
        <v>239</v>
      </c>
      <c r="K843" t="s">
        <v>245</v>
      </c>
      <c r="L843" t="s">
        <v>235</v>
      </c>
      <c r="M843" t="s">
        <v>236</v>
      </c>
      <c r="N843" t="s">
        <v>237</v>
      </c>
      <c r="O843" s="27">
        <v>46063</v>
      </c>
    </row>
    <row r="844" spans="2:15" hidden="1" x14ac:dyDescent="0.3">
      <c r="B844">
        <v>11958876</v>
      </c>
      <c r="C844" t="s">
        <v>260</v>
      </c>
      <c r="D844">
        <v>38517</v>
      </c>
      <c r="E844" t="s">
        <v>150</v>
      </c>
      <c r="F844" t="s">
        <v>274</v>
      </c>
      <c r="G844" s="28">
        <v>129</v>
      </c>
      <c r="H844" s="32">
        <v>12.62</v>
      </c>
      <c r="I844" s="32">
        <v>2012.21</v>
      </c>
      <c r="J844" t="s">
        <v>239</v>
      </c>
      <c r="K844" t="s">
        <v>245</v>
      </c>
      <c r="L844" t="s">
        <v>235</v>
      </c>
      <c r="M844" t="s">
        <v>236</v>
      </c>
      <c r="N844" t="s">
        <v>237</v>
      </c>
      <c r="O844" s="27">
        <v>46062</v>
      </c>
    </row>
    <row r="845" spans="2:15" hidden="1" x14ac:dyDescent="0.3">
      <c r="B845">
        <v>11958876</v>
      </c>
      <c r="C845" t="s">
        <v>260</v>
      </c>
      <c r="D845">
        <v>38517</v>
      </c>
      <c r="E845" t="s">
        <v>150</v>
      </c>
      <c r="F845" t="s">
        <v>164</v>
      </c>
      <c r="G845" s="28">
        <v>42</v>
      </c>
      <c r="H845" s="32">
        <v>12.61</v>
      </c>
      <c r="I845" s="32">
        <v>2010.36</v>
      </c>
      <c r="J845" t="s">
        <v>239</v>
      </c>
      <c r="K845" t="s">
        <v>245</v>
      </c>
      <c r="L845" t="s">
        <v>235</v>
      </c>
      <c r="M845" t="s">
        <v>236</v>
      </c>
      <c r="N845" t="s">
        <v>237</v>
      </c>
      <c r="O845" s="27">
        <v>46062</v>
      </c>
    </row>
    <row r="846" spans="2:15" hidden="1" x14ac:dyDescent="0.3">
      <c r="B846">
        <v>9260624</v>
      </c>
      <c r="C846" t="s">
        <v>231</v>
      </c>
      <c r="D846">
        <v>24415</v>
      </c>
      <c r="E846" t="s">
        <v>150</v>
      </c>
      <c r="F846" t="s">
        <v>298</v>
      </c>
      <c r="G846" s="28">
        <v>88</v>
      </c>
      <c r="H846" s="32">
        <v>12.6</v>
      </c>
      <c r="I846" s="32">
        <v>1444.71</v>
      </c>
      <c r="J846" t="s">
        <v>239</v>
      </c>
      <c r="K846" t="s">
        <v>245</v>
      </c>
      <c r="L846" t="s">
        <v>235</v>
      </c>
      <c r="M846" t="s">
        <v>236</v>
      </c>
      <c r="N846" t="s">
        <v>237</v>
      </c>
      <c r="O846" s="27">
        <v>46055</v>
      </c>
    </row>
    <row r="847" spans="2:15" hidden="1" x14ac:dyDescent="0.3">
      <c r="B847">
        <v>3317498</v>
      </c>
      <c r="C847" t="s">
        <v>231</v>
      </c>
      <c r="D847">
        <v>69493</v>
      </c>
      <c r="E847" t="s">
        <v>150</v>
      </c>
      <c r="F847" t="s">
        <v>282</v>
      </c>
      <c r="G847" s="28">
        <v>55</v>
      </c>
      <c r="H847" s="32">
        <v>12.6</v>
      </c>
      <c r="I847" s="32">
        <v>2809.42</v>
      </c>
      <c r="J847" t="s">
        <v>239</v>
      </c>
      <c r="K847" t="s">
        <v>245</v>
      </c>
      <c r="L847" t="s">
        <v>235</v>
      </c>
      <c r="M847" t="s">
        <v>236</v>
      </c>
      <c r="N847" t="s">
        <v>240</v>
      </c>
      <c r="O847" s="27">
        <v>46063</v>
      </c>
    </row>
    <row r="848" spans="2:15" hidden="1" x14ac:dyDescent="0.3">
      <c r="B848">
        <v>11958876</v>
      </c>
      <c r="C848" t="s">
        <v>260</v>
      </c>
      <c r="D848">
        <v>38517</v>
      </c>
      <c r="E848" t="s">
        <v>150</v>
      </c>
      <c r="F848" t="s">
        <v>263</v>
      </c>
      <c r="G848" s="28">
        <v>139</v>
      </c>
      <c r="H848" s="32">
        <v>12.6</v>
      </c>
      <c r="I848" s="32">
        <v>2008.78</v>
      </c>
      <c r="J848" t="s">
        <v>239</v>
      </c>
      <c r="K848" t="s">
        <v>245</v>
      </c>
      <c r="L848" t="s">
        <v>235</v>
      </c>
      <c r="M848" t="s">
        <v>236</v>
      </c>
      <c r="N848" t="s">
        <v>237</v>
      </c>
      <c r="O848" s="27">
        <v>46062</v>
      </c>
    </row>
    <row r="849" spans="2:15" hidden="1" x14ac:dyDescent="0.3">
      <c r="B849">
        <v>750270</v>
      </c>
      <c r="C849" t="s">
        <v>231</v>
      </c>
      <c r="D849">
        <v>22674</v>
      </c>
      <c r="E849" t="s">
        <v>150</v>
      </c>
      <c r="F849" t="s">
        <v>289</v>
      </c>
      <c r="G849" s="28">
        <v>100</v>
      </c>
      <c r="H849" s="32">
        <v>12.57</v>
      </c>
      <c r="I849" s="32">
        <v>2139</v>
      </c>
      <c r="J849" t="s">
        <v>239</v>
      </c>
      <c r="K849" t="s">
        <v>234</v>
      </c>
      <c r="L849" t="s">
        <v>235</v>
      </c>
      <c r="M849" t="s">
        <v>236</v>
      </c>
      <c r="N849" t="s">
        <v>237</v>
      </c>
      <c r="O849" s="27">
        <v>46065</v>
      </c>
    </row>
    <row r="850" spans="2:15" hidden="1" x14ac:dyDescent="0.3">
      <c r="B850">
        <v>11958876</v>
      </c>
      <c r="C850" t="s">
        <v>260</v>
      </c>
      <c r="D850">
        <v>38517</v>
      </c>
      <c r="E850" t="s">
        <v>150</v>
      </c>
      <c r="F850" t="s">
        <v>271</v>
      </c>
      <c r="G850" s="28">
        <v>109</v>
      </c>
      <c r="H850" s="32">
        <v>12.57</v>
      </c>
      <c r="I850" s="32">
        <v>2005.41</v>
      </c>
      <c r="J850" t="s">
        <v>239</v>
      </c>
      <c r="K850" t="s">
        <v>245</v>
      </c>
      <c r="L850" t="s">
        <v>235</v>
      </c>
      <c r="M850" t="s">
        <v>236</v>
      </c>
      <c r="N850" t="s">
        <v>237</v>
      </c>
      <c r="O850" s="27">
        <v>46062</v>
      </c>
    </row>
    <row r="851" spans="2:15" hidden="1" x14ac:dyDescent="0.3">
      <c r="B851">
        <v>4415330</v>
      </c>
      <c r="C851" t="s">
        <v>260</v>
      </c>
      <c r="D851">
        <v>22674</v>
      </c>
      <c r="E851" t="s">
        <v>150</v>
      </c>
      <c r="F851" t="s">
        <v>246</v>
      </c>
      <c r="G851" s="28">
        <v>58</v>
      </c>
      <c r="H851" s="32">
        <v>12.56</v>
      </c>
      <c r="I851" s="32">
        <v>2154.61</v>
      </c>
      <c r="J851" t="s">
        <v>239</v>
      </c>
      <c r="K851" t="s">
        <v>245</v>
      </c>
      <c r="L851" t="s">
        <v>235</v>
      </c>
      <c r="M851" t="s">
        <v>236</v>
      </c>
      <c r="N851" t="s">
        <v>237</v>
      </c>
      <c r="O851" s="27">
        <v>46063</v>
      </c>
    </row>
    <row r="852" spans="2:15" hidden="1" x14ac:dyDescent="0.3">
      <c r="B852">
        <v>2632292</v>
      </c>
      <c r="C852" t="s">
        <v>231</v>
      </c>
      <c r="D852">
        <v>69519</v>
      </c>
      <c r="E852" t="s">
        <v>150</v>
      </c>
      <c r="F852" t="s">
        <v>251</v>
      </c>
      <c r="G852" s="28">
        <v>43</v>
      </c>
      <c r="H852" s="32">
        <v>12.55</v>
      </c>
      <c r="I852" s="32">
        <v>2128.87</v>
      </c>
      <c r="J852" t="s">
        <v>239</v>
      </c>
      <c r="K852" t="s">
        <v>245</v>
      </c>
      <c r="L852" t="s">
        <v>235</v>
      </c>
      <c r="M852" t="s">
        <v>236</v>
      </c>
      <c r="N852" t="s">
        <v>237</v>
      </c>
      <c r="O852" s="27">
        <v>46072</v>
      </c>
    </row>
    <row r="853" spans="2:15" x14ac:dyDescent="0.3">
      <c r="B853">
        <v>79379</v>
      </c>
      <c r="C853" t="s">
        <v>231</v>
      </c>
      <c r="D853">
        <v>22103</v>
      </c>
      <c r="E853" t="s">
        <v>150</v>
      </c>
      <c r="F853" t="s">
        <v>271</v>
      </c>
      <c r="G853" s="28">
        <v>126</v>
      </c>
      <c r="H853" s="32">
        <v>12.55</v>
      </c>
      <c r="I853" s="32">
        <v>2254.84</v>
      </c>
      <c r="J853" t="s">
        <v>239</v>
      </c>
      <c r="K853" t="s">
        <v>245</v>
      </c>
      <c r="L853" t="s">
        <v>235</v>
      </c>
      <c r="M853" t="s">
        <v>236</v>
      </c>
      <c r="N853" t="s">
        <v>237</v>
      </c>
      <c r="O853" s="27">
        <v>46072</v>
      </c>
    </row>
    <row r="854" spans="2:15" hidden="1" x14ac:dyDescent="0.3">
      <c r="B854">
        <v>3845505</v>
      </c>
      <c r="C854" t="s">
        <v>260</v>
      </c>
      <c r="D854">
        <v>22674</v>
      </c>
      <c r="E854" t="s">
        <v>150</v>
      </c>
      <c r="F854" t="s">
        <v>345</v>
      </c>
      <c r="G854" s="28">
        <v>43</v>
      </c>
      <c r="H854" s="32">
        <v>12.55</v>
      </c>
      <c r="I854" s="32">
        <v>2000.79</v>
      </c>
      <c r="J854" t="s">
        <v>330</v>
      </c>
      <c r="K854" t="s">
        <v>234</v>
      </c>
      <c r="L854" t="s">
        <v>235</v>
      </c>
      <c r="M854" t="s">
        <v>236</v>
      </c>
      <c r="N854" t="s">
        <v>237</v>
      </c>
      <c r="O854" s="27">
        <v>46056</v>
      </c>
    </row>
    <row r="855" spans="2:15" hidden="1" x14ac:dyDescent="0.3">
      <c r="B855">
        <v>3845505</v>
      </c>
      <c r="C855" t="s">
        <v>260</v>
      </c>
      <c r="D855">
        <v>22674</v>
      </c>
      <c r="E855" t="s">
        <v>150</v>
      </c>
      <c r="F855" t="s">
        <v>384</v>
      </c>
      <c r="G855" s="28">
        <v>92</v>
      </c>
      <c r="H855" s="32">
        <v>12.53</v>
      </c>
      <c r="I855" s="32">
        <v>1997.38</v>
      </c>
      <c r="J855" t="s">
        <v>330</v>
      </c>
      <c r="K855" t="s">
        <v>234</v>
      </c>
      <c r="L855" t="s">
        <v>235</v>
      </c>
      <c r="M855" t="s">
        <v>236</v>
      </c>
      <c r="N855" t="s">
        <v>237</v>
      </c>
      <c r="O855" s="27">
        <v>46056</v>
      </c>
    </row>
    <row r="856" spans="2:15" hidden="1" x14ac:dyDescent="0.3">
      <c r="B856">
        <v>11958876</v>
      </c>
      <c r="C856" t="s">
        <v>260</v>
      </c>
      <c r="D856">
        <v>38517</v>
      </c>
      <c r="E856" t="s">
        <v>150</v>
      </c>
      <c r="F856" t="s">
        <v>246</v>
      </c>
      <c r="G856" s="28">
        <v>54</v>
      </c>
      <c r="H856" s="32">
        <v>12.53</v>
      </c>
      <c r="I856" s="32">
        <v>1998.12</v>
      </c>
      <c r="J856" t="s">
        <v>239</v>
      </c>
      <c r="K856" t="s">
        <v>245</v>
      </c>
      <c r="L856" t="s">
        <v>235</v>
      </c>
      <c r="M856" t="s">
        <v>236</v>
      </c>
      <c r="N856" t="s">
        <v>237</v>
      </c>
      <c r="O856" s="27">
        <v>46062</v>
      </c>
    </row>
    <row r="857" spans="2:15" hidden="1" x14ac:dyDescent="0.3">
      <c r="B857">
        <v>7088256</v>
      </c>
      <c r="C857" t="s">
        <v>231</v>
      </c>
      <c r="D857">
        <v>96553</v>
      </c>
      <c r="E857" t="s">
        <v>150</v>
      </c>
      <c r="F857" t="s">
        <v>298</v>
      </c>
      <c r="G857" s="28">
        <v>54</v>
      </c>
      <c r="H857" s="32">
        <v>12.51</v>
      </c>
      <c r="I857" s="32">
        <v>940.34</v>
      </c>
      <c r="J857" t="s">
        <v>239</v>
      </c>
      <c r="K857" t="s">
        <v>245</v>
      </c>
      <c r="L857" t="s">
        <v>235</v>
      </c>
      <c r="M857" t="s">
        <v>236</v>
      </c>
      <c r="N857" t="s">
        <v>237</v>
      </c>
      <c r="O857" s="27">
        <v>46063</v>
      </c>
    </row>
    <row r="858" spans="2:15" x14ac:dyDescent="0.3">
      <c r="B858">
        <v>79379</v>
      </c>
      <c r="C858" t="s">
        <v>231</v>
      </c>
      <c r="D858">
        <v>22103</v>
      </c>
      <c r="E858" t="s">
        <v>150</v>
      </c>
      <c r="F858" t="s">
        <v>282</v>
      </c>
      <c r="G858" s="28">
        <v>43</v>
      </c>
      <c r="H858" s="32">
        <v>12.51</v>
      </c>
      <c r="I858" s="32">
        <v>2247.79</v>
      </c>
      <c r="J858" t="s">
        <v>239</v>
      </c>
      <c r="K858" t="s">
        <v>245</v>
      </c>
      <c r="L858" t="s">
        <v>235</v>
      </c>
      <c r="M858" t="s">
        <v>236</v>
      </c>
      <c r="N858" t="s">
        <v>237</v>
      </c>
      <c r="O858" s="27">
        <v>46072</v>
      </c>
    </row>
    <row r="859" spans="2:15" hidden="1" x14ac:dyDescent="0.3">
      <c r="B859">
        <v>2410665</v>
      </c>
      <c r="C859" t="s">
        <v>231</v>
      </c>
      <c r="D859">
        <v>21559</v>
      </c>
      <c r="E859" t="s">
        <v>150</v>
      </c>
      <c r="F859" t="s">
        <v>340</v>
      </c>
      <c r="G859" s="28">
        <v>38</v>
      </c>
      <c r="H859" s="32">
        <v>12.5</v>
      </c>
      <c r="I859" s="32">
        <v>2218.44</v>
      </c>
      <c r="J859" t="s">
        <v>330</v>
      </c>
      <c r="K859" t="s">
        <v>234</v>
      </c>
      <c r="L859" t="s">
        <v>235</v>
      </c>
      <c r="M859" t="s">
        <v>236</v>
      </c>
      <c r="N859" t="s">
        <v>237</v>
      </c>
      <c r="O859" s="27">
        <v>46065</v>
      </c>
    </row>
    <row r="860" spans="2:15" hidden="1" x14ac:dyDescent="0.3">
      <c r="B860">
        <v>2569374</v>
      </c>
      <c r="C860" t="s">
        <v>231</v>
      </c>
      <c r="D860">
        <v>71997</v>
      </c>
      <c r="E860" t="s">
        <v>150</v>
      </c>
      <c r="F860" t="s">
        <v>271</v>
      </c>
      <c r="G860" s="28">
        <v>81</v>
      </c>
      <c r="H860" s="32">
        <v>12.49</v>
      </c>
      <c r="I860" s="32">
        <v>1495.49</v>
      </c>
      <c r="J860" t="s">
        <v>239</v>
      </c>
      <c r="K860" t="s">
        <v>245</v>
      </c>
      <c r="L860" t="s">
        <v>235</v>
      </c>
      <c r="M860" t="s">
        <v>236</v>
      </c>
      <c r="N860" t="s">
        <v>237</v>
      </c>
      <c r="O860" s="27">
        <v>46063</v>
      </c>
    </row>
    <row r="861" spans="2:15" hidden="1" x14ac:dyDescent="0.3">
      <c r="B861">
        <v>4078178</v>
      </c>
      <c r="C861" t="s">
        <v>231</v>
      </c>
      <c r="D861">
        <v>49894</v>
      </c>
      <c r="E861" t="s">
        <v>150</v>
      </c>
      <c r="F861" t="s">
        <v>246</v>
      </c>
      <c r="G861" s="28">
        <v>57</v>
      </c>
      <c r="H861" s="32">
        <v>12.49</v>
      </c>
      <c r="I861" s="32">
        <v>2117.4299999999998</v>
      </c>
      <c r="J861" t="s">
        <v>239</v>
      </c>
      <c r="K861" t="s">
        <v>245</v>
      </c>
      <c r="L861" t="s">
        <v>235</v>
      </c>
      <c r="M861" t="s">
        <v>236</v>
      </c>
      <c r="N861" t="s">
        <v>237</v>
      </c>
      <c r="O861" s="27">
        <v>46063</v>
      </c>
    </row>
    <row r="862" spans="2:15" hidden="1" x14ac:dyDescent="0.3">
      <c r="B862">
        <v>2091913</v>
      </c>
      <c r="C862" t="s">
        <v>260</v>
      </c>
      <c r="D862">
        <v>49894</v>
      </c>
      <c r="E862" t="s">
        <v>150</v>
      </c>
      <c r="F862" t="s">
        <v>369</v>
      </c>
      <c r="G862" s="28">
        <v>47</v>
      </c>
      <c r="H862" s="32">
        <v>12.48</v>
      </c>
      <c r="I862" s="32">
        <v>2589.85</v>
      </c>
      <c r="J862" t="s">
        <v>239</v>
      </c>
      <c r="K862" t="s">
        <v>245</v>
      </c>
      <c r="L862" t="s">
        <v>235</v>
      </c>
      <c r="M862" t="s">
        <v>236</v>
      </c>
      <c r="N862" t="s">
        <v>240</v>
      </c>
      <c r="O862" s="27">
        <v>46063</v>
      </c>
    </row>
    <row r="863" spans="2:15" hidden="1" x14ac:dyDescent="0.3">
      <c r="B863">
        <v>5664804</v>
      </c>
      <c r="C863" t="s">
        <v>231</v>
      </c>
      <c r="D863">
        <v>69493</v>
      </c>
      <c r="E863" t="s">
        <v>150</v>
      </c>
      <c r="F863" t="s">
        <v>369</v>
      </c>
      <c r="G863" s="28">
        <v>24</v>
      </c>
      <c r="H863" s="32">
        <v>12.46</v>
      </c>
      <c r="I863" s="32">
        <v>1240.48</v>
      </c>
      <c r="J863" t="s">
        <v>239</v>
      </c>
      <c r="K863" t="s">
        <v>245</v>
      </c>
      <c r="L863" t="s">
        <v>235</v>
      </c>
      <c r="M863" t="s">
        <v>236</v>
      </c>
      <c r="N863" t="s">
        <v>240</v>
      </c>
      <c r="O863" s="27">
        <v>46055</v>
      </c>
    </row>
    <row r="864" spans="2:15" hidden="1" x14ac:dyDescent="0.3">
      <c r="B864">
        <v>542586</v>
      </c>
      <c r="C864" t="s">
        <v>260</v>
      </c>
      <c r="D864">
        <v>21468</v>
      </c>
      <c r="E864" t="s">
        <v>150</v>
      </c>
      <c r="F864" t="s">
        <v>377</v>
      </c>
      <c r="G864" s="28">
        <v>79</v>
      </c>
      <c r="H864" s="32">
        <v>12.46</v>
      </c>
      <c r="I864" s="32">
        <v>2456.89</v>
      </c>
      <c r="J864" t="s">
        <v>330</v>
      </c>
      <c r="K864" t="s">
        <v>234</v>
      </c>
      <c r="L864" t="s">
        <v>235</v>
      </c>
      <c r="M864" t="s">
        <v>236</v>
      </c>
      <c r="N864" t="s">
        <v>237</v>
      </c>
      <c r="O864" s="27">
        <v>46058</v>
      </c>
    </row>
    <row r="865" spans="2:15" hidden="1" x14ac:dyDescent="0.3">
      <c r="B865">
        <v>11958876</v>
      </c>
      <c r="C865" t="s">
        <v>260</v>
      </c>
      <c r="D865">
        <v>38517</v>
      </c>
      <c r="E865" t="s">
        <v>150</v>
      </c>
      <c r="F865" t="s">
        <v>160</v>
      </c>
      <c r="G865" s="28">
        <v>23</v>
      </c>
      <c r="H865" s="32">
        <v>12.46</v>
      </c>
      <c r="I865" s="32">
        <v>1987.72</v>
      </c>
      <c r="J865" t="s">
        <v>239</v>
      </c>
      <c r="K865" t="s">
        <v>245</v>
      </c>
      <c r="L865" t="s">
        <v>235</v>
      </c>
      <c r="M865" t="s">
        <v>236</v>
      </c>
      <c r="N865" t="s">
        <v>237</v>
      </c>
      <c r="O865" s="27">
        <v>46062</v>
      </c>
    </row>
    <row r="866" spans="2:15" hidden="1" x14ac:dyDescent="0.3">
      <c r="B866">
        <v>3845505</v>
      </c>
      <c r="C866" t="s">
        <v>260</v>
      </c>
      <c r="D866">
        <v>22674</v>
      </c>
      <c r="E866" t="s">
        <v>150</v>
      </c>
      <c r="F866" t="s">
        <v>363</v>
      </c>
      <c r="G866" s="28">
        <v>54</v>
      </c>
      <c r="H866" s="32">
        <v>12.44</v>
      </c>
      <c r="I866" s="32">
        <v>1983.06</v>
      </c>
      <c r="J866" t="s">
        <v>330</v>
      </c>
      <c r="K866" t="s">
        <v>234</v>
      </c>
      <c r="L866" t="s">
        <v>235</v>
      </c>
      <c r="M866" t="s">
        <v>236</v>
      </c>
      <c r="N866" t="s">
        <v>237</v>
      </c>
      <c r="O866" s="27">
        <v>46056</v>
      </c>
    </row>
    <row r="867" spans="2:15" hidden="1" x14ac:dyDescent="0.3">
      <c r="B867">
        <v>3845505</v>
      </c>
      <c r="C867" t="s">
        <v>260</v>
      </c>
      <c r="D867">
        <v>22674</v>
      </c>
      <c r="E867" t="s">
        <v>150</v>
      </c>
      <c r="F867" t="s">
        <v>361</v>
      </c>
      <c r="G867" s="28">
        <v>53</v>
      </c>
      <c r="H867" s="32">
        <v>12.43</v>
      </c>
      <c r="I867" s="32">
        <v>1981.67</v>
      </c>
      <c r="J867" t="s">
        <v>330</v>
      </c>
      <c r="K867" t="s">
        <v>234</v>
      </c>
      <c r="L867" t="s">
        <v>235</v>
      </c>
      <c r="M867" t="s">
        <v>236</v>
      </c>
      <c r="N867" t="s">
        <v>237</v>
      </c>
      <c r="O867" s="27">
        <v>46056</v>
      </c>
    </row>
    <row r="868" spans="2:15" hidden="1" x14ac:dyDescent="0.3">
      <c r="B868">
        <v>3845505</v>
      </c>
      <c r="C868" t="s">
        <v>260</v>
      </c>
      <c r="D868">
        <v>22674</v>
      </c>
      <c r="E868" t="s">
        <v>150</v>
      </c>
      <c r="F868" t="s">
        <v>377</v>
      </c>
      <c r="G868" s="28">
        <v>62</v>
      </c>
      <c r="H868" s="32">
        <v>12.4</v>
      </c>
      <c r="I868" s="32">
        <v>1976.56</v>
      </c>
      <c r="J868" t="s">
        <v>330</v>
      </c>
      <c r="K868" t="s">
        <v>234</v>
      </c>
      <c r="L868" t="s">
        <v>235</v>
      </c>
      <c r="M868" t="s">
        <v>236</v>
      </c>
      <c r="N868" t="s">
        <v>237</v>
      </c>
      <c r="O868" s="27">
        <v>46056</v>
      </c>
    </row>
    <row r="869" spans="2:15" hidden="1" x14ac:dyDescent="0.3">
      <c r="B869">
        <v>18702217</v>
      </c>
      <c r="C869" t="s">
        <v>260</v>
      </c>
      <c r="D869">
        <v>74304</v>
      </c>
      <c r="E869" t="s">
        <v>150</v>
      </c>
      <c r="F869" t="s">
        <v>377</v>
      </c>
      <c r="G869" s="28">
        <v>74</v>
      </c>
      <c r="H869" s="32">
        <v>12.38</v>
      </c>
      <c r="I869" s="32">
        <v>2339.13</v>
      </c>
      <c r="J869" t="s">
        <v>330</v>
      </c>
      <c r="K869" t="s">
        <v>234</v>
      </c>
      <c r="L869" t="s">
        <v>235</v>
      </c>
      <c r="M869" t="s">
        <v>236</v>
      </c>
      <c r="N869" t="s">
        <v>237</v>
      </c>
      <c r="O869" s="27">
        <v>46072</v>
      </c>
    </row>
    <row r="870" spans="2:15" hidden="1" x14ac:dyDescent="0.3">
      <c r="B870">
        <v>6978173</v>
      </c>
      <c r="C870" t="s">
        <v>231</v>
      </c>
      <c r="D870">
        <v>38517</v>
      </c>
      <c r="E870" t="s">
        <v>150</v>
      </c>
      <c r="F870" t="s">
        <v>163</v>
      </c>
      <c r="G870" s="28">
        <v>66</v>
      </c>
      <c r="H870" s="32">
        <v>12.37</v>
      </c>
      <c r="I870" s="32">
        <v>921.46</v>
      </c>
      <c r="J870" t="s">
        <v>239</v>
      </c>
      <c r="K870" t="s">
        <v>245</v>
      </c>
      <c r="L870" t="s">
        <v>235</v>
      </c>
      <c r="M870" t="s">
        <v>236</v>
      </c>
      <c r="N870" t="s">
        <v>237</v>
      </c>
      <c r="O870" s="27">
        <v>46063</v>
      </c>
    </row>
    <row r="871" spans="2:15" hidden="1" x14ac:dyDescent="0.3">
      <c r="B871">
        <v>2041860</v>
      </c>
      <c r="C871" t="s">
        <v>231</v>
      </c>
      <c r="D871">
        <v>40901</v>
      </c>
      <c r="E871" t="s">
        <v>150</v>
      </c>
      <c r="F871" t="s">
        <v>306</v>
      </c>
      <c r="G871" s="28">
        <v>50</v>
      </c>
      <c r="H871" s="32">
        <v>12.37</v>
      </c>
      <c r="I871" s="32">
        <v>447.25</v>
      </c>
      <c r="J871" t="s">
        <v>267</v>
      </c>
      <c r="K871" t="s">
        <v>245</v>
      </c>
      <c r="L871" t="s">
        <v>235</v>
      </c>
      <c r="M871" t="s">
        <v>236</v>
      </c>
      <c r="N871" t="s">
        <v>240</v>
      </c>
      <c r="O871" s="27">
        <v>46055</v>
      </c>
    </row>
    <row r="872" spans="2:15" hidden="1" x14ac:dyDescent="0.3">
      <c r="B872">
        <v>15974810</v>
      </c>
      <c r="C872" t="s">
        <v>231</v>
      </c>
      <c r="D872">
        <v>49894</v>
      </c>
      <c r="E872" t="s">
        <v>150</v>
      </c>
      <c r="F872" t="s">
        <v>282</v>
      </c>
      <c r="G872" s="28">
        <v>54</v>
      </c>
      <c r="H872" s="32">
        <v>12.36</v>
      </c>
      <c r="I872" s="32">
        <v>2758.49</v>
      </c>
      <c r="J872" t="s">
        <v>239</v>
      </c>
      <c r="K872" t="s">
        <v>245</v>
      </c>
      <c r="L872" t="s">
        <v>235</v>
      </c>
      <c r="M872" t="s">
        <v>236</v>
      </c>
      <c r="N872" t="s">
        <v>240</v>
      </c>
      <c r="O872" s="27">
        <v>46063</v>
      </c>
    </row>
    <row r="873" spans="2:15" hidden="1" x14ac:dyDescent="0.3">
      <c r="B873">
        <v>4375042</v>
      </c>
      <c r="C873" t="s">
        <v>231</v>
      </c>
      <c r="D873">
        <v>25619</v>
      </c>
      <c r="E873" t="s">
        <v>150</v>
      </c>
      <c r="F873" t="s">
        <v>318</v>
      </c>
      <c r="G873" s="28">
        <v>14</v>
      </c>
      <c r="H873" s="32">
        <v>12.36</v>
      </c>
      <c r="I873" s="32">
        <v>2148.4499999999998</v>
      </c>
      <c r="J873" t="s">
        <v>239</v>
      </c>
      <c r="K873" t="s">
        <v>245</v>
      </c>
      <c r="L873" t="s">
        <v>235</v>
      </c>
      <c r="M873" t="s">
        <v>236</v>
      </c>
      <c r="N873" t="s">
        <v>237</v>
      </c>
      <c r="O873" s="27">
        <v>46072</v>
      </c>
    </row>
    <row r="874" spans="2:15" hidden="1" x14ac:dyDescent="0.3">
      <c r="B874">
        <v>14521528</v>
      </c>
      <c r="C874" t="s">
        <v>260</v>
      </c>
      <c r="D874">
        <v>25619</v>
      </c>
      <c r="E874" t="s">
        <v>150</v>
      </c>
      <c r="F874" t="s">
        <v>369</v>
      </c>
      <c r="G874" s="28">
        <v>46</v>
      </c>
      <c r="H874" s="32">
        <v>12.32</v>
      </c>
      <c r="I874" s="32">
        <v>2534.88</v>
      </c>
      <c r="J874" t="s">
        <v>239</v>
      </c>
      <c r="K874" t="s">
        <v>245</v>
      </c>
      <c r="L874" t="s">
        <v>235</v>
      </c>
      <c r="M874" t="s">
        <v>236</v>
      </c>
      <c r="N874" t="s">
        <v>240</v>
      </c>
      <c r="O874" s="27">
        <v>46063</v>
      </c>
    </row>
    <row r="875" spans="2:15" hidden="1" x14ac:dyDescent="0.3">
      <c r="B875">
        <v>3845505</v>
      </c>
      <c r="C875" t="s">
        <v>260</v>
      </c>
      <c r="D875">
        <v>22674</v>
      </c>
      <c r="E875" t="s">
        <v>150</v>
      </c>
      <c r="F875" t="s">
        <v>272</v>
      </c>
      <c r="G875" s="28">
        <v>300</v>
      </c>
      <c r="H875" s="32">
        <v>12.32</v>
      </c>
      <c r="I875" s="32">
        <v>1965</v>
      </c>
      <c r="J875" t="s">
        <v>239</v>
      </c>
      <c r="K875" t="s">
        <v>234</v>
      </c>
      <c r="L875" t="s">
        <v>235</v>
      </c>
      <c r="M875" t="s">
        <v>236</v>
      </c>
      <c r="N875" t="s">
        <v>237</v>
      </c>
      <c r="O875" s="27">
        <v>46056</v>
      </c>
    </row>
    <row r="876" spans="2:15" hidden="1" x14ac:dyDescent="0.3">
      <c r="B876">
        <v>3430907</v>
      </c>
      <c r="C876" t="s">
        <v>260</v>
      </c>
      <c r="D876">
        <v>21468</v>
      </c>
      <c r="E876" t="s">
        <v>150</v>
      </c>
      <c r="F876" t="s">
        <v>163</v>
      </c>
      <c r="G876" s="28">
        <v>66</v>
      </c>
      <c r="H876" s="32">
        <v>12.3</v>
      </c>
      <c r="I876" s="32">
        <v>921.46</v>
      </c>
      <c r="J876" t="s">
        <v>239</v>
      </c>
      <c r="K876" t="s">
        <v>245</v>
      </c>
      <c r="L876" t="s">
        <v>235</v>
      </c>
      <c r="M876" t="s">
        <v>236</v>
      </c>
      <c r="N876" t="s">
        <v>237</v>
      </c>
      <c r="O876" s="27">
        <v>46063</v>
      </c>
    </row>
    <row r="877" spans="2:15" hidden="1" x14ac:dyDescent="0.3">
      <c r="B877">
        <v>2538267</v>
      </c>
      <c r="C877" t="s">
        <v>231</v>
      </c>
      <c r="D877">
        <v>69579</v>
      </c>
      <c r="E877" t="s">
        <v>150</v>
      </c>
      <c r="F877" t="s">
        <v>276</v>
      </c>
      <c r="G877" s="28">
        <v>74</v>
      </c>
      <c r="H877" s="32">
        <v>12.28</v>
      </c>
      <c r="I877" s="32">
        <v>2240.0500000000002</v>
      </c>
      <c r="J877" t="s">
        <v>239</v>
      </c>
      <c r="K877" t="s">
        <v>245</v>
      </c>
      <c r="L877" t="s">
        <v>235</v>
      </c>
      <c r="M877" t="s">
        <v>236</v>
      </c>
      <c r="N877" t="s">
        <v>240</v>
      </c>
      <c r="O877" s="27">
        <v>46055</v>
      </c>
    </row>
    <row r="878" spans="2:15" hidden="1" x14ac:dyDescent="0.3">
      <c r="B878">
        <v>12429967</v>
      </c>
      <c r="C878" t="s">
        <v>260</v>
      </c>
      <c r="D878">
        <v>21468</v>
      </c>
      <c r="E878" t="s">
        <v>150</v>
      </c>
      <c r="F878" t="s">
        <v>258</v>
      </c>
      <c r="G878" s="28">
        <v>78</v>
      </c>
      <c r="H878" s="32">
        <v>12.27</v>
      </c>
      <c r="I878" s="32">
        <v>843.47</v>
      </c>
      <c r="J878" t="s">
        <v>239</v>
      </c>
      <c r="K878" t="s">
        <v>245</v>
      </c>
      <c r="L878" t="s">
        <v>235</v>
      </c>
      <c r="M878" t="s">
        <v>236</v>
      </c>
      <c r="N878" t="s">
        <v>240</v>
      </c>
      <c r="O878" s="27">
        <v>46055</v>
      </c>
    </row>
    <row r="879" spans="2:15" hidden="1" x14ac:dyDescent="0.3">
      <c r="B879">
        <v>4089266</v>
      </c>
      <c r="C879" t="s">
        <v>260</v>
      </c>
      <c r="D879">
        <v>22674</v>
      </c>
      <c r="E879" t="s">
        <v>150</v>
      </c>
      <c r="F879" t="s">
        <v>160</v>
      </c>
      <c r="G879" s="28">
        <v>22</v>
      </c>
      <c r="H879" s="32">
        <v>12.27</v>
      </c>
      <c r="I879" s="32">
        <v>1833.3</v>
      </c>
      <c r="J879" t="s">
        <v>239</v>
      </c>
      <c r="K879" t="s">
        <v>245</v>
      </c>
      <c r="L879" t="s">
        <v>235</v>
      </c>
      <c r="M879" t="s">
        <v>236</v>
      </c>
      <c r="N879" t="s">
        <v>237</v>
      </c>
      <c r="O879" s="27">
        <v>46072</v>
      </c>
    </row>
    <row r="880" spans="2:15" hidden="1" x14ac:dyDescent="0.3">
      <c r="B880">
        <v>4339096</v>
      </c>
      <c r="C880" t="s">
        <v>231</v>
      </c>
      <c r="D880">
        <v>25619</v>
      </c>
      <c r="E880" t="s">
        <v>150</v>
      </c>
      <c r="F880" t="s">
        <v>163</v>
      </c>
      <c r="G880" s="28">
        <v>66</v>
      </c>
      <c r="H880" s="32">
        <v>12.25</v>
      </c>
      <c r="I880" s="32">
        <v>921.46</v>
      </c>
      <c r="J880" t="s">
        <v>239</v>
      </c>
      <c r="K880" t="s">
        <v>245</v>
      </c>
      <c r="L880" t="s">
        <v>235</v>
      </c>
      <c r="M880" t="s">
        <v>236</v>
      </c>
      <c r="N880" t="s">
        <v>237</v>
      </c>
      <c r="O880" s="27">
        <v>46063</v>
      </c>
    </row>
    <row r="881" spans="2:15" x14ac:dyDescent="0.3">
      <c r="B881">
        <v>3105908</v>
      </c>
      <c r="C881" t="s">
        <v>231</v>
      </c>
      <c r="D881">
        <v>22103</v>
      </c>
      <c r="E881" t="s">
        <v>150</v>
      </c>
      <c r="F881" t="s">
        <v>298</v>
      </c>
      <c r="G881" s="28">
        <v>53</v>
      </c>
      <c r="H881" s="32">
        <v>12.23</v>
      </c>
      <c r="I881" s="32">
        <v>922.85</v>
      </c>
      <c r="J881" t="s">
        <v>239</v>
      </c>
      <c r="K881" t="s">
        <v>245</v>
      </c>
      <c r="L881" t="s">
        <v>235</v>
      </c>
      <c r="M881" t="s">
        <v>236</v>
      </c>
      <c r="N881" t="s">
        <v>237</v>
      </c>
      <c r="O881" s="27">
        <v>46063</v>
      </c>
    </row>
    <row r="882" spans="2:15" hidden="1" x14ac:dyDescent="0.3">
      <c r="B882">
        <v>4051319</v>
      </c>
      <c r="C882" t="s">
        <v>231</v>
      </c>
      <c r="D882">
        <v>22674</v>
      </c>
      <c r="E882" t="s">
        <v>150</v>
      </c>
      <c r="F882" t="s">
        <v>246</v>
      </c>
      <c r="G882" s="28">
        <v>55</v>
      </c>
      <c r="H882" s="32">
        <v>12.21</v>
      </c>
      <c r="I882" s="32">
        <v>2043.19</v>
      </c>
      <c r="J882" t="s">
        <v>239</v>
      </c>
      <c r="K882" t="s">
        <v>245</v>
      </c>
      <c r="L882" t="s">
        <v>235</v>
      </c>
      <c r="M882" t="s">
        <v>236</v>
      </c>
      <c r="N882" t="s">
        <v>237</v>
      </c>
      <c r="O882" s="27">
        <v>46063</v>
      </c>
    </row>
    <row r="883" spans="2:15" hidden="1" x14ac:dyDescent="0.3">
      <c r="B883">
        <v>4089266</v>
      </c>
      <c r="C883" t="s">
        <v>260</v>
      </c>
      <c r="D883">
        <v>22674</v>
      </c>
      <c r="E883" t="s">
        <v>150</v>
      </c>
      <c r="F883" t="s">
        <v>246</v>
      </c>
      <c r="G883" s="28">
        <v>48</v>
      </c>
      <c r="H883" s="32">
        <v>12.2</v>
      </c>
      <c r="I883" s="32">
        <v>1823.12</v>
      </c>
      <c r="J883" t="s">
        <v>239</v>
      </c>
      <c r="K883" t="s">
        <v>245</v>
      </c>
      <c r="L883" t="s">
        <v>235</v>
      </c>
      <c r="M883" t="s">
        <v>236</v>
      </c>
      <c r="N883" t="s">
        <v>237</v>
      </c>
      <c r="O883" s="27">
        <v>46072</v>
      </c>
    </row>
    <row r="884" spans="2:15" hidden="1" x14ac:dyDescent="0.3">
      <c r="B884">
        <v>11958876</v>
      </c>
      <c r="C884" t="s">
        <v>260</v>
      </c>
      <c r="D884">
        <v>38517</v>
      </c>
      <c r="E884" t="s">
        <v>150</v>
      </c>
      <c r="F884" t="s">
        <v>276</v>
      </c>
      <c r="G884" s="28">
        <v>63</v>
      </c>
      <c r="H884" s="32">
        <v>12.17</v>
      </c>
      <c r="I884" s="32">
        <v>1940.66</v>
      </c>
      <c r="J884" t="s">
        <v>239</v>
      </c>
      <c r="K884" t="s">
        <v>245</v>
      </c>
      <c r="L884" t="s">
        <v>235</v>
      </c>
      <c r="M884" t="s">
        <v>236</v>
      </c>
      <c r="N884" t="s">
        <v>237</v>
      </c>
      <c r="O884" s="27">
        <v>46062</v>
      </c>
    </row>
    <row r="885" spans="2:15" hidden="1" x14ac:dyDescent="0.3">
      <c r="B885">
        <v>11958876</v>
      </c>
      <c r="C885" t="s">
        <v>260</v>
      </c>
      <c r="D885">
        <v>38517</v>
      </c>
      <c r="E885" t="s">
        <v>150</v>
      </c>
      <c r="F885" t="s">
        <v>277</v>
      </c>
      <c r="G885" s="28">
        <v>51</v>
      </c>
      <c r="H885" s="32">
        <v>12.16</v>
      </c>
      <c r="I885" s="32">
        <v>1939.32</v>
      </c>
      <c r="J885" t="s">
        <v>239</v>
      </c>
      <c r="K885" t="s">
        <v>245</v>
      </c>
      <c r="L885" t="s">
        <v>235</v>
      </c>
      <c r="M885" t="s">
        <v>236</v>
      </c>
      <c r="N885" t="s">
        <v>237</v>
      </c>
      <c r="O885" s="27">
        <v>46062</v>
      </c>
    </row>
    <row r="886" spans="2:15" hidden="1" x14ac:dyDescent="0.3">
      <c r="B886">
        <v>3845505</v>
      </c>
      <c r="C886" t="s">
        <v>260</v>
      </c>
      <c r="D886">
        <v>22674</v>
      </c>
      <c r="E886" t="s">
        <v>150</v>
      </c>
      <c r="F886" t="s">
        <v>329</v>
      </c>
      <c r="G886" s="28">
        <v>22</v>
      </c>
      <c r="H886" s="32">
        <v>12.14</v>
      </c>
      <c r="I886" s="32">
        <v>1936</v>
      </c>
      <c r="J886" t="s">
        <v>330</v>
      </c>
      <c r="K886" t="s">
        <v>234</v>
      </c>
      <c r="L886" t="s">
        <v>235</v>
      </c>
      <c r="M886" t="s">
        <v>236</v>
      </c>
      <c r="N886" t="s">
        <v>237</v>
      </c>
      <c r="O886" s="27">
        <v>46056</v>
      </c>
    </row>
    <row r="887" spans="2:15" hidden="1" x14ac:dyDescent="0.3">
      <c r="B887">
        <v>4535206</v>
      </c>
      <c r="C887" t="s">
        <v>231</v>
      </c>
      <c r="D887">
        <v>68542</v>
      </c>
      <c r="E887" t="s">
        <v>150</v>
      </c>
      <c r="F887" t="s">
        <v>369</v>
      </c>
      <c r="G887" s="28">
        <v>30</v>
      </c>
      <c r="H887" s="32">
        <v>12.12</v>
      </c>
      <c r="I887" s="32">
        <v>1550.6</v>
      </c>
      <c r="J887" t="s">
        <v>239</v>
      </c>
      <c r="K887" t="s">
        <v>245</v>
      </c>
      <c r="L887" t="s">
        <v>235</v>
      </c>
      <c r="M887" t="s">
        <v>236</v>
      </c>
      <c r="N887" t="s">
        <v>240</v>
      </c>
      <c r="O887" s="27">
        <v>46055</v>
      </c>
    </row>
    <row r="888" spans="2:15" hidden="1" x14ac:dyDescent="0.3">
      <c r="B888">
        <v>12025620</v>
      </c>
      <c r="C888" t="s">
        <v>231</v>
      </c>
      <c r="D888">
        <v>38517</v>
      </c>
      <c r="E888" t="s">
        <v>150</v>
      </c>
      <c r="F888" t="s">
        <v>246</v>
      </c>
      <c r="G888" s="28">
        <v>55</v>
      </c>
      <c r="H888" s="32">
        <v>12.12</v>
      </c>
      <c r="I888" s="32">
        <v>2043.19</v>
      </c>
      <c r="J888" t="s">
        <v>239</v>
      </c>
      <c r="K888" t="s">
        <v>245</v>
      </c>
      <c r="L888" t="s">
        <v>235</v>
      </c>
      <c r="M888" t="s">
        <v>236</v>
      </c>
      <c r="N888" t="s">
        <v>237</v>
      </c>
      <c r="O888" s="27">
        <v>46063</v>
      </c>
    </row>
    <row r="889" spans="2:15" hidden="1" x14ac:dyDescent="0.3">
      <c r="B889">
        <v>2562251</v>
      </c>
      <c r="C889" t="s">
        <v>231</v>
      </c>
      <c r="D889">
        <v>23648</v>
      </c>
      <c r="E889" t="s">
        <v>150</v>
      </c>
      <c r="F889" t="s">
        <v>298</v>
      </c>
      <c r="G889" s="28">
        <v>51</v>
      </c>
      <c r="H889" s="32">
        <v>12.11</v>
      </c>
      <c r="I889" s="32">
        <v>888.08</v>
      </c>
      <c r="J889" t="s">
        <v>239</v>
      </c>
      <c r="K889" t="s">
        <v>245</v>
      </c>
      <c r="L889" t="s">
        <v>235</v>
      </c>
      <c r="M889" t="s">
        <v>236</v>
      </c>
      <c r="N889" t="s">
        <v>237</v>
      </c>
      <c r="O889" s="27">
        <v>46063</v>
      </c>
    </row>
    <row r="890" spans="2:15" hidden="1" x14ac:dyDescent="0.3">
      <c r="B890">
        <v>54685</v>
      </c>
      <c r="C890" t="s">
        <v>260</v>
      </c>
      <c r="D890">
        <v>22674</v>
      </c>
      <c r="E890" t="s">
        <v>150</v>
      </c>
      <c r="F890" t="s">
        <v>289</v>
      </c>
      <c r="G890" s="28">
        <v>100</v>
      </c>
      <c r="H890" s="32">
        <v>12.11</v>
      </c>
      <c r="I890" s="32">
        <v>2092</v>
      </c>
      <c r="J890" t="s">
        <v>239</v>
      </c>
      <c r="K890" t="s">
        <v>234</v>
      </c>
      <c r="L890" t="s">
        <v>235</v>
      </c>
      <c r="M890" t="s">
        <v>236</v>
      </c>
      <c r="N890" t="s">
        <v>237</v>
      </c>
      <c r="O890" s="27">
        <v>46063</v>
      </c>
    </row>
    <row r="891" spans="2:15" hidden="1" x14ac:dyDescent="0.3">
      <c r="B891">
        <v>11958876</v>
      </c>
      <c r="C891" t="s">
        <v>260</v>
      </c>
      <c r="D891">
        <v>38517</v>
      </c>
      <c r="E891" t="s">
        <v>150</v>
      </c>
      <c r="F891" t="s">
        <v>289</v>
      </c>
      <c r="G891" s="28">
        <v>93</v>
      </c>
      <c r="H891" s="32">
        <v>12.1</v>
      </c>
      <c r="I891" s="32">
        <v>1929.17</v>
      </c>
      <c r="J891" t="s">
        <v>239</v>
      </c>
      <c r="K891" t="s">
        <v>245</v>
      </c>
      <c r="L891" t="s">
        <v>235</v>
      </c>
      <c r="M891" t="s">
        <v>236</v>
      </c>
      <c r="N891" t="s">
        <v>237</v>
      </c>
      <c r="O891" s="27">
        <v>46062</v>
      </c>
    </row>
    <row r="892" spans="2:15" hidden="1" x14ac:dyDescent="0.3">
      <c r="B892">
        <v>3436001</v>
      </c>
      <c r="C892" t="s">
        <v>260</v>
      </c>
      <c r="D892">
        <v>21468</v>
      </c>
      <c r="E892" t="s">
        <v>150</v>
      </c>
      <c r="F892" t="s">
        <v>282</v>
      </c>
      <c r="G892" s="28">
        <v>26</v>
      </c>
      <c r="H892" s="32">
        <v>12.1</v>
      </c>
      <c r="I892" s="32">
        <v>1322.38</v>
      </c>
      <c r="J892" t="s">
        <v>239</v>
      </c>
      <c r="K892" t="s">
        <v>245</v>
      </c>
      <c r="L892" t="s">
        <v>235</v>
      </c>
      <c r="M892" t="s">
        <v>236</v>
      </c>
      <c r="N892" t="s">
        <v>240</v>
      </c>
      <c r="O892" s="27">
        <v>46055</v>
      </c>
    </row>
    <row r="893" spans="2:15" hidden="1" x14ac:dyDescent="0.3">
      <c r="B893">
        <v>11010432</v>
      </c>
      <c r="C893" t="s">
        <v>231</v>
      </c>
      <c r="D893">
        <v>25619</v>
      </c>
      <c r="E893" t="s">
        <v>150</v>
      </c>
      <c r="F893" t="s">
        <v>298</v>
      </c>
      <c r="G893" s="28">
        <v>51</v>
      </c>
      <c r="H893" s="32">
        <v>12.08</v>
      </c>
      <c r="I893" s="32">
        <v>888.08</v>
      </c>
      <c r="J893" t="s">
        <v>239</v>
      </c>
      <c r="K893" t="s">
        <v>245</v>
      </c>
      <c r="L893" t="s">
        <v>235</v>
      </c>
      <c r="M893" t="s">
        <v>236</v>
      </c>
      <c r="N893" t="s">
        <v>237</v>
      </c>
      <c r="O893" s="27">
        <v>46063</v>
      </c>
    </row>
    <row r="894" spans="2:15" hidden="1" x14ac:dyDescent="0.3">
      <c r="B894">
        <v>12918550</v>
      </c>
      <c r="C894" t="s">
        <v>231</v>
      </c>
      <c r="D894">
        <v>25619</v>
      </c>
      <c r="E894" t="s">
        <v>150</v>
      </c>
      <c r="F894" t="s">
        <v>340</v>
      </c>
      <c r="G894" s="28">
        <v>39</v>
      </c>
      <c r="H894" s="32">
        <v>12.05</v>
      </c>
      <c r="I894" s="32">
        <v>2294.7600000000002</v>
      </c>
      <c r="J894" t="s">
        <v>330</v>
      </c>
      <c r="K894" t="s">
        <v>234</v>
      </c>
      <c r="L894" t="s">
        <v>235</v>
      </c>
      <c r="M894" t="s">
        <v>236</v>
      </c>
      <c r="N894" t="s">
        <v>237</v>
      </c>
      <c r="O894" s="27">
        <v>46064</v>
      </c>
    </row>
    <row r="895" spans="2:15" hidden="1" x14ac:dyDescent="0.3">
      <c r="B895">
        <v>591394</v>
      </c>
      <c r="C895" t="s">
        <v>231</v>
      </c>
      <c r="D895">
        <v>69493</v>
      </c>
      <c r="E895" t="s">
        <v>150</v>
      </c>
      <c r="F895" t="s">
        <v>319</v>
      </c>
      <c r="G895" s="28">
        <v>74</v>
      </c>
      <c r="H895" s="32">
        <v>12.05</v>
      </c>
      <c r="I895" s="32">
        <v>2998.59</v>
      </c>
      <c r="J895" t="s">
        <v>239</v>
      </c>
      <c r="K895" t="s">
        <v>245</v>
      </c>
      <c r="L895" t="s">
        <v>235</v>
      </c>
      <c r="M895" t="s">
        <v>236</v>
      </c>
      <c r="N895" t="s">
        <v>240</v>
      </c>
      <c r="O895" s="27">
        <v>46063</v>
      </c>
    </row>
    <row r="896" spans="2:15" hidden="1" x14ac:dyDescent="0.3">
      <c r="B896">
        <v>6901714</v>
      </c>
      <c r="C896" t="s">
        <v>260</v>
      </c>
      <c r="D896">
        <v>71997</v>
      </c>
      <c r="E896" t="s">
        <v>150</v>
      </c>
      <c r="F896" t="s">
        <v>282</v>
      </c>
      <c r="G896" s="28">
        <v>51</v>
      </c>
      <c r="H896" s="32">
        <v>12.05</v>
      </c>
      <c r="I896" s="32">
        <v>2605.2600000000002</v>
      </c>
      <c r="J896" t="s">
        <v>239</v>
      </c>
      <c r="K896" t="s">
        <v>245</v>
      </c>
      <c r="L896" t="s">
        <v>235</v>
      </c>
      <c r="M896" t="s">
        <v>236</v>
      </c>
      <c r="N896" t="s">
        <v>240</v>
      </c>
      <c r="O896" s="27">
        <v>46063</v>
      </c>
    </row>
    <row r="897" spans="2:15" hidden="1" x14ac:dyDescent="0.3">
      <c r="B897">
        <v>2569374</v>
      </c>
      <c r="C897" t="s">
        <v>231</v>
      </c>
      <c r="D897">
        <v>71997</v>
      </c>
      <c r="E897" t="s">
        <v>150</v>
      </c>
      <c r="F897" t="s">
        <v>287</v>
      </c>
      <c r="G897" s="28">
        <v>72</v>
      </c>
      <c r="H897" s="32">
        <v>11.91</v>
      </c>
      <c r="I897" s="32">
        <v>2258.5</v>
      </c>
      <c r="J897" t="s">
        <v>239</v>
      </c>
      <c r="K897" t="s">
        <v>245</v>
      </c>
      <c r="L897" t="s">
        <v>235</v>
      </c>
      <c r="M897" t="s">
        <v>236</v>
      </c>
      <c r="N897" t="s">
        <v>237</v>
      </c>
      <c r="O897" s="27">
        <v>46063</v>
      </c>
    </row>
    <row r="898" spans="2:15" hidden="1" x14ac:dyDescent="0.3">
      <c r="B898">
        <v>4238598</v>
      </c>
      <c r="C898" t="s">
        <v>231</v>
      </c>
      <c r="D898">
        <v>38517</v>
      </c>
      <c r="E898" t="s">
        <v>150</v>
      </c>
      <c r="F898" t="s">
        <v>271</v>
      </c>
      <c r="G898" s="28">
        <v>81</v>
      </c>
      <c r="H898" s="32">
        <v>11.91</v>
      </c>
      <c r="I898" s="32">
        <v>1495.49</v>
      </c>
      <c r="J898" t="s">
        <v>239</v>
      </c>
      <c r="K898" t="s">
        <v>245</v>
      </c>
      <c r="L898" t="s">
        <v>235</v>
      </c>
      <c r="M898" t="s">
        <v>236</v>
      </c>
      <c r="N898" t="s">
        <v>237</v>
      </c>
      <c r="O898" s="27">
        <v>46063</v>
      </c>
    </row>
    <row r="899" spans="2:15" hidden="1" x14ac:dyDescent="0.3">
      <c r="B899">
        <v>5377617</v>
      </c>
      <c r="C899" t="s">
        <v>231</v>
      </c>
      <c r="D899">
        <v>21559</v>
      </c>
      <c r="E899" t="s">
        <v>150</v>
      </c>
      <c r="F899" t="s">
        <v>340</v>
      </c>
      <c r="G899" s="28">
        <v>36</v>
      </c>
      <c r="H899" s="32">
        <v>11.9</v>
      </c>
      <c r="I899" s="32">
        <v>2113.1999999999998</v>
      </c>
      <c r="J899" t="s">
        <v>330</v>
      </c>
      <c r="K899" t="s">
        <v>234</v>
      </c>
      <c r="L899" t="s">
        <v>235</v>
      </c>
      <c r="M899" t="s">
        <v>236</v>
      </c>
      <c r="N899" t="s">
        <v>237</v>
      </c>
      <c r="O899" s="27">
        <v>46065</v>
      </c>
    </row>
    <row r="900" spans="2:15" hidden="1" x14ac:dyDescent="0.3">
      <c r="B900">
        <v>8810663</v>
      </c>
      <c r="C900" t="s">
        <v>231</v>
      </c>
      <c r="D900">
        <v>72444</v>
      </c>
      <c r="E900" t="s">
        <v>150</v>
      </c>
      <c r="F900" t="s">
        <v>277</v>
      </c>
      <c r="G900" s="28">
        <v>42</v>
      </c>
      <c r="H900" s="32">
        <v>11.9</v>
      </c>
      <c r="I900" s="32">
        <v>1523.98</v>
      </c>
      <c r="J900" t="s">
        <v>239</v>
      </c>
      <c r="K900" t="s">
        <v>245</v>
      </c>
      <c r="L900" t="s">
        <v>235</v>
      </c>
      <c r="M900" t="s">
        <v>236</v>
      </c>
      <c r="N900" t="s">
        <v>237</v>
      </c>
      <c r="O900" s="27">
        <v>46055</v>
      </c>
    </row>
    <row r="901" spans="2:15" hidden="1" x14ac:dyDescent="0.3">
      <c r="B901">
        <v>310157</v>
      </c>
      <c r="C901" t="s">
        <v>231</v>
      </c>
      <c r="D901">
        <v>68542</v>
      </c>
      <c r="E901" t="s">
        <v>150</v>
      </c>
      <c r="F901" t="s">
        <v>367</v>
      </c>
      <c r="G901" s="28">
        <v>109</v>
      </c>
      <c r="H901" s="32">
        <v>11.86</v>
      </c>
      <c r="I901" s="32">
        <v>10211.719999999999</v>
      </c>
      <c r="J901" t="s">
        <v>267</v>
      </c>
      <c r="K901" t="s">
        <v>245</v>
      </c>
      <c r="L901" t="s">
        <v>235</v>
      </c>
      <c r="M901" t="s">
        <v>236</v>
      </c>
      <c r="N901" t="s">
        <v>237</v>
      </c>
      <c r="O901" s="27">
        <v>46057</v>
      </c>
    </row>
    <row r="902" spans="2:15" hidden="1" x14ac:dyDescent="0.3">
      <c r="B902">
        <v>5567161</v>
      </c>
      <c r="C902" t="s">
        <v>231</v>
      </c>
      <c r="D902">
        <v>24415</v>
      </c>
      <c r="E902" t="s">
        <v>150</v>
      </c>
      <c r="F902" t="s">
        <v>361</v>
      </c>
      <c r="G902" s="28">
        <v>62</v>
      </c>
      <c r="H902" s="32">
        <v>11.86</v>
      </c>
      <c r="I902" s="32">
        <v>2307.02</v>
      </c>
      <c r="J902" t="s">
        <v>330</v>
      </c>
      <c r="K902" t="s">
        <v>245</v>
      </c>
      <c r="L902" t="s">
        <v>235</v>
      </c>
      <c r="M902" t="s">
        <v>236</v>
      </c>
      <c r="N902" t="s">
        <v>240</v>
      </c>
      <c r="O902" s="27">
        <v>46063</v>
      </c>
    </row>
    <row r="903" spans="2:15" hidden="1" x14ac:dyDescent="0.3">
      <c r="B903">
        <v>11824888</v>
      </c>
      <c r="C903" t="s">
        <v>231</v>
      </c>
      <c r="D903">
        <v>71881</v>
      </c>
      <c r="E903" t="s">
        <v>150</v>
      </c>
      <c r="F903" t="s">
        <v>319</v>
      </c>
      <c r="G903" s="28">
        <v>73</v>
      </c>
      <c r="H903" s="32">
        <v>11.86</v>
      </c>
      <c r="I903" s="32">
        <v>2958</v>
      </c>
      <c r="J903" t="s">
        <v>239</v>
      </c>
      <c r="K903" t="s">
        <v>245</v>
      </c>
      <c r="L903" t="s">
        <v>235</v>
      </c>
      <c r="M903" t="s">
        <v>236</v>
      </c>
      <c r="N903" t="s">
        <v>240</v>
      </c>
      <c r="O903" s="27">
        <v>46063</v>
      </c>
    </row>
    <row r="904" spans="2:15" hidden="1" x14ac:dyDescent="0.3">
      <c r="B904">
        <v>2410665</v>
      </c>
      <c r="C904" t="s">
        <v>231</v>
      </c>
      <c r="D904">
        <v>21559</v>
      </c>
      <c r="E904" t="s">
        <v>150</v>
      </c>
      <c r="F904" t="s">
        <v>282</v>
      </c>
      <c r="G904" s="28">
        <v>48</v>
      </c>
      <c r="H904" s="32">
        <v>11.85</v>
      </c>
      <c r="I904" s="32">
        <v>2451.88</v>
      </c>
      <c r="J904" t="s">
        <v>239</v>
      </c>
      <c r="K904" t="s">
        <v>245</v>
      </c>
      <c r="L904" t="s">
        <v>235</v>
      </c>
      <c r="M904" t="s">
        <v>236</v>
      </c>
      <c r="N904" t="s">
        <v>240</v>
      </c>
      <c r="O904" s="27">
        <v>46063</v>
      </c>
    </row>
    <row r="905" spans="2:15" hidden="1" x14ac:dyDescent="0.3">
      <c r="B905">
        <v>2410665</v>
      </c>
      <c r="C905" t="s">
        <v>231</v>
      </c>
      <c r="D905">
        <v>21559</v>
      </c>
      <c r="E905" t="s">
        <v>150</v>
      </c>
      <c r="F905" t="s">
        <v>163</v>
      </c>
      <c r="G905" s="28">
        <v>65</v>
      </c>
      <c r="H905" s="32">
        <v>11.84</v>
      </c>
      <c r="I905" s="32">
        <v>907.47</v>
      </c>
      <c r="J905" t="s">
        <v>239</v>
      </c>
      <c r="K905" t="s">
        <v>245</v>
      </c>
      <c r="L905" t="s">
        <v>235</v>
      </c>
      <c r="M905" t="s">
        <v>236</v>
      </c>
      <c r="N905" t="s">
        <v>237</v>
      </c>
      <c r="O905" s="27">
        <v>46063</v>
      </c>
    </row>
    <row r="906" spans="2:15" hidden="1" x14ac:dyDescent="0.3">
      <c r="B906">
        <v>5740954</v>
      </c>
      <c r="C906" t="s">
        <v>260</v>
      </c>
      <c r="D906">
        <v>23648</v>
      </c>
      <c r="E906" t="s">
        <v>150</v>
      </c>
      <c r="F906" t="s">
        <v>282</v>
      </c>
      <c r="G906" s="28">
        <v>26</v>
      </c>
      <c r="H906" s="32">
        <v>11.78</v>
      </c>
      <c r="I906" s="32">
        <v>1322.38</v>
      </c>
      <c r="J906" t="s">
        <v>239</v>
      </c>
      <c r="K906" t="s">
        <v>245</v>
      </c>
      <c r="L906" t="s">
        <v>235</v>
      </c>
      <c r="M906" t="s">
        <v>236</v>
      </c>
      <c r="N906" t="s">
        <v>240</v>
      </c>
      <c r="O906" s="27">
        <v>46055</v>
      </c>
    </row>
    <row r="907" spans="2:15" hidden="1" x14ac:dyDescent="0.3">
      <c r="B907">
        <v>2340782</v>
      </c>
      <c r="C907" t="s">
        <v>231</v>
      </c>
      <c r="D907">
        <v>49894</v>
      </c>
      <c r="E907" t="s">
        <v>150</v>
      </c>
      <c r="F907" t="s">
        <v>163</v>
      </c>
      <c r="G907" s="28">
        <v>63</v>
      </c>
      <c r="H907" s="32">
        <v>11.75</v>
      </c>
      <c r="I907" s="32">
        <v>879.56</v>
      </c>
      <c r="J907" t="s">
        <v>239</v>
      </c>
      <c r="K907" t="s">
        <v>245</v>
      </c>
      <c r="L907" t="s">
        <v>235</v>
      </c>
      <c r="M907" t="s">
        <v>236</v>
      </c>
      <c r="N907" t="s">
        <v>237</v>
      </c>
      <c r="O907" s="27">
        <v>46063</v>
      </c>
    </row>
    <row r="908" spans="2:15" hidden="1" x14ac:dyDescent="0.3">
      <c r="B908">
        <v>2747758</v>
      </c>
      <c r="C908" t="s">
        <v>231</v>
      </c>
      <c r="D908">
        <v>96553</v>
      </c>
      <c r="E908" t="s">
        <v>150</v>
      </c>
      <c r="F908" t="s">
        <v>163</v>
      </c>
      <c r="G908" s="28">
        <v>62</v>
      </c>
      <c r="H908" s="32">
        <v>11.72</v>
      </c>
      <c r="I908" s="32">
        <v>865.62</v>
      </c>
      <c r="J908" t="s">
        <v>239</v>
      </c>
      <c r="K908" t="s">
        <v>245</v>
      </c>
      <c r="L908" t="s">
        <v>235</v>
      </c>
      <c r="M908" t="s">
        <v>236</v>
      </c>
      <c r="N908" t="s">
        <v>237</v>
      </c>
      <c r="O908" s="27">
        <v>46063</v>
      </c>
    </row>
    <row r="909" spans="2:15" hidden="1" x14ac:dyDescent="0.3">
      <c r="B909">
        <v>5933489</v>
      </c>
      <c r="C909" t="s">
        <v>231</v>
      </c>
      <c r="D909">
        <v>23648</v>
      </c>
      <c r="E909" t="s">
        <v>150</v>
      </c>
      <c r="F909" t="s">
        <v>282</v>
      </c>
      <c r="G909" s="28">
        <v>49</v>
      </c>
      <c r="H909" s="32">
        <v>11.68</v>
      </c>
      <c r="I909" s="32">
        <v>2503.23</v>
      </c>
      <c r="J909" t="s">
        <v>239</v>
      </c>
      <c r="K909" t="s">
        <v>245</v>
      </c>
      <c r="L909" t="s">
        <v>235</v>
      </c>
      <c r="M909" t="s">
        <v>236</v>
      </c>
      <c r="N909" t="s">
        <v>240</v>
      </c>
      <c r="O909" s="27">
        <v>46063</v>
      </c>
    </row>
    <row r="910" spans="2:15" hidden="1" x14ac:dyDescent="0.3">
      <c r="B910">
        <v>15255517</v>
      </c>
      <c r="C910" t="s">
        <v>231</v>
      </c>
      <c r="D910">
        <v>23648</v>
      </c>
      <c r="E910" t="s">
        <v>150</v>
      </c>
      <c r="F910" t="s">
        <v>340</v>
      </c>
      <c r="G910" s="28">
        <v>35</v>
      </c>
      <c r="H910" s="32">
        <v>11.63</v>
      </c>
      <c r="I910" s="32">
        <v>2063.6</v>
      </c>
      <c r="J910" t="s">
        <v>330</v>
      </c>
      <c r="K910" t="s">
        <v>234</v>
      </c>
      <c r="L910" t="s">
        <v>235</v>
      </c>
      <c r="M910" t="s">
        <v>236</v>
      </c>
      <c r="N910" t="s">
        <v>237</v>
      </c>
      <c r="O910" s="27">
        <v>46064</v>
      </c>
    </row>
    <row r="911" spans="2:15" hidden="1" x14ac:dyDescent="0.3">
      <c r="B911">
        <v>310157</v>
      </c>
      <c r="C911" t="s">
        <v>231</v>
      </c>
      <c r="D911">
        <v>68542</v>
      </c>
      <c r="E911" t="s">
        <v>150</v>
      </c>
      <c r="F911" t="s">
        <v>301</v>
      </c>
      <c r="G911" s="28">
        <v>127</v>
      </c>
      <c r="H911" s="32">
        <v>11.63</v>
      </c>
      <c r="I911" s="32">
        <v>1020.55</v>
      </c>
      <c r="J911" t="s">
        <v>267</v>
      </c>
      <c r="K911" t="s">
        <v>245</v>
      </c>
      <c r="L911" t="s">
        <v>235</v>
      </c>
      <c r="M911" t="s">
        <v>236</v>
      </c>
      <c r="N911" t="s">
        <v>240</v>
      </c>
      <c r="O911" s="27">
        <v>46057</v>
      </c>
    </row>
    <row r="912" spans="2:15" hidden="1" x14ac:dyDescent="0.3">
      <c r="B912">
        <v>8781959</v>
      </c>
      <c r="C912" t="s">
        <v>231</v>
      </c>
      <c r="D912">
        <v>72444</v>
      </c>
      <c r="E912" t="s">
        <v>150</v>
      </c>
      <c r="F912" t="s">
        <v>298</v>
      </c>
      <c r="G912" s="28">
        <v>59</v>
      </c>
      <c r="H912" s="32">
        <v>11.62</v>
      </c>
      <c r="I912" s="32">
        <v>1027.19</v>
      </c>
      <c r="J912" t="s">
        <v>239</v>
      </c>
      <c r="K912" t="s">
        <v>245</v>
      </c>
      <c r="L912" t="s">
        <v>235</v>
      </c>
      <c r="M912" t="s">
        <v>236</v>
      </c>
      <c r="N912" t="s">
        <v>237</v>
      </c>
      <c r="O912" s="27">
        <v>46063</v>
      </c>
    </row>
    <row r="913" spans="2:15" hidden="1" x14ac:dyDescent="0.3">
      <c r="B913">
        <v>11493548</v>
      </c>
      <c r="C913" t="s">
        <v>231</v>
      </c>
      <c r="D913">
        <v>38517</v>
      </c>
      <c r="E913" t="s">
        <v>150</v>
      </c>
      <c r="F913" t="s">
        <v>369</v>
      </c>
      <c r="G913" s="28">
        <v>42</v>
      </c>
      <c r="H913" s="32">
        <v>11.62</v>
      </c>
      <c r="I913" s="32">
        <v>2314.46</v>
      </c>
      <c r="J913" t="s">
        <v>239</v>
      </c>
      <c r="K913" t="s">
        <v>245</v>
      </c>
      <c r="L913" t="s">
        <v>235</v>
      </c>
      <c r="M913" t="s">
        <v>236</v>
      </c>
      <c r="N913" t="s">
        <v>240</v>
      </c>
      <c r="O913" s="27">
        <v>46063</v>
      </c>
    </row>
    <row r="914" spans="2:15" hidden="1" x14ac:dyDescent="0.3">
      <c r="B914">
        <v>18984587</v>
      </c>
      <c r="C914" t="s">
        <v>260</v>
      </c>
      <c r="D914">
        <v>21559</v>
      </c>
      <c r="E914" t="s">
        <v>150</v>
      </c>
      <c r="F914" t="s">
        <v>340</v>
      </c>
      <c r="G914" s="28">
        <v>35</v>
      </c>
      <c r="H914" s="32">
        <v>11.6</v>
      </c>
      <c r="I914" s="32">
        <v>2060.38</v>
      </c>
      <c r="J914" t="s">
        <v>330</v>
      </c>
      <c r="K914" t="s">
        <v>234</v>
      </c>
      <c r="L914" t="s">
        <v>235</v>
      </c>
      <c r="M914" t="s">
        <v>236</v>
      </c>
      <c r="N914" t="s">
        <v>237</v>
      </c>
      <c r="O914" s="27">
        <v>46065</v>
      </c>
    </row>
    <row r="915" spans="2:15" hidden="1" x14ac:dyDescent="0.3">
      <c r="B915">
        <v>3065087</v>
      </c>
      <c r="C915" t="s">
        <v>231</v>
      </c>
      <c r="D915">
        <v>22674</v>
      </c>
      <c r="E915" t="s">
        <v>150</v>
      </c>
      <c r="F915" t="s">
        <v>163</v>
      </c>
      <c r="G915" s="28">
        <v>61</v>
      </c>
      <c r="H915" s="32">
        <v>11.59</v>
      </c>
      <c r="I915" s="32">
        <v>851.57</v>
      </c>
      <c r="J915" t="s">
        <v>239</v>
      </c>
      <c r="K915" t="s">
        <v>245</v>
      </c>
      <c r="L915" t="s">
        <v>235</v>
      </c>
      <c r="M915" t="s">
        <v>236</v>
      </c>
      <c r="N915" t="s">
        <v>237</v>
      </c>
      <c r="O915" s="27">
        <v>46063</v>
      </c>
    </row>
    <row r="916" spans="2:15" hidden="1" x14ac:dyDescent="0.3">
      <c r="B916">
        <v>4415330</v>
      </c>
      <c r="C916" t="s">
        <v>260</v>
      </c>
      <c r="D916">
        <v>22674</v>
      </c>
      <c r="E916" t="s">
        <v>150</v>
      </c>
      <c r="F916" t="s">
        <v>282</v>
      </c>
      <c r="G916" s="28">
        <v>48</v>
      </c>
      <c r="H916" s="32">
        <v>11.59</v>
      </c>
      <c r="I916" s="32">
        <v>2451.88</v>
      </c>
      <c r="J916" t="s">
        <v>239</v>
      </c>
      <c r="K916" t="s">
        <v>245</v>
      </c>
      <c r="L916" t="s">
        <v>235</v>
      </c>
      <c r="M916" t="s">
        <v>236</v>
      </c>
      <c r="N916" t="s">
        <v>240</v>
      </c>
      <c r="O916" s="27">
        <v>46063</v>
      </c>
    </row>
    <row r="917" spans="2:15" hidden="1" x14ac:dyDescent="0.3">
      <c r="B917">
        <v>8810663</v>
      </c>
      <c r="C917" t="s">
        <v>231</v>
      </c>
      <c r="D917">
        <v>72444</v>
      </c>
      <c r="E917" t="s">
        <v>150</v>
      </c>
      <c r="F917" t="s">
        <v>289</v>
      </c>
      <c r="G917" s="28">
        <v>69</v>
      </c>
      <c r="H917" s="32">
        <v>11.58</v>
      </c>
      <c r="I917" s="32">
        <v>1482.53</v>
      </c>
      <c r="J917" t="s">
        <v>239</v>
      </c>
      <c r="K917" t="s">
        <v>245</v>
      </c>
      <c r="L917" t="s">
        <v>235</v>
      </c>
      <c r="M917" t="s">
        <v>236</v>
      </c>
      <c r="N917" t="s">
        <v>237</v>
      </c>
      <c r="O917" s="27">
        <v>46055</v>
      </c>
    </row>
    <row r="918" spans="2:15" hidden="1" x14ac:dyDescent="0.3">
      <c r="B918">
        <v>2496015</v>
      </c>
      <c r="C918" t="s">
        <v>231</v>
      </c>
      <c r="D918">
        <v>38517</v>
      </c>
      <c r="E918" t="s">
        <v>150</v>
      </c>
      <c r="F918" t="s">
        <v>282</v>
      </c>
      <c r="G918" s="28">
        <v>71</v>
      </c>
      <c r="H918" s="32">
        <v>11.54</v>
      </c>
      <c r="I918" s="32">
        <v>3627.11</v>
      </c>
      <c r="J918" t="s">
        <v>239</v>
      </c>
      <c r="K918" t="s">
        <v>245</v>
      </c>
      <c r="L918" t="s">
        <v>235</v>
      </c>
      <c r="M918" t="s">
        <v>236</v>
      </c>
      <c r="N918" t="s">
        <v>240</v>
      </c>
      <c r="O918" s="27">
        <v>46063</v>
      </c>
    </row>
    <row r="919" spans="2:15" hidden="1" x14ac:dyDescent="0.3">
      <c r="B919">
        <v>14521528</v>
      </c>
      <c r="C919" t="s">
        <v>260</v>
      </c>
      <c r="D919">
        <v>25619</v>
      </c>
      <c r="E919" t="s">
        <v>150</v>
      </c>
      <c r="F919" t="s">
        <v>246</v>
      </c>
      <c r="G919" s="28">
        <v>50</v>
      </c>
      <c r="H919" s="32">
        <v>11.51</v>
      </c>
      <c r="I919" s="32">
        <v>1857.42</v>
      </c>
      <c r="J919" t="s">
        <v>239</v>
      </c>
      <c r="K919" t="s">
        <v>245</v>
      </c>
      <c r="L919" t="s">
        <v>235</v>
      </c>
      <c r="M919" t="s">
        <v>236</v>
      </c>
      <c r="N919" t="s">
        <v>237</v>
      </c>
      <c r="O919" s="27">
        <v>46063</v>
      </c>
    </row>
    <row r="920" spans="2:15" hidden="1" x14ac:dyDescent="0.3">
      <c r="B920">
        <v>4686193</v>
      </c>
      <c r="C920" t="s">
        <v>231</v>
      </c>
      <c r="D920">
        <v>21468</v>
      </c>
      <c r="E920" t="s">
        <v>150</v>
      </c>
      <c r="F920" t="s">
        <v>163</v>
      </c>
      <c r="G920" s="28">
        <v>61</v>
      </c>
      <c r="H920" s="32">
        <v>11.49</v>
      </c>
      <c r="I920" s="32">
        <v>851.57</v>
      </c>
      <c r="J920" t="s">
        <v>239</v>
      </c>
      <c r="K920" t="s">
        <v>245</v>
      </c>
      <c r="L920" t="s">
        <v>235</v>
      </c>
      <c r="M920" t="s">
        <v>236</v>
      </c>
      <c r="N920" t="s">
        <v>237</v>
      </c>
      <c r="O920" s="27">
        <v>46063</v>
      </c>
    </row>
    <row r="921" spans="2:15" hidden="1" x14ac:dyDescent="0.3">
      <c r="B921">
        <v>440722</v>
      </c>
      <c r="C921" t="s">
        <v>231</v>
      </c>
      <c r="D921">
        <v>21468</v>
      </c>
      <c r="E921" t="s">
        <v>150</v>
      </c>
      <c r="F921" t="s">
        <v>282</v>
      </c>
      <c r="G921" s="28">
        <v>32</v>
      </c>
      <c r="H921" s="32">
        <v>11.47</v>
      </c>
      <c r="I921" s="32">
        <v>1627.55</v>
      </c>
      <c r="J921" t="s">
        <v>239</v>
      </c>
      <c r="K921" t="s">
        <v>245</v>
      </c>
      <c r="L921" t="s">
        <v>235</v>
      </c>
      <c r="M921" t="s">
        <v>236</v>
      </c>
      <c r="N921" t="s">
        <v>240</v>
      </c>
      <c r="O921" s="27">
        <v>46055</v>
      </c>
    </row>
    <row r="922" spans="2:15" hidden="1" x14ac:dyDescent="0.3">
      <c r="B922">
        <v>215083</v>
      </c>
      <c r="C922" t="s">
        <v>231</v>
      </c>
      <c r="D922">
        <v>23410</v>
      </c>
      <c r="E922" t="s">
        <v>150</v>
      </c>
      <c r="F922" t="s">
        <v>276</v>
      </c>
      <c r="G922" s="28">
        <v>67</v>
      </c>
      <c r="H922" s="32">
        <v>11.46</v>
      </c>
      <c r="I922" s="32">
        <v>2028.15</v>
      </c>
      <c r="J922" t="s">
        <v>239</v>
      </c>
      <c r="K922" t="s">
        <v>245</v>
      </c>
      <c r="L922" t="s">
        <v>235</v>
      </c>
      <c r="M922" t="s">
        <v>236</v>
      </c>
      <c r="N922" t="s">
        <v>240</v>
      </c>
      <c r="O922" s="27">
        <v>46055</v>
      </c>
    </row>
    <row r="923" spans="2:15" hidden="1" x14ac:dyDescent="0.3">
      <c r="B923">
        <v>3845505</v>
      </c>
      <c r="C923" t="s">
        <v>260</v>
      </c>
      <c r="D923">
        <v>22674</v>
      </c>
      <c r="E923" t="s">
        <v>150</v>
      </c>
      <c r="F923" t="s">
        <v>271</v>
      </c>
      <c r="G923" s="28">
        <v>100</v>
      </c>
      <c r="H923" s="32">
        <v>11.44</v>
      </c>
      <c r="I923" s="32">
        <v>1824</v>
      </c>
      <c r="J923" t="s">
        <v>239</v>
      </c>
      <c r="K923" t="s">
        <v>234</v>
      </c>
      <c r="L923" t="s">
        <v>235</v>
      </c>
      <c r="M923" t="s">
        <v>236</v>
      </c>
      <c r="N923" t="s">
        <v>237</v>
      </c>
      <c r="O923" s="27">
        <v>46056</v>
      </c>
    </row>
    <row r="924" spans="2:15" hidden="1" x14ac:dyDescent="0.3">
      <c r="B924">
        <v>4339096</v>
      </c>
      <c r="C924" t="s">
        <v>231</v>
      </c>
      <c r="D924">
        <v>25619</v>
      </c>
      <c r="E924" t="s">
        <v>150</v>
      </c>
      <c r="F924" t="s">
        <v>369</v>
      </c>
      <c r="G924" s="28">
        <v>40</v>
      </c>
      <c r="H924" s="32">
        <v>11.4</v>
      </c>
      <c r="I924" s="32">
        <v>2204.3000000000002</v>
      </c>
      <c r="J924" t="s">
        <v>239</v>
      </c>
      <c r="K924" t="s">
        <v>245</v>
      </c>
      <c r="L924" t="s">
        <v>235</v>
      </c>
      <c r="M924" t="s">
        <v>236</v>
      </c>
      <c r="N924" t="s">
        <v>240</v>
      </c>
      <c r="O924" s="27">
        <v>46063</v>
      </c>
    </row>
    <row r="925" spans="2:15" hidden="1" x14ac:dyDescent="0.3">
      <c r="B925">
        <v>5263260</v>
      </c>
      <c r="C925" t="s">
        <v>231</v>
      </c>
      <c r="D925">
        <v>23648</v>
      </c>
      <c r="E925" t="s">
        <v>150</v>
      </c>
      <c r="F925" t="s">
        <v>298</v>
      </c>
      <c r="G925" s="28">
        <v>45</v>
      </c>
      <c r="H925" s="32">
        <v>11.39</v>
      </c>
      <c r="I925" s="32">
        <v>783.53</v>
      </c>
      <c r="J925" t="s">
        <v>239</v>
      </c>
      <c r="K925" t="s">
        <v>245</v>
      </c>
      <c r="L925" t="s">
        <v>235</v>
      </c>
      <c r="M925" t="s">
        <v>236</v>
      </c>
      <c r="N925" t="s">
        <v>237</v>
      </c>
      <c r="O925" s="27">
        <v>46063</v>
      </c>
    </row>
    <row r="926" spans="2:15" hidden="1" x14ac:dyDescent="0.3">
      <c r="B926">
        <v>2255037</v>
      </c>
      <c r="C926" t="s">
        <v>231</v>
      </c>
      <c r="D926">
        <v>22674</v>
      </c>
      <c r="E926" t="s">
        <v>150</v>
      </c>
      <c r="F926" t="s">
        <v>163</v>
      </c>
      <c r="G926" s="28">
        <v>59</v>
      </c>
      <c r="H926" s="32">
        <v>11.36</v>
      </c>
      <c r="I926" s="32">
        <v>823.68</v>
      </c>
      <c r="J926" t="s">
        <v>239</v>
      </c>
      <c r="K926" t="s">
        <v>245</v>
      </c>
      <c r="L926" t="s">
        <v>235</v>
      </c>
      <c r="M926" t="s">
        <v>236</v>
      </c>
      <c r="N926" t="s">
        <v>237</v>
      </c>
      <c r="O926" s="27">
        <v>46063</v>
      </c>
    </row>
    <row r="927" spans="2:15" hidden="1" x14ac:dyDescent="0.3">
      <c r="B927">
        <v>12025620</v>
      </c>
      <c r="C927" t="s">
        <v>231</v>
      </c>
      <c r="D927">
        <v>38517</v>
      </c>
      <c r="E927" t="s">
        <v>150</v>
      </c>
      <c r="F927" t="s">
        <v>282</v>
      </c>
      <c r="G927" s="28">
        <v>46</v>
      </c>
      <c r="H927" s="32">
        <v>11.35</v>
      </c>
      <c r="I927" s="32">
        <v>2349.98</v>
      </c>
      <c r="J927" t="s">
        <v>239</v>
      </c>
      <c r="K927" t="s">
        <v>245</v>
      </c>
      <c r="L927" t="s">
        <v>235</v>
      </c>
      <c r="M927" t="s">
        <v>236</v>
      </c>
      <c r="N927" t="s">
        <v>240</v>
      </c>
      <c r="O927" s="27">
        <v>46063</v>
      </c>
    </row>
    <row r="928" spans="2:15" hidden="1" x14ac:dyDescent="0.3">
      <c r="B928">
        <v>238658</v>
      </c>
      <c r="C928" t="s">
        <v>231</v>
      </c>
      <c r="D928">
        <v>21468</v>
      </c>
      <c r="E928" t="s">
        <v>150</v>
      </c>
      <c r="F928" t="s">
        <v>164</v>
      </c>
      <c r="G928" s="28">
        <v>62</v>
      </c>
      <c r="H928" s="32">
        <v>11.35</v>
      </c>
      <c r="I928" s="32">
        <v>3014.33</v>
      </c>
      <c r="J928" t="s">
        <v>239</v>
      </c>
      <c r="K928" t="s">
        <v>245</v>
      </c>
      <c r="L928" t="s">
        <v>235</v>
      </c>
      <c r="M928" t="s">
        <v>236</v>
      </c>
      <c r="N928" t="s">
        <v>240</v>
      </c>
      <c r="O928" s="27">
        <v>46063</v>
      </c>
    </row>
    <row r="929" spans="2:15" hidden="1" x14ac:dyDescent="0.3">
      <c r="B929">
        <v>2340782</v>
      </c>
      <c r="C929" t="s">
        <v>231</v>
      </c>
      <c r="D929">
        <v>49894</v>
      </c>
      <c r="E929" t="s">
        <v>150</v>
      </c>
      <c r="F929" t="s">
        <v>369</v>
      </c>
      <c r="G929" s="28">
        <v>39</v>
      </c>
      <c r="H929" s="32">
        <v>11.33</v>
      </c>
      <c r="I929" s="32">
        <v>2149.06</v>
      </c>
      <c r="J929" t="s">
        <v>239</v>
      </c>
      <c r="K929" t="s">
        <v>245</v>
      </c>
      <c r="L929" t="s">
        <v>235</v>
      </c>
      <c r="M929" t="s">
        <v>236</v>
      </c>
      <c r="N929" t="s">
        <v>240</v>
      </c>
      <c r="O929" s="27">
        <v>46063</v>
      </c>
    </row>
    <row r="930" spans="2:15" hidden="1" x14ac:dyDescent="0.3">
      <c r="B930">
        <v>2727239</v>
      </c>
      <c r="C930" t="s">
        <v>231</v>
      </c>
      <c r="D930">
        <v>21559</v>
      </c>
      <c r="E930" t="s">
        <v>150</v>
      </c>
      <c r="F930" t="s">
        <v>340</v>
      </c>
      <c r="G930" s="28">
        <v>34</v>
      </c>
      <c r="H930" s="32">
        <v>11.32</v>
      </c>
      <c r="I930" s="32">
        <v>2008.72</v>
      </c>
      <c r="J930" t="s">
        <v>330</v>
      </c>
      <c r="K930" t="s">
        <v>234</v>
      </c>
      <c r="L930" t="s">
        <v>235</v>
      </c>
      <c r="M930" t="s">
        <v>236</v>
      </c>
      <c r="N930" t="s">
        <v>237</v>
      </c>
      <c r="O930" s="27">
        <v>46065</v>
      </c>
    </row>
    <row r="931" spans="2:15" hidden="1" x14ac:dyDescent="0.3">
      <c r="B931">
        <v>5933489</v>
      </c>
      <c r="C931" t="s">
        <v>231</v>
      </c>
      <c r="D931">
        <v>23648</v>
      </c>
      <c r="E931" t="s">
        <v>150</v>
      </c>
      <c r="F931" t="s">
        <v>340</v>
      </c>
      <c r="G931" s="28">
        <v>34</v>
      </c>
      <c r="H931" s="32">
        <v>11.32</v>
      </c>
      <c r="I931" s="32">
        <v>2009.4</v>
      </c>
      <c r="J931" t="s">
        <v>330</v>
      </c>
      <c r="K931" t="s">
        <v>234</v>
      </c>
      <c r="L931" t="s">
        <v>235</v>
      </c>
      <c r="M931" t="s">
        <v>236</v>
      </c>
      <c r="N931" t="s">
        <v>237</v>
      </c>
      <c r="O931" s="27">
        <v>46064</v>
      </c>
    </row>
    <row r="932" spans="2:15" hidden="1" x14ac:dyDescent="0.3">
      <c r="B932">
        <v>8218280</v>
      </c>
      <c r="C932" t="s">
        <v>260</v>
      </c>
      <c r="D932">
        <v>21559</v>
      </c>
      <c r="E932" t="s">
        <v>150</v>
      </c>
      <c r="F932" t="s">
        <v>340</v>
      </c>
      <c r="G932" s="28">
        <v>34</v>
      </c>
      <c r="H932" s="32">
        <v>11.32</v>
      </c>
      <c r="I932" s="32">
        <v>2008.72</v>
      </c>
      <c r="J932" t="s">
        <v>330</v>
      </c>
      <c r="K932" t="s">
        <v>234</v>
      </c>
      <c r="L932" t="s">
        <v>235</v>
      </c>
      <c r="M932" t="s">
        <v>236</v>
      </c>
      <c r="N932" t="s">
        <v>237</v>
      </c>
      <c r="O932" s="27">
        <v>46065</v>
      </c>
    </row>
    <row r="933" spans="2:15" hidden="1" x14ac:dyDescent="0.3">
      <c r="B933">
        <v>4238598</v>
      </c>
      <c r="C933" t="s">
        <v>231</v>
      </c>
      <c r="D933">
        <v>38517</v>
      </c>
      <c r="E933" t="s">
        <v>150</v>
      </c>
      <c r="F933" t="s">
        <v>369</v>
      </c>
      <c r="G933" s="28">
        <v>66</v>
      </c>
      <c r="H933" s="32">
        <v>11.29</v>
      </c>
      <c r="I933" s="32">
        <v>3637.11</v>
      </c>
      <c r="J933" t="s">
        <v>239</v>
      </c>
      <c r="K933" t="s">
        <v>245</v>
      </c>
      <c r="L933" t="s">
        <v>235</v>
      </c>
      <c r="M933" t="s">
        <v>236</v>
      </c>
      <c r="N933" t="s">
        <v>240</v>
      </c>
      <c r="O933" s="27">
        <v>46063</v>
      </c>
    </row>
    <row r="934" spans="2:15" hidden="1" x14ac:dyDescent="0.3">
      <c r="B934">
        <v>11593572</v>
      </c>
      <c r="C934" t="s">
        <v>231</v>
      </c>
      <c r="D934">
        <v>22674</v>
      </c>
      <c r="E934" t="s">
        <v>150</v>
      </c>
      <c r="F934" t="s">
        <v>399</v>
      </c>
      <c r="G934" s="28">
        <v>133</v>
      </c>
      <c r="H934" s="32">
        <v>11.27</v>
      </c>
      <c r="I934" s="32">
        <v>953.94</v>
      </c>
      <c r="J934" t="s">
        <v>267</v>
      </c>
      <c r="K934" t="s">
        <v>245</v>
      </c>
      <c r="L934" t="s">
        <v>235</v>
      </c>
      <c r="M934" t="s">
        <v>236</v>
      </c>
      <c r="N934" t="s">
        <v>237</v>
      </c>
      <c r="O934" s="27">
        <v>46056</v>
      </c>
    </row>
    <row r="935" spans="2:15" hidden="1" x14ac:dyDescent="0.3">
      <c r="B935">
        <v>3430907</v>
      </c>
      <c r="C935" t="s">
        <v>260</v>
      </c>
      <c r="D935">
        <v>21468</v>
      </c>
      <c r="E935" t="s">
        <v>150</v>
      </c>
      <c r="F935" t="s">
        <v>369</v>
      </c>
      <c r="G935" s="28">
        <v>39</v>
      </c>
      <c r="H935" s="32">
        <v>11.24</v>
      </c>
      <c r="I935" s="32">
        <v>2149.06</v>
      </c>
      <c r="J935" t="s">
        <v>239</v>
      </c>
      <c r="K935" t="s">
        <v>245</v>
      </c>
      <c r="L935" t="s">
        <v>235</v>
      </c>
      <c r="M935" t="s">
        <v>236</v>
      </c>
      <c r="N935" t="s">
        <v>240</v>
      </c>
      <c r="O935" s="27">
        <v>46063</v>
      </c>
    </row>
    <row r="936" spans="2:15" hidden="1" x14ac:dyDescent="0.3">
      <c r="B936">
        <v>4078178</v>
      </c>
      <c r="C936" t="s">
        <v>231</v>
      </c>
      <c r="D936">
        <v>49894</v>
      </c>
      <c r="E936" t="s">
        <v>150</v>
      </c>
      <c r="F936" t="s">
        <v>282</v>
      </c>
      <c r="G936" s="28">
        <v>46</v>
      </c>
      <c r="H936" s="32">
        <v>11.23</v>
      </c>
      <c r="I936" s="32">
        <v>2349.98</v>
      </c>
      <c r="J936" t="s">
        <v>239</v>
      </c>
      <c r="K936" t="s">
        <v>245</v>
      </c>
      <c r="L936" t="s">
        <v>235</v>
      </c>
      <c r="M936" t="s">
        <v>236</v>
      </c>
      <c r="N936" t="s">
        <v>240</v>
      </c>
      <c r="O936" s="27">
        <v>46063</v>
      </c>
    </row>
    <row r="937" spans="2:15" hidden="1" x14ac:dyDescent="0.3">
      <c r="B937">
        <v>7372714</v>
      </c>
      <c r="C937" t="s">
        <v>231</v>
      </c>
      <c r="D937">
        <v>22674</v>
      </c>
      <c r="E937" t="s">
        <v>150</v>
      </c>
      <c r="F937" t="s">
        <v>369</v>
      </c>
      <c r="G937" s="28">
        <v>39</v>
      </c>
      <c r="H937" s="32">
        <v>11.22</v>
      </c>
      <c r="I937" s="32">
        <v>2149.06</v>
      </c>
      <c r="J937" t="s">
        <v>239</v>
      </c>
      <c r="K937" t="s">
        <v>245</v>
      </c>
      <c r="L937" t="s">
        <v>235</v>
      </c>
      <c r="M937" t="s">
        <v>236</v>
      </c>
      <c r="N937" t="s">
        <v>240</v>
      </c>
      <c r="O937" s="27">
        <v>46063</v>
      </c>
    </row>
    <row r="938" spans="2:15" hidden="1" x14ac:dyDescent="0.3">
      <c r="B938">
        <v>8230892</v>
      </c>
      <c r="C938" t="s">
        <v>231</v>
      </c>
      <c r="D938">
        <v>69519</v>
      </c>
      <c r="E938" t="s">
        <v>150</v>
      </c>
      <c r="F938" t="s">
        <v>282</v>
      </c>
      <c r="G938" s="28">
        <v>46</v>
      </c>
      <c r="H938" s="32">
        <v>11.21</v>
      </c>
      <c r="I938" s="32">
        <v>2349.98</v>
      </c>
      <c r="J938" t="s">
        <v>239</v>
      </c>
      <c r="K938" t="s">
        <v>245</v>
      </c>
      <c r="L938" t="s">
        <v>235</v>
      </c>
      <c r="M938" t="s">
        <v>236</v>
      </c>
      <c r="N938" t="s">
        <v>240</v>
      </c>
      <c r="O938" s="27">
        <v>46063</v>
      </c>
    </row>
    <row r="939" spans="2:15" hidden="1" x14ac:dyDescent="0.3">
      <c r="B939">
        <v>310157</v>
      </c>
      <c r="C939" t="s">
        <v>231</v>
      </c>
      <c r="D939">
        <v>68542</v>
      </c>
      <c r="E939" t="s">
        <v>150</v>
      </c>
      <c r="F939" t="s">
        <v>353</v>
      </c>
      <c r="G939" s="28">
        <v>122</v>
      </c>
      <c r="H939" s="32">
        <v>11.21</v>
      </c>
      <c r="I939" s="32">
        <v>1133.0999999999999</v>
      </c>
      <c r="J939" t="s">
        <v>267</v>
      </c>
      <c r="K939" t="s">
        <v>245</v>
      </c>
      <c r="L939" t="s">
        <v>235</v>
      </c>
      <c r="M939" t="s">
        <v>236</v>
      </c>
      <c r="N939" t="s">
        <v>237</v>
      </c>
      <c r="O939" s="27">
        <v>46057</v>
      </c>
    </row>
    <row r="940" spans="2:15" hidden="1" x14ac:dyDescent="0.3">
      <c r="B940">
        <v>2091913</v>
      </c>
      <c r="C940" t="s">
        <v>260</v>
      </c>
      <c r="D940">
        <v>49894</v>
      </c>
      <c r="E940" t="s">
        <v>150</v>
      </c>
      <c r="F940" t="s">
        <v>246</v>
      </c>
      <c r="G940" s="28">
        <v>49</v>
      </c>
      <c r="H940" s="32">
        <v>11.21</v>
      </c>
      <c r="I940" s="32">
        <v>1820.15</v>
      </c>
      <c r="J940" t="s">
        <v>239</v>
      </c>
      <c r="K940" t="s">
        <v>245</v>
      </c>
      <c r="L940" t="s">
        <v>235</v>
      </c>
      <c r="M940" t="s">
        <v>236</v>
      </c>
      <c r="N940" t="s">
        <v>237</v>
      </c>
      <c r="O940" s="27">
        <v>46063</v>
      </c>
    </row>
    <row r="941" spans="2:15" hidden="1" x14ac:dyDescent="0.3">
      <c r="B941">
        <v>2470712</v>
      </c>
      <c r="C941" t="s">
        <v>260</v>
      </c>
      <c r="D941">
        <v>72444</v>
      </c>
      <c r="E941" t="s">
        <v>150</v>
      </c>
      <c r="F941" t="s">
        <v>369</v>
      </c>
      <c r="G941" s="28">
        <v>20</v>
      </c>
      <c r="H941" s="32">
        <v>11.2</v>
      </c>
      <c r="I941" s="32">
        <v>1033.73</v>
      </c>
      <c r="J941" t="s">
        <v>239</v>
      </c>
      <c r="K941" t="s">
        <v>245</v>
      </c>
      <c r="L941" t="s">
        <v>235</v>
      </c>
      <c r="M941" t="s">
        <v>236</v>
      </c>
      <c r="N941" t="s">
        <v>240</v>
      </c>
      <c r="O941" s="27">
        <v>46055</v>
      </c>
    </row>
    <row r="942" spans="2:15" hidden="1" x14ac:dyDescent="0.3">
      <c r="B942">
        <v>4051319</v>
      </c>
      <c r="C942" t="s">
        <v>231</v>
      </c>
      <c r="D942">
        <v>22674</v>
      </c>
      <c r="E942" t="s">
        <v>150</v>
      </c>
      <c r="F942" t="s">
        <v>282</v>
      </c>
      <c r="G942" s="28">
        <v>45</v>
      </c>
      <c r="H942" s="32">
        <v>11.19</v>
      </c>
      <c r="I942" s="32">
        <v>2298.77</v>
      </c>
      <c r="J942" t="s">
        <v>239</v>
      </c>
      <c r="K942" t="s">
        <v>245</v>
      </c>
      <c r="L942" t="s">
        <v>235</v>
      </c>
      <c r="M942" t="s">
        <v>236</v>
      </c>
      <c r="N942" t="s">
        <v>240</v>
      </c>
      <c r="O942" s="27">
        <v>46063</v>
      </c>
    </row>
    <row r="943" spans="2:15" hidden="1" x14ac:dyDescent="0.3">
      <c r="B943">
        <v>8810663</v>
      </c>
      <c r="C943" t="s">
        <v>231</v>
      </c>
      <c r="D943">
        <v>72444</v>
      </c>
      <c r="E943" t="s">
        <v>150</v>
      </c>
      <c r="F943" t="s">
        <v>271</v>
      </c>
      <c r="G943" s="28">
        <v>81</v>
      </c>
      <c r="H943" s="32">
        <v>11.17</v>
      </c>
      <c r="I943" s="32">
        <v>1430.17</v>
      </c>
      <c r="J943" t="s">
        <v>239</v>
      </c>
      <c r="K943" t="s">
        <v>245</v>
      </c>
      <c r="L943" t="s">
        <v>235</v>
      </c>
      <c r="M943" t="s">
        <v>236</v>
      </c>
      <c r="N943" t="s">
        <v>237</v>
      </c>
      <c r="O943" s="27">
        <v>46055</v>
      </c>
    </row>
    <row r="944" spans="2:15" hidden="1" x14ac:dyDescent="0.3">
      <c r="B944">
        <v>3274546</v>
      </c>
      <c r="C944" t="s">
        <v>260</v>
      </c>
      <c r="D944">
        <v>22674</v>
      </c>
      <c r="E944" t="s">
        <v>150</v>
      </c>
      <c r="F944" t="s">
        <v>164</v>
      </c>
      <c r="G944" s="28">
        <v>57</v>
      </c>
      <c r="H944" s="32">
        <v>11.16</v>
      </c>
      <c r="I944" s="32">
        <v>2771.04</v>
      </c>
      <c r="J944" t="s">
        <v>239</v>
      </c>
      <c r="K944" t="s">
        <v>245</v>
      </c>
      <c r="L944" t="s">
        <v>235</v>
      </c>
      <c r="M944" t="s">
        <v>236</v>
      </c>
      <c r="N944" t="s">
        <v>237</v>
      </c>
      <c r="O944" s="27">
        <v>46063</v>
      </c>
    </row>
    <row r="945" spans="2:15" hidden="1" x14ac:dyDescent="0.3">
      <c r="B945">
        <v>440722</v>
      </c>
      <c r="C945" t="s">
        <v>231</v>
      </c>
      <c r="D945">
        <v>21468</v>
      </c>
      <c r="E945" t="s">
        <v>150</v>
      </c>
      <c r="F945" t="s">
        <v>298</v>
      </c>
      <c r="G945" s="28">
        <v>91</v>
      </c>
      <c r="H945" s="32">
        <v>11.15</v>
      </c>
      <c r="I945" s="32">
        <v>1578.94</v>
      </c>
      <c r="J945" t="s">
        <v>239</v>
      </c>
      <c r="K945" t="s">
        <v>245</v>
      </c>
      <c r="L945" t="s">
        <v>235</v>
      </c>
      <c r="M945" t="s">
        <v>236</v>
      </c>
      <c r="N945" t="s">
        <v>237</v>
      </c>
      <c r="O945" s="27">
        <v>46062</v>
      </c>
    </row>
    <row r="946" spans="2:15" hidden="1" x14ac:dyDescent="0.3">
      <c r="B946">
        <v>6978173</v>
      </c>
      <c r="C946" t="s">
        <v>231</v>
      </c>
      <c r="D946">
        <v>38517</v>
      </c>
      <c r="E946" t="s">
        <v>150</v>
      </c>
      <c r="F946" t="s">
        <v>369</v>
      </c>
      <c r="G946" s="28">
        <v>38</v>
      </c>
      <c r="H946" s="32">
        <v>11.15</v>
      </c>
      <c r="I946" s="32">
        <v>2093.9899999999998</v>
      </c>
      <c r="J946" t="s">
        <v>239</v>
      </c>
      <c r="K946" t="s">
        <v>245</v>
      </c>
      <c r="L946" t="s">
        <v>235</v>
      </c>
      <c r="M946" t="s">
        <v>236</v>
      </c>
      <c r="N946" t="s">
        <v>240</v>
      </c>
      <c r="O946" s="27">
        <v>46063</v>
      </c>
    </row>
    <row r="947" spans="2:15" hidden="1" x14ac:dyDescent="0.3">
      <c r="B947">
        <v>15518055</v>
      </c>
      <c r="C947" t="s">
        <v>231</v>
      </c>
      <c r="D947">
        <v>22674</v>
      </c>
      <c r="E947" t="s">
        <v>150</v>
      </c>
      <c r="F947" t="s">
        <v>246</v>
      </c>
      <c r="G947" s="28">
        <v>53</v>
      </c>
      <c r="H947" s="32">
        <v>11.13</v>
      </c>
      <c r="I947" s="32">
        <v>1968.75</v>
      </c>
      <c r="J947" t="s">
        <v>239</v>
      </c>
      <c r="K947" t="s">
        <v>245</v>
      </c>
      <c r="L947" t="s">
        <v>235</v>
      </c>
      <c r="M947" t="s">
        <v>236</v>
      </c>
      <c r="N947" t="s">
        <v>237</v>
      </c>
      <c r="O947" s="27">
        <v>46063</v>
      </c>
    </row>
    <row r="948" spans="2:15" hidden="1" x14ac:dyDescent="0.3">
      <c r="B948">
        <v>3436001</v>
      </c>
      <c r="C948" t="s">
        <v>260</v>
      </c>
      <c r="D948">
        <v>21468</v>
      </c>
      <c r="E948" t="s">
        <v>150</v>
      </c>
      <c r="F948" t="s">
        <v>298</v>
      </c>
      <c r="G948" s="28">
        <v>74</v>
      </c>
      <c r="H948" s="32">
        <v>11.12</v>
      </c>
      <c r="I948" s="32">
        <v>1214.8699999999999</v>
      </c>
      <c r="J948" t="s">
        <v>239</v>
      </c>
      <c r="K948" t="s">
        <v>245</v>
      </c>
      <c r="L948" t="s">
        <v>235</v>
      </c>
      <c r="M948" t="s">
        <v>236</v>
      </c>
      <c r="N948" t="s">
        <v>237</v>
      </c>
      <c r="O948" s="27">
        <v>46055</v>
      </c>
    </row>
    <row r="949" spans="2:15" hidden="1" x14ac:dyDescent="0.3">
      <c r="B949">
        <v>440722</v>
      </c>
      <c r="C949" t="s">
        <v>231</v>
      </c>
      <c r="D949">
        <v>21468</v>
      </c>
      <c r="E949" t="s">
        <v>150</v>
      </c>
      <c r="F949" t="s">
        <v>298</v>
      </c>
      <c r="G949" s="28">
        <v>96</v>
      </c>
      <c r="H949" s="32">
        <v>11.11</v>
      </c>
      <c r="I949" s="32">
        <v>1576.05</v>
      </c>
      <c r="J949" t="s">
        <v>239</v>
      </c>
      <c r="K949" t="s">
        <v>245</v>
      </c>
      <c r="L949" t="s">
        <v>235</v>
      </c>
      <c r="M949" t="s">
        <v>236</v>
      </c>
      <c r="N949" t="s">
        <v>237</v>
      </c>
      <c r="O949" s="27">
        <v>46055</v>
      </c>
    </row>
    <row r="950" spans="2:15" hidden="1" x14ac:dyDescent="0.3">
      <c r="B950">
        <v>5740954</v>
      </c>
      <c r="C950" t="s">
        <v>260</v>
      </c>
      <c r="D950">
        <v>23648</v>
      </c>
      <c r="E950" t="s">
        <v>150</v>
      </c>
      <c r="F950" t="s">
        <v>298</v>
      </c>
      <c r="G950" s="28">
        <v>76</v>
      </c>
      <c r="H950" s="32">
        <v>11.11</v>
      </c>
      <c r="I950" s="32">
        <v>1247.71</v>
      </c>
      <c r="J950" t="s">
        <v>239</v>
      </c>
      <c r="K950" t="s">
        <v>245</v>
      </c>
      <c r="L950" t="s">
        <v>235</v>
      </c>
      <c r="M950" t="s">
        <v>236</v>
      </c>
      <c r="N950" t="s">
        <v>237</v>
      </c>
      <c r="O950" s="27">
        <v>46055</v>
      </c>
    </row>
    <row r="951" spans="2:15" hidden="1" x14ac:dyDescent="0.3">
      <c r="B951">
        <v>2735150</v>
      </c>
      <c r="C951" t="s">
        <v>231</v>
      </c>
      <c r="D951">
        <v>49894</v>
      </c>
      <c r="E951" t="s">
        <v>150</v>
      </c>
      <c r="F951" t="s">
        <v>164</v>
      </c>
      <c r="G951" s="28">
        <v>60</v>
      </c>
      <c r="H951" s="32">
        <v>11.09</v>
      </c>
      <c r="I951" s="32">
        <v>2916.95</v>
      </c>
      <c r="J951" t="s">
        <v>239</v>
      </c>
      <c r="K951" t="s">
        <v>245</v>
      </c>
      <c r="L951" t="s">
        <v>235</v>
      </c>
      <c r="M951" t="s">
        <v>236</v>
      </c>
      <c r="N951" t="s">
        <v>240</v>
      </c>
      <c r="O951" s="27">
        <v>46063</v>
      </c>
    </row>
    <row r="952" spans="2:15" hidden="1" x14ac:dyDescent="0.3">
      <c r="B952">
        <v>7296870</v>
      </c>
      <c r="C952" t="s">
        <v>231</v>
      </c>
      <c r="D952">
        <v>96553</v>
      </c>
      <c r="E952" t="s">
        <v>150</v>
      </c>
      <c r="F952" t="s">
        <v>289</v>
      </c>
      <c r="G952" s="28">
        <v>33</v>
      </c>
      <c r="H952" s="32">
        <v>11.07</v>
      </c>
      <c r="I952" s="32">
        <v>709.03</v>
      </c>
      <c r="J952" t="s">
        <v>239</v>
      </c>
      <c r="K952" t="s">
        <v>245</v>
      </c>
      <c r="L952" t="s">
        <v>235</v>
      </c>
      <c r="M952" t="s">
        <v>236</v>
      </c>
      <c r="N952" t="s">
        <v>237</v>
      </c>
      <c r="O952" s="27">
        <v>46055</v>
      </c>
    </row>
    <row r="953" spans="2:15" hidden="1" x14ac:dyDescent="0.3">
      <c r="B953">
        <v>3106687</v>
      </c>
      <c r="C953" t="s">
        <v>231</v>
      </c>
      <c r="D953">
        <v>22674</v>
      </c>
      <c r="E953" t="s">
        <v>150</v>
      </c>
      <c r="F953" t="s">
        <v>340</v>
      </c>
      <c r="G953" s="28">
        <v>33</v>
      </c>
      <c r="H953" s="32">
        <v>11.03</v>
      </c>
      <c r="I953" s="32">
        <v>1958.88</v>
      </c>
      <c r="J953" t="s">
        <v>330</v>
      </c>
      <c r="K953" t="s">
        <v>234</v>
      </c>
      <c r="L953" t="s">
        <v>235</v>
      </c>
      <c r="M953" t="s">
        <v>236</v>
      </c>
      <c r="N953" t="s">
        <v>237</v>
      </c>
      <c r="O953" s="27">
        <v>46064</v>
      </c>
    </row>
    <row r="954" spans="2:15" hidden="1" x14ac:dyDescent="0.3">
      <c r="B954">
        <v>4658833</v>
      </c>
      <c r="C954" t="s">
        <v>260</v>
      </c>
      <c r="D954">
        <v>38517</v>
      </c>
      <c r="E954" t="s">
        <v>150</v>
      </c>
      <c r="F954" t="s">
        <v>298</v>
      </c>
      <c r="G954" s="28">
        <v>62</v>
      </c>
      <c r="H954" s="32">
        <v>11.02</v>
      </c>
      <c r="I954" s="32">
        <v>1017.47</v>
      </c>
      <c r="J954" t="s">
        <v>239</v>
      </c>
      <c r="K954" t="s">
        <v>245</v>
      </c>
      <c r="L954" t="s">
        <v>235</v>
      </c>
      <c r="M954" t="s">
        <v>236</v>
      </c>
      <c r="N954" t="s">
        <v>237</v>
      </c>
      <c r="O954" s="27">
        <v>46055</v>
      </c>
    </row>
    <row r="955" spans="2:15" hidden="1" x14ac:dyDescent="0.3">
      <c r="B955">
        <v>18872460</v>
      </c>
      <c r="C955" t="s">
        <v>231</v>
      </c>
      <c r="D955">
        <v>74304</v>
      </c>
      <c r="E955" t="s">
        <v>150</v>
      </c>
      <c r="F955" t="s">
        <v>272</v>
      </c>
      <c r="G955" s="28">
        <v>323</v>
      </c>
      <c r="H955" s="32">
        <v>10.99</v>
      </c>
      <c r="I955" s="32">
        <v>2112.0100000000002</v>
      </c>
      <c r="J955" t="s">
        <v>239</v>
      </c>
      <c r="K955" t="s">
        <v>245</v>
      </c>
      <c r="L955" t="s">
        <v>235</v>
      </c>
      <c r="M955" t="s">
        <v>236</v>
      </c>
      <c r="N955" t="s">
        <v>237</v>
      </c>
      <c r="O955" s="27">
        <v>46055</v>
      </c>
    </row>
    <row r="956" spans="2:15" hidden="1" x14ac:dyDescent="0.3">
      <c r="B956">
        <v>591394</v>
      </c>
      <c r="C956" t="s">
        <v>231</v>
      </c>
      <c r="D956">
        <v>69493</v>
      </c>
      <c r="E956" t="s">
        <v>150</v>
      </c>
      <c r="F956" t="s">
        <v>337</v>
      </c>
      <c r="G956" s="28">
        <v>68</v>
      </c>
      <c r="H956" s="32">
        <v>10.97</v>
      </c>
      <c r="I956" s="32">
        <v>2469.77</v>
      </c>
      <c r="J956" t="s">
        <v>239</v>
      </c>
      <c r="K956" t="s">
        <v>245</v>
      </c>
      <c r="L956" t="s">
        <v>235</v>
      </c>
      <c r="M956" t="s">
        <v>236</v>
      </c>
      <c r="N956" t="s">
        <v>237</v>
      </c>
      <c r="O956" s="27">
        <v>46063</v>
      </c>
    </row>
    <row r="957" spans="2:15" hidden="1" x14ac:dyDescent="0.3">
      <c r="B957">
        <v>2033851</v>
      </c>
      <c r="C957" t="s">
        <v>231</v>
      </c>
      <c r="D957">
        <v>24415</v>
      </c>
      <c r="E957" t="s">
        <v>150</v>
      </c>
      <c r="F957" t="s">
        <v>369</v>
      </c>
      <c r="G957" s="28">
        <v>32</v>
      </c>
      <c r="H957" s="32">
        <v>10.95</v>
      </c>
      <c r="I957" s="32">
        <v>1848.64</v>
      </c>
      <c r="J957" t="s">
        <v>239</v>
      </c>
      <c r="K957" t="s">
        <v>245</v>
      </c>
      <c r="L957" t="s">
        <v>235</v>
      </c>
      <c r="M957" t="s">
        <v>236</v>
      </c>
      <c r="N957" t="s">
        <v>237</v>
      </c>
      <c r="O957" s="27">
        <v>46072</v>
      </c>
    </row>
    <row r="958" spans="2:15" hidden="1" x14ac:dyDescent="0.3">
      <c r="B958">
        <v>4382412</v>
      </c>
      <c r="C958" t="s">
        <v>231</v>
      </c>
      <c r="D958">
        <v>49894</v>
      </c>
      <c r="E958" t="s">
        <v>150</v>
      </c>
      <c r="F958" t="s">
        <v>360</v>
      </c>
      <c r="G958" s="28">
        <v>49</v>
      </c>
      <c r="H958" s="32">
        <v>10.92</v>
      </c>
      <c r="I958" s="32">
        <v>2053.14</v>
      </c>
      <c r="J958" t="s">
        <v>330</v>
      </c>
      <c r="K958" t="s">
        <v>234</v>
      </c>
      <c r="L958" t="s">
        <v>235</v>
      </c>
      <c r="M958" t="s">
        <v>236</v>
      </c>
      <c r="N958" t="s">
        <v>240</v>
      </c>
      <c r="O958" s="27">
        <v>46076</v>
      </c>
    </row>
    <row r="959" spans="2:15" hidden="1" x14ac:dyDescent="0.3">
      <c r="B959">
        <v>245239</v>
      </c>
      <c r="C959" t="s">
        <v>231</v>
      </c>
      <c r="D959">
        <v>21468</v>
      </c>
      <c r="E959" t="s">
        <v>150</v>
      </c>
      <c r="F959" t="s">
        <v>369</v>
      </c>
      <c r="G959" s="28">
        <v>20</v>
      </c>
      <c r="H959" s="32">
        <v>10.91</v>
      </c>
      <c r="I959" s="32">
        <v>1033.73</v>
      </c>
      <c r="J959" t="s">
        <v>239</v>
      </c>
      <c r="K959" t="s">
        <v>245</v>
      </c>
      <c r="L959" t="s">
        <v>235</v>
      </c>
      <c r="M959" t="s">
        <v>236</v>
      </c>
      <c r="N959" t="s">
        <v>240</v>
      </c>
      <c r="O959" s="27">
        <v>46055</v>
      </c>
    </row>
    <row r="960" spans="2:15" hidden="1" x14ac:dyDescent="0.3">
      <c r="B960">
        <v>4238598</v>
      </c>
      <c r="C960" t="s">
        <v>231</v>
      </c>
      <c r="D960">
        <v>38517</v>
      </c>
      <c r="E960" t="s">
        <v>150</v>
      </c>
      <c r="F960" t="s">
        <v>164</v>
      </c>
      <c r="G960" s="28">
        <v>65</v>
      </c>
      <c r="H960" s="32">
        <v>10.89</v>
      </c>
      <c r="I960" s="32">
        <v>3160.17</v>
      </c>
      <c r="J960" t="s">
        <v>239</v>
      </c>
      <c r="K960" t="s">
        <v>245</v>
      </c>
      <c r="L960" t="s">
        <v>235</v>
      </c>
      <c r="M960" t="s">
        <v>236</v>
      </c>
      <c r="N960" t="s">
        <v>237</v>
      </c>
      <c r="O960" s="27">
        <v>46063</v>
      </c>
    </row>
    <row r="961" spans="2:15" x14ac:dyDescent="0.3">
      <c r="B961">
        <v>5658854</v>
      </c>
      <c r="C961" t="s">
        <v>231</v>
      </c>
      <c r="D961">
        <v>22103</v>
      </c>
      <c r="E961" t="s">
        <v>150</v>
      </c>
      <c r="F961" t="s">
        <v>363</v>
      </c>
      <c r="G961" s="28">
        <v>53</v>
      </c>
      <c r="H961" s="32">
        <v>10.88</v>
      </c>
      <c r="I961" s="32">
        <v>2164.52</v>
      </c>
      <c r="J961" t="s">
        <v>330</v>
      </c>
      <c r="K961" t="s">
        <v>234</v>
      </c>
      <c r="L961" t="s">
        <v>235</v>
      </c>
      <c r="M961" t="s">
        <v>236</v>
      </c>
      <c r="N961" t="s">
        <v>237</v>
      </c>
      <c r="O961" s="27">
        <v>46076</v>
      </c>
    </row>
    <row r="962" spans="2:15" hidden="1" x14ac:dyDescent="0.3">
      <c r="B962">
        <v>4744190</v>
      </c>
      <c r="C962" t="s">
        <v>260</v>
      </c>
      <c r="D962">
        <v>22674</v>
      </c>
      <c r="E962" t="s">
        <v>150</v>
      </c>
      <c r="F962" t="s">
        <v>298</v>
      </c>
      <c r="G962" s="28">
        <v>42</v>
      </c>
      <c r="H962" s="32">
        <v>10.85</v>
      </c>
      <c r="I962" s="32">
        <v>731.31</v>
      </c>
      <c r="J962" t="s">
        <v>239</v>
      </c>
      <c r="K962" t="s">
        <v>245</v>
      </c>
      <c r="L962" t="s">
        <v>235</v>
      </c>
      <c r="M962" t="s">
        <v>236</v>
      </c>
      <c r="N962" t="s">
        <v>237</v>
      </c>
      <c r="O962" s="27">
        <v>46063</v>
      </c>
    </row>
    <row r="963" spans="2:15" hidden="1" x14ac:dyDescent="0.3">
      <c r="B963">
        <v>4358018</v>
      </c>
      <c r="C963" t="s">
        <v>231</v>
      </c>
      <c r="D963">
        <v>23410</v>
      </c>
      <c r="E963" t="s">
        <v>150</v>
      </c>
      <c r="F963" t="s">
        <v>163</v>
      </c>
      <c r="G963" s="28">
        <v>142</v>
      </c>
      <c r="H963" s="32">
        <v>10.8</v>
      </c>
      <c r="I963" s="32">
        <v>1870.75</v>
      </c>
      <c r="J963" t="s">
        <v>239</v>
      </c>
      <c r="K963" t="s">
        <v>245</v>
      </c>
      <c r="L963" t="s">
        <v>235</v>
      </c>
      <c r="M963" t="s">
        <v>236</v>
      </c>
      <c r="N963" t="s">
        <v>237</v>
      </c>
      <c r="O963" s="27">
        <v>46055</v>
      </c>
    </row>
    <row r="964" spans="2:15" hidden="1" x14ac:dyDescent="0.3">
      <c r="B964">
        <v>2538267</v>
      </c>
      <c r="C964" t="s">
        <v>231</v>
      </c>
      <c r="D964">
        <v>69579</v>
      </c>
      <c r="E964" t="s">
        <v>150</v>
      </c>
      <c r="F964" t="s">
        <v>274</v>
      </c>
      <c r="G964" s="28">
        <v>134</v>
      </c>
      <c r="H964" s="32">
        <v>10.79</v>
      </c>
      <c r="I964" s="32">
        <v>1968.07</v>
      </c>
      <c r="J964" t="s">
        <v>239</v>
      </c>
      <c r="K964" t="s">
        <v>245</v>
      </c>
      <c r="L964" t="s">
        <v>235</v>
      </c>
      <c r="M964" t="s">
        <v>236</v>
      </c>
      <c r="N964" t="s">
        <v>237</v>
      </c>
      <c r="O964" s="27">
        <v>46055</v>
      </c>
    </row>
    <row r="965" spans="2:15" hidden="1" x14ac:dyDescent="0.3">
      <c r="B965">
        <v>2412490</v>
      </c>
      <c r="C965" t="s">
        <v>231</v>
      </c>
      <c r="D965">
        <v>71881</v>
      </c>
      <c r="E965" t="s">
        <v>150</v>
      </c>
      <c r="F965" t="s">
        <v>341</v>
      </c>
      <c r="G965" s="28">
        <v>24</v>
      </c>
      <c r="H965" s="32">
        <v>10.78</v>
      </c>
      <c r="I965" s="32">
        <v>1223.52</v>
      </c>
      <c r="J965" t="s">
        <v>330</v>
      </c>
      <c r="K965" t="s">
        <v>234</v>
      </c>
      <c r="L965" t="s">
        <v>235</v>
      </c>
      <c r="M965" t="s">
        <v>236</v>
      </c>
      <c r="N965" t="s">
        <v>240</v>
      </c>
      <c r="O965" s="27">
        <v>46057</v>
      </c>
    </row>
    <row r="966" spans="2:15" hidden="1" x14ac:dyDescent="0.3">
      <c r="B966">
        <v>4686193</v>
      </c>
      <c r="C966" t="s">
        <v>231</v>
      </c>
      <c r="D966">
        <v>21468</v>
      </c>
      <c r="E966" t="s">
        <v>150</v>
      </c>
      <c r="F966" t="s">
        <v>369</v>
      </c>
      <c r="G966" s="28">
        <v>36</v>
      </c>
      <c r="H966" s="32">
        <v>10.76</v>
      </c>
      <c r="I966" s="32">
        <v>1983.78</v>
      </c>
      <c r="J966" t="s">
        <v>239</v>
      </c>
      <c r="K966" t="s">
        <v>245</v>
      </c>
      <c r="L966" t="s">
        <v>235</v>
      </c>
      <c r="M966" t="s">
        <v>236</v>
      </c>
      <c r="N966" t="s">
        <v>240</v>
      </c>
      <c r="O966" s="27">
        <v>46063</v>
      </c>
    </row>
    <row r="967" spans="2:15" hidden="1" x14ac:dyDescent="0.3">
      <c r="B967">
        <v>2987541</v>
      </c>
      <c r="C967" t="s">
        <v>231</v>
      </c>
      <c r="D967">
        <v>23648</v>
      </c>
      <c r="E967" t="s">
        <v>150</v>
      </c>
      <c r="F967" t="s">
        <v>163</v>
      </c>
      <c r="G967" s="28">
        <v>56</v>
      </c>
      <c r="H967" s="32">
        <v>10.75</v>
      </c>
      <c r="I967" s="32">
        <v>781.79</v>
      </c>
      <c r="J967" t="s">
        <v>239</v>
      </c>
      <c r="K967" t="s">
        <v>245</v>
      </c>
      <c r="L967" t="s">
        <v>235</v>
      </c>
      <c r="M967" t="s">
        <v>236</v>
      </c>
      <c r="N967" t="s">
        <v>237</v>
      </c>
      <c r="O967" s="27">
        <v>46063</v>
      </c>
    </row>
    <row r="968" spans="2:15" hidden="1" x14ac:dyDescent="0.3">
      <c r="B968">
        <v>750270</v>
      </c>
      <c r="C968" t="s">
        <v>231</v>
      </c>
      <c r="D968">
        <v>22674</v>
      </c>
      <c r="E968" t="s">
        <v>150</v>
      </c>
      <c r="F968" t="s">
        <v>271</v>
      </c>
      <c r="G968" s="28">
        <v>100</v>
      </c>
      <c r="H968" s="32">
        <v>10.75</v>
      </c>
      <c r="I968" s="32">
        <v>1829</v>
      </c>
      <c r="J968" t="s">
        <v>239</v>
      </c>
      <c r="K968" t="s">
        <v>234</v>
      </c>
      <c r="L968" t="s">
        <v>235</v>
      </c>
      <c r="M968" t="s">
        <v>236</v>
      </c>
      <c r="N968" t="s">
        <v>237</v>
      </c>
      <c r="O968" s="27">
        <v>46065</v>
      </c>
    </row>
    <row r="969" spans="2:15" hidden="1" x14ac:dyDescent="0.3">
      <c r="B969">
        <v>6463394</v>
      </c>
      <c r="C969" t="s">
        <v>231</v>
      </c>
      <c r="D969">
        <v>23648</v>
      </c>
      <c r="E969" t="s">
        <v>150</v>
      </c>
      <c r="F969" t="s">
        <v>340</v>
      </c>
      <c r="G969" s="28">
        <v>32</v>
      </c>
      <c r="H969" s="32">
        <v>10.72</v>
      </c>
      <c r="I969" s="32">
        <v>1903.96</v>
      </c>
      <c r="J969" t="s">
        <v>330</v>
      </c>
      <c r="K969" t="s">
        <v>234</v>
      </c>
      <c r="L969" t="s">
        <v>235</v>
      </c>
      <c r="M969" t="s">
        <v>236</v>
      </c>
      <c r="N969" t="s">
        <v>237</v>
      </c>
      <c r="O969" s="27">
        <v>46064</v>
      </c>
    </row>
    <row r="970" spans="2:15" hidden="1" x14ac:dyDescent="0.3">
      <c r="B970">
        <v>440722</v>
      </c>
      <c r="C970" t="s">
        <v>231</v>
      </c>
      <c r="D970">
        <v>21468</v>
      </c>
      <c r="E970" t="s">
        <v>150</v>
      </c>
      <c r="F970" t="s">
        <v>246</v>
      </c>
      <c r="G970" s="28">
        <v>41</v>
      </c>
      <c r="H970" s="32">
        <v>10.71</v>
      </c>
      <c r="I970" s="32">
        <v>1517.17</v>
      </c>
      <c r="J970" t="s">
        <v>239</v>
      </c>
      <c r="K970" t="s">
        <v>245</v>
      </c>
      <c r="L970" t="s">
        <v>235</v>
      </c>
      <c r="M970" t="s">
        <v>236</v>
      </c>
      <c r="N970" t="s">
        <v>237</v>
      </c>
      <c r="O970" s="27">
        <v>46062</v>
      </c>
    </row>
    <row r="971" spans="2:15" x14ac:dyDescent="0.3">
      <c r="B971">
        <v>17711901</v>
      </c>
      <c r="C971" t="s">
        <v>260</v>
      </c>
      <c r="D971">
        <v>22103</v>
      </c>
      <c r="E971" t="s">
        <v>150</v>
      </c>
      <c r="F971" t="s">
        <v>298</v>
      </c>
      <c r="G971" s="28">
        <v>42</v>
      </c>
      <c r="H971" s="32">
        <v>10.69</v>
      </c>
      <c r="I971" s="32">
        <v>731.31</v>
      </c>
      <c r="J971" t="s">
        <v>239</v>
      </c>
      <c r="K971" t="s">
        <v>245</v>
      </c>
      <c r="L971" t="s">
        <v>235</v>
      </c>
      <c r="M971" t="s">
        <v>236</v>
      </c>
      <c r="N971" t="s">
        <v>237</v>
      </c>
      <c r="O971" s="27">
        <v>46063</v>
      </c>
    </row>
    <row r="972" spans="2:15" hidden="1" x14ac:dyDescent="0.3">
      <c r="B972">
        <v>7072263</v>
      </c>
      <c r="C972" t="s">
        <v>260</v>
      </c>
      <c r="D972">
        <v>23410</v>
      </c>
      <c r="E972" t="s">
        <v>150</v>
      </c>
      <c r="F972" t="s">
        <v>272</v>
      </c>
      <c r="G972" s="28">
        <v>246</v>
      </c>
      <c r="H972" s="32">
        <v>10.68</v>
      </c>
      <c r="I972" s="32">
        <v>1619.51</v>
      </c>
      <c r="J972" t="s">
        <v>239</v>
      </c>
      <c r="K972" t="s">
        <v>245</v>
      </c>
      <c r="L972" t="s">
        <v>235</v>
      </c>
      <c r="M972" t="s">
        <v>236</v>
      </c>
      <c r="N972" t="s">
        <v>237</v>
      </c>
      <c r="O972" s="27">
        <v>46076</v>
      </c>
    </row>
    <row r="973" spans="2:15" hidden="1" x14ac:dyDescent="0.3">
      <c r="B973">
        <v>4339096</v>
      </c>
      <c r="C973" t="s">
        <v>231</v>
      </c>
      <c r="D973">
        <v>25619</v>
      </c>
      <c r="E973" t="s">
        <v>150</v>
      </c>
      <c r="F973" t="s">
        <v>246</v>
      </c>
      <c r="G973" s="28">
        <v>44</v>
      </c>
      <c r="H973" s="32">
        <v>10.64</v>
      </c>
      <c r="I973" s="32">
        <v>1634.52</v>
      </c>
      <c r="J973" t="s">
        <v>239</v>
      </c>
      <c r="K973" t="s">
        <v>245</v>
      </c>
      <c r="L973" t="s">
        <v>235</v>
      </c>
      <c r="M973" t="s">
        <v>236</v>
      </c>
      <c r="N973" t="s">
        <v>237</v>
      </c>
      <c r="O973" s="27">
        <v>46063</v>
      </c>
    </row>
    <row r="974" spans="2:15" hidden="1" x14ac:dyDescent="0.3">
      <c r="B974">
        <v>2255037</v>
      </c>
      <c r="C974" t="s">
        <v>231</v>
      </c>
      <c r="D974">
        <v>22674</v>
      </c>
      <c r="E974" t="s">
        <v>150</v>
      </c>
      <c r="F974" t="s">
        <v>369</v>
      </c>
      <c r="G974" s="28">
        <v>34</v>
      </c>
      <c r="H974" s="32">
        <v>10.61</v>
      </c>
      <c r="I974" s="32">
        <v>1873.48</v>
      </c>
      <c r="J974" t="s">
        <v>239</v>
      </c>
      <c r="K974" t="s">
        <v>245</v>
      </c>
      <c r="L974" t="s">
        <v>235</v>
      </c>
      <c r="M974" t="s">
        <v>236</v>
      </c>
      <c r="N974" t="s">
        <v>240</v>
      </c>
      <c r="O974" s="27">
        <v>46063</v>
      </c>
    </row>
    <row r="975" spans="2:15" hidden="1" x14ac:dyDescent="0.3">
      <c r="B975">
        <v>6024970</v>
      </c>
      <c r="C975" t="s">
        <v>260</v>
      </c>
      <c r="D975">
        <v>72444</v>
      </c>
      <c r="E975" t="s">
        <v>150</v>
      </c>
      <c r="F975" t="s">
        <v>246</v>
      </c>
      <c r="G975" s="28">
        <v>36</v>
      </c>
      <c r="H975" s="32">
        <v>10.61</v>
      </c>
      <c r="I975" s="32">
        <v>1330.23</v>
      </c>
      <c r="J975" t="s">
        <v>239</v>
      </c>
      <c r="K975" t="s">
        <v>245</v>
      </c>
      <c r="L975" t="s">
        <v>235</v>
      </c>
      <c r="M975" t="s">
        <v>236</v>
      </c>
      <c r="N975" t="s">
        <v>237</v>
      </c>
      <c r="O975" s="27">
        <v>46055</v>
      </c>
    </row>
    <row r="976" spans="2:15" hidden="1" x14ac:dyDescent="0.3">
      <c r="B976">
        <v>2632292</v>
      </c>
      <c r="C976" t="s">
        <v>231</v>
      </c>
      <c r="D976">
        <v>69519</v>
      </c>
      <c r="E976" t="s">
        <v>150</v>
      </c>
      <c r="F976" t="s">
        <v>163</v>
      </c>
      <c r="G976" s="28">
        <v>128</v>
      </c>
      <c r="H976" s="32">
        <v>10.59</v>
      </c>
      <c r="I976" s="32">
        <v>1821.17</v>
      </c>
      <c r="J976" t="s">
        <v>239</v>
      </c>
      <c r="K976" t="s">
        <v>245</v>
      </c>
      <c r="L976" t="s">
        <v>235</v>
      </c>
      <c r="M976" t="s">
        <v>236</v>
      </c>
      <c r="N976" t="s">
        <v>237</v>
      </c>
      <c r="O976" s="27">
        <v>46072</v>
      </c>
    </row>
    <row r="977" spans="2:15" hidden="1" x14ac:dyDescent="0.3">
      <c r="B977">
        <v>11493548</v>
      </c>
      <c r="C977" t="s">
        <v>231</v>
      </c>
      <c r="D977">
        <v>38517</v>
      </c>
      <c r="E977" t="s">
        <v>150</v>
      </c>
      <c r="F977" t="s">
        <v>246</v>
      </c>
      <c r="G977" s="28">
        <v>45</v>
      </c>
      <c r="H977" s="32">
        <v>10.59</v>
      </c>
      <c r="I977" s="32">
        <v>1671.67</v>
      </c>
      <c r="J977" t="s">
        <v>239</v>
      </c>
      <c r="K977" t="s">
        <v>245</v>
      </c>
      <c r="L977" t="s">
        <v>235</v>
      </c>
      <c r="M977" t="s">
        <v>236</v>
      </c>
      <c r="N977" t="s">
        <v>237</v>
      </c>
      <c r="O977" s="27">
        <v>46063</v>
      </c>
    </row>
    <row r="978" spans="2:15" hidden="1" x14ac:dyDescent="0.3">
      <c r="B978">
        <v>6859448</v>
      </c>
      <c r="C978" t="s">
        <v>231</v>
      </c>
      <c r="D978">
        <v>25619</v>
      </c>
      <c r="E978" t="s">
        <v>150</v>
      </c>
      <c r="F978" t="s">
        <v>340</v>
      </c>
      <c r="G978" s="28">
        <v>34</v>
      </c>
      <c r="H978" s="32">
        <v>10.58</v>
      </c>
      <c r="I978" s="32">
        <v>2015.86</v>
      </c>
      <c r="J978" t="s">
        <v>330</v>
      </c>
      <c r="K978" t="s">
        <v>234</v>
      </c>
      <c r="L978" t="s">
        <v>235</v>
      </c>
      <c r="M978" t="s">
        <v>236</v>
      </c>
      <c r="N978" t="s">
        <v>237</v>
      </c>
      <c r="O978" s="27">
        <v>46064</v>
      </c>
    </row>
    <row r="979" spans="2:15" hidden="1" x14ac:dyDescent="0.3">
      <c r="B979">
        <v>2747758</v>
      </c>
      <c r="C979" t="s">
        <v>231</v>
      </c>
      <c r="D979">
        <v>96553</v>
      </c>
      <c r="E979" t="s">
        <v>150</v>
      </c>
      <c r="F979" t="s">
        <v>369</v>
      </c>
      <c r="G979" s="28">
        <v>35</v>
      </c>
      <c r="H979" s="32">
        <v>10.56</v>
      </c>
      <c r="I979" s="32">
        <v>1928.58</v>
      </c>
      <c r="J979" t="s">
        <v>239</v>
      </c>
      <c r="K979" t="s">
        <v>245</v>
      </c>
      <c r="L979" t="s">
        <v>235</v>
      </c>
      <c r="M979" t="s">
        <v>236</v>
      </c>
      <c r="N979" t="s">
        <v>240</v>
      </c>
      <c r="O979" s="27">
        <v>46063</v>
      </c>
    </row>
    <row r="980" spans="2:15" hidden="1" x14ac:dyDescent="0.3">
      <c r="B980">
        <v>7768707</v>
      </c>
      <c r="C980" t="s">
        <v>260</v>
      </c>
      <c r="D980">
        <v>21559</v>
      </c>
      <c r="E980" t="s">
        <v>150</v>
      </c>
      <c r="F980" t="s">
        <v>298</v>
      </c>
      <c r="G980" s="28">
        <v>29</v>
      </c>
      <c r="H980" s="32">
        <v>10.56</v>
      </c>
      <c r="I980" s="32">
        <v>504.99</v>
      </c>
      <c r="J980" t="s">
        <v>239</v>
      </c>
      <c r="K980" t="s">
        <v>245</v>
      </c>
      <c r="L980" t="s">
        <v>235</v>
      </c>
      <c r="M980" t="s">
        <v>236</v>
      </c>
      <c r="N980" t="s">
        <v>237</v>
      </c>
      <c r="O980" s="27">
        <v>46063</v>
      </c>
    </row>
    <row r="981" spans="2:15" hidden="1" x14ac:dyDescent="0.3">
      <c r="B981">
        <v>7072263</v>
      </c>
      <c r="C981" t="s">
        <v>260</v>
      </c>
      <c r="D981">
        <v>23410</v>
      </c>
      <c r="E981" t="s">
        <v>150</v>
      </c>
      <c r="F981" t="s">
        <v>271</v>
      </c>
      <c r="G981" s="28">
        <v>89</v>
      </c>
      <c r="H981" s="32">
        <v>10.56</v>
      </c>
      <c r="I981" s="32">
        <v>1601.12</v>
      </c>
      <c r="J981" t="s">
        <v>239</v>
      </c>
      <c r="K981" t="s">
        <v>245</v>
      </c>
      <c r="L981" t="s">
        <v>235</v>
      </c>
      <c r="M981" t="s">
        <v>236</v>
      </c>
      <c r="N981" t="s">
        <v>237</v>
      </c>
      <c r="O981" s="27">
        <v>46076</v>
      </c>
    </row>
    <row r="982" spans="2:15" hidden="1" x14ac:dyDescent="0.3">
      <c r="B982">
        <v>6304689</v>
      </c>
      <c r="C982" t="s">
        <v>231</v>
      </c>
      <c r="D982">
        <v>25619</v>
      </c>
      <c r="E982" t="s">
        <v>150</v>
      </c>
      <c r="F982" t="s">
        <v>298</v>
      </c>
      <c r="G982" s="28">
        <v>29</v>
      </c>
      <c r="H982" s="32">
        <v>10.55</v>
      </c>
      <c r="I982" s="32">
        <v>504.99</v>
      </c>
      <c r="J982" t="s">
        <v>239</v>
      </c>
      <c r="K982" t="s">
        <v>245</v>
      </c>
      <c r="L982" t="s">
        <v>235</v>
      </c>
      <c r="M982" t="s">
        <v>236</v>
      </c>
      <c r="N982" t="s">
        <v>237</v>
      </c>
      <c r="O982" s="27">
        <v>46063</v>
      </c>
    </row>
    <row r="983" spans="2:15" hidden="1" x14ac:dyDescent="0.3">
      <c r="B983">
        <v>5555592</v>
      </c>
      <c r="C983" t="s">
        <v>231</v>
      </c>
      <c r="D983">
        <v>38517</v>
      </c>
      <c r="E983" t="s">
        <v>150</v>
      </c>
      <c r="F983" t="s">
        <v>282</v>
      </c>
      <c r="G983" s="28">
        <v>21</v>
      </c>
      <c r="H983" s="32">
        <v>10.52</v>
      </c>
      <c r="I983" s="32">
        <v>1068.08</v>
      </c>
      <c r="J983" t="s">
        <v>239</v>
      </c>
      <c r="K983" t="s">
        <v>245</v>
      </c>
      <c r="L983" t="s">
        <v>235</v>
      </c>
      <c r="M983" t="s">
        <v>236</v>
      </c>
      <c r="N983" t="s">
        <v>240</v>
      </c>
      <c r="O983" s="27">
        <v>46055</v>
      </c>
    </row>
    <row r="984" spans="2:15" hidden="1" x14ac:dyDescent="0.3">
      <c r="B984">
        <v>5599981</v>
      </c>
      <c r="C984" t="s">
        <v>231</v>
      </c>
      <c r="D984">
        <v>69493</v>
      </c>
      <c r="E984" t="s">
        <v>150</v>
      </c>
      <c r="F984" t="s">
        <v>163</v>
      </c>
      <c r="G984" s="28">
        <v>55</v>
      </c>
      <c r="H984" s="32">
        <v>10.49</v>
      </c>
      <c r="I984" s="32">
        <v>767.89</v>
      </c>
      <c r="J984" t="s">
        <v>239</v>
      </c>
      <c r="K984" t="s">
        <v>245</v>
      </c>
      <c r="L984" t="s">
        <v>235</v>
      </c>
      <c r="M984" t="s">
        <v>236</v>
      </c>
      <c r="N984" t="s">
        <v>237</v>
      </c>
      <c r="O984" s="27">
        <v>46063</v>
      </c>
    </row>
    <row r="985" spans="2:15" hidden="1" x14ac:dyDescent="0.3">
      <c r="B985">
        <v>7072263</v>
      </c>
      <c r="C985" t="s">
        <v>260</v>
      </c>
      <c r="D985">
        <v>23410</v>
      </c>
      <c r="E985" t="s">
        <v>150</v>
      </c>
      <c r="F985" t="s">
        <v>274</v>
      </c>
      <c r="G985" s="28">
        <v>96</v>
      </c>
      <c r="H985" s="32">
        <v>10.49</v>
      </c>
      <c r="I985" s="32">
        <v>1591.39</v>
      </c>
      <c r="J985" t="s">
        <v>239</v>
      </c>
      <c r="K985" t="s">
        <v>245</v>
      </c>
      <c r="L985" t="s">
        <v>235</v>
      </c>
      <c r="M985" t="s">
        <v>236</v>
      </c>
      <c r="N985" t="s">
        <v>237</v>
      </c>
      <c r="O985" s="27">
        <v>46076</v>
      </c>
    </row>
    <row r="986" spans="2:15" hidden="1" x14ac:dyDescent="0.3">
      <c r="B986">
        <v>2278263</v>
      </c>
      <c r="C986" t="s">
        <v>231</v>
      </c>
      <c r="D986">
        <v>22674</v>
      </c>
      <c r="E986" t="s">
        <v>150</v>
      </c>
      <c r="F986" t="s">
        <v>164</v>
      </c>
      <c r="G986" s="28">
        <v>56</v>
      </c>
      <c r="H986" s="32">
        <v>10.48</v>
      </c>
      <c r="I986" s="32">
        <v>2722.25</v>
      </c>
      <c r="J986" t="s">
        <v>239</v>
      </c>
      <c r="K986" t="s">
        <v>245</v>
      </c>
      <c r="L986" t="s">
        <v>235</v>
      </c>
      <c r="M986" t="s">
        <v>236</v>
      </c>
      <c r="N986" t="s">
        <v>240</v>
      </c>
      <c r="O986" s="27">
        <v>46063</v>
      </c>
    </row>
    <row r="987" spans="2:15" hidden="1" x14ac:dyDescent="0.3">
      <c r="B987">
        <v>7072263</v>
      </c>
      <c r="C987" t="s">
        <v>260</v>
      </c>
      <c r="D987">
        <v>23410</v>
      </c>
      <c r="E987" t="s">
        <v>150</v>
      </c>
      <c r="F987" t="s">
        <v>263</v>
      </c>
      <c r="G987" s="28">
        <v>108</v>
      </c>
      <c r="H987" s="32">
        <v>10.48</v>
      </c>
      <c r="I987" s="32">
        <v>1589.46</v>
      </c>
      <c r="J987" t="s">
        <v>239</v>
      </c>
      <c r="K987" t="s">
        <v>245</v>
      </c>
      <c r="L987" t="s">
        <v>235</v>
      </c>
      <c r="M987" t="s">
        <v>236</v>
      </c>
      <c r="N987" t="s">
        <v>237</v>
      </c>
      <c r="O987" s="27">
        <v>46076</v>
      </c>
    </row>
    <row r="988" spans="2:15" hidden="1" x14ac:dyDescent="0.3">
      <c r="B988">
        <v>11593572</v>
      </c>
      <c r="C988" t="s">
        <v>231</v>
      </c>
      <c r="D988">
        <v>22674</v>
      </c>
      <c r="E988" t="s">
        <v>150</v>
      </c>
      <c r="F988" t="s">
        <v>421</v>
      </c>
      <c r="G988" s="28">
        <v>120</v>
      </c>
      <c r="H988" s="32">
        <v>10.47</v>
      </c>
      <c r="I988" s="32">
        <v>1140.47</v>
      </c>
      <c r="J988" t="s">
        <v>267</v>
      </c>
      <c r="K988" t="s">
        <v>245</v>
      </c>
      <c r="L988" t="s">
        <v>235</v>
      </c>
      <c r="M988" t="s">
        <v>236</v>
      </c>
      <c r="N988" t="s">
        <v>240</v>
      </c>
      <c r="O988" s="27">
        <v>46056</v>
      </c>
    </row>
    <row r="989" spans="2:15" hidden="1" x14ac:dyDescent="0.3">
      <c r="B989">
        <v>74468</v>
      </c>
      <c r="C989" t="s">
        <v>260</v>
      </c>
      <c r="D989">
        <v>69519</v>
      </c>
      <c r="E989" t="s">
        <v>150</v>
      </c>
      <c r="F989" t="s">
        <v>298</v>
      </c>
      <c r="G989" s="28">
        <v>62</v>
      </c>
      <c r="H989" s="32">
        <v>10.47</v>
      </c>
      <c r="I989" s="32">
        <v>1079.6199999999999</v>
      </c>
      <c r="J989" t="s">
        <v>239</v>
      </c>
      <c r="K989" t="s">
        <v>245</v>
      </c>
      <c r="L989" t="s">
        <v>235</v>
      </c>
      <c r="M989" t="s">
        <v>236</v>
      </c>
      <c r="N989" t="s">
        <v>237</v>
      </c>
      <c r="O989" s="27">
        <v>46063</v>
      </c>
    </row>
    <row r="990" spans="2:15" hidden="1" x14ac:dyDescent="0.3">
      <c r="B990">
        <v>7072263</v>
      </c>
      <c r="C990" t="s">
        <v>260</v>
      </c>
      <c r="D990">
        <v>23410</v>
      </c>
      <c r="E990" t="s">
        <v>150</v>
      </c>
      <c r="F990" t="s">
        <v>246</v>
      </c>
      <c r="G990" s="28">
        <v>41</v>
      </c>
      <c r="H990" s="32">
        <v>10.47</v>
      </c>
      <c r="I990" s="32">
        <v>1587.44</v>
      </c>
      <c r="J990" t="s">
        <v>239</v>
      </c>
      <c r="K990" t="s">
        <v>245</v>
      </c>
      <c r="L990" t="s">
        <v>235</v>
      </c>
      <c r="M990" t="s">
        <v>236</v>
      </c>
      <c r="N990" t="s">
        <v>237</v>
      </c>
      <c r="O990" s="27">
        <v>46076</v>
      </c>
    </row>
    <row r="991" spans="2:15" hidden="1" x14ac:dyDescent="0.3">
      <c r="B991">
        <v>2579681</v>
      </c>
      <c r="C991" t="s">
        <v>231</v>
      </c>
      <c r="D991">
        <v>25619</v>
      </c>
      <c r="E991" t="s">
        <v>150</v>
      </c>
      <c r="F991" t="s">
        <v>164</v>
      </c>
      <c r="G991" s="28">
        <v>56</v>
      </c>
      <c r="H991" s="32">
        <v>10.46</v>
      </c>
      <c r="I991" s="32">
        <v>2722.25</v>
      </c>
      <c r="J991" t="s">
        <v>239</v>
      </c>
      <c r="K991" t="s">
        <v>245</v>
      </c>
      <c r="L991" t="s">
        <v>235</v>
      </c>
      <c r="M991" t="s">
        <v>236</v>
      </c>
      <c r="N991" t="s">
        <v>240</v>
      </c>
      <c r="O991" s="27">
        <v>46063</v>
      </c>
    </row>
    <row r="992" spans="2:15" hidden="1" x14ac:dyDescent="0.3">
      <c r="B992">
        <v>11593572</v>
      </c>
      <c r="C992" t="s">
        <v>231</v>
      </c>
      <c r="D992">
        <v>22674</v>
      </c>
      <c r="E992" t="s">
        <v>150</v>
      </c>
      <c r="F992" t="s">
        <v>291</v>
      </c>
      <c r="G992" s="28">
        <v>119</v>
      </c>
      <c r="H992" s="32">
        <v>10.43</v>
      </c>
      <c r="I992" s="32">
        <v>1175.93</v>
      </c>
      <c r="J992" t="s">
        <v>267</v>
      </c>
      <c r="K992" t="s">
        <v>245</v>
      </c>
      <c r="L992" t="s">
        <v>235</v>
      </c>
      <c r="M992" t="s">
        <v>236</v>
      </c>
      <c r="N992" t="s">
        <v>240</v>
      </c>
      <c r="O992" s="27">
        <v>46056</v>
      </c>
    </row>
    <row r="993" spans="2:15" hidden="1" x14ac:dyDescent="0.3">
      <c r="B993">
        <v>7072263</v>
      </c>
      <c r="C993" t="s">
        <v>260</v>
      </c>
      <c r="D993">
        <v>23410</v>
      </c>
      <c r="E993" t="s">
        <v>150</v>
      </c>
      <c r="F993" t="s">
        <v>289</v>
      </c>
      <c r="G993" s="28">
        <v>74</v>
      </c>
      <c r="H993" s="32">
        <v>10.43</v>
      </c>
      <c r="I993" s="32">
        <v>1582.11</v>
      </c>
      <c r="J993" t="s">
        <v>239</v>
      </c>
      <c r="K993" t="s">
        <v>245</v>
      </c>
      <c r="L993" t="s">
        <v>235</v>
      </c>
      <c r="M993" t="s">
        <v>236</v>
      </c>
      <c r="N993" t="s">
        <v>237</v>
      </c>
      <c r="O993" s="27">
        <v>46076</v>
      </c>
    </row>
    <row r="994" spans="2:15" hidden="1" x14ac:dyDescent="0.3">
      <c r="B994">
        <v>3065087</v>
      </c>
      <c r="C994" t="s">
        <v>231</v>
      </c>
      <c r="D994">
        <v>22674</v>
      </c>
      <c r="E994" t="s">
        <v>150</v>
      </c>
      <c r="F994" t="s">
        <v>369</v>
      </c>
      <c r="G994" s="28">
        <v>34</v>
      </c>
      <c r="H994" s="32">
        <v>10.42</v>
      </c>
      <c r="I994" s="32">
        <v>1873.48</v>
      </c>
      <c r="J994" t="s">
        <v>239</v>
      </c>
      <c r="K994" t="s">
        <v>245</v>
      </c>
      <c r="L994" t="s">
        <v>235</v>
      </c>
      <c r="M994" t="s">
        <v>236</v>
      </c>
      <c r="N994" t="s">
        <v>240</v>
      </c>
      <c r="O994" s="27">
        <v>46063</v>
      </c>
    </row>
    <row r="995" spans="2:15" hidden="1" x14ac:dyDescent="0.3">
      <c r="B995">
        <v>2013549</v>
      </c>
      <c r="C995" t="s">
        <v>231</v>
      </c>
      <c r="D995">
        <v>23648</v>
      </c>
      <c r="E995" t="s">
        <v>150</v>
      </c>
      <c r="F995" t="s">
        <v>244</v>
      </c>
      <c r="G995" s="28">
        <v>5</v>
      </c>
      <c r="H995" s="32">
        <v>10.42</v>
      </c>
      <c r="I995" s="32">
        <v>2028.96</v>
      </c>
      <c r="J995" t="s">
        <v>239</v>
      </c>
      <c r="K995" t="s">
        <v>234</v>
      </c>
      <c r="L995" t="s">
        <v>235</v>
      </c>
      <c r="M995" t="s">
        <v>236</v>
      </c>
      <c r="N995" t="s">
        <v>240</v>
      </c>
      <c r="O995" s="27">
        <v>46059</v>
      </c>
    </row>
    <row r="996" spans="2:15" hidden="1" x14ac:dyDescent="0.3">
      <c r="B996">
        <v>74468</v>
      </c>
      <c r="C996" t="s">
        <v>260</v>
      </c>
      <c r="D996">
        <v>69519</v>
      </c>
      <c r="E996" t="s">
        <v>150</v>
      </c>
      <c r="F996" t="s">
        <v>371</v>
      </c>
      <c r="G996" s="28">
        <v>125</v>
      </c>
      <c r="H996" s="32">
        <v>10.41</v>
      </c>
      <c r="I996" s="32">
        <v>1160.17</v>
      </c>
      <c r="J996" t="s">
        <v>267</v>
      </c>
      <c r="K996" t="s">
        <v>245</v>
      </c>
      <c r="L996" t="s">
        <v>235</v>
      </c>
      <c r="M996" t="s">
        <v>236</v>
      </c>
      <c r="N996" t="s">
        <v>240</v>
      </c>
      <c r="O996" s="27">
        <v>46063</v>
      </c>
    </row>
    <row r="997" spans="2:15" hidden="1" x14ac:dyDescent="0.3">
      <c r="B997">
        <v>54685</v>
      </c>
      <c r="C997" t="s">
        <v>260</v>
      </c>
      <c r="D997">
        <v>22674</v>
      </c>
      <c r="E997" t="s">
        <v>150</v>
      </c>
      <c r="F997" t="s">
        <v>341</v>
      </c>
      <c r="G997" s="28">
        <v>35</v>
      </c>
      <c r="H997" s="32">
        <v>10.41</v>
      </c>
      <c r="I997" s="32">
        <v>1798.3</v>
      </c>
      <c r="J997" t="s">
        <v>330</v>
      </c>
      <c r="K997" t="s">
        <v>234</v>
      </c>
      <c r="L997" t="s">
        <v>235</v>
      </c>
      <c r="M997" t="s">
        <v>236</v>
      </c>
      <c r="N997" t="s">
        <v>240</v>
      </c>
      <c r="O997" s="27">
        <v>46063</v>
      </c>
    </row>
    <row r="998" spans="2:15" hidden="1" x14ac:dyDescent="0.3">
      <c r="B998">
        <v>7072263</v>
      </c>
      <c r="C998" t="s">
        <v>260</v>
      </c>
      <c r="D998">
        <v>23410</v>
      </c>
      <c r="E998" t="s">
        <v>150</v>
      </c>
      <c r="F998" t="s">
        <v>276</v>
      </c>
      <c r="G998" s="28">
        <v>50</v>
      </c>
      <c r="H998" s="32">
        <v>10.4</v>
      </c>
      <c r="I998" s="32">
        <v>1577.32</v>
      </c>
      <c r="J998" t="s">
        <v>239</v>
      </c>
      <c r="K998" t="s">
        <v>245</v>
      </c>
      <c r="L998" t="s">
        <v>235</v>
      </c>
      <c r="M998" t="s">
        <v>236</v>
      </c>
      <c r="N998" t="s">
        <v>237</v>
      </c>
      <c r="O998" s="27">
        <v>46076</v>
      </c>
    </row>
    <row r="999" spans="2:15" hidden="1" x14ac:dyDescent="0.3">
      <c r="B999">
        <v>7072263</v>
      </c>
      <c r="C999" t="s">
        <v>260</v>
      </c>
      <c r="D999">
        <v>23410</v>
      </c>
      <c r="E999" t="s">
        <v>150</v>
      </c>
      <c r="F999" t="s">
        <v>160</v>
      </c>
      <c r="G999" s="28">
        <v>18</v>
      </c>
      <c r="H999" s="32">
        <v>10.38</v>
      </c>
      <c r="I999" s="32">
        <v>1573.54</v>
      </c>
      <c r="J999" t="s">
        <v>239</v>
      </c>
      <c r="K999" t="s">
        <v>245</v>
      </c>
      <c r="L999" t="s">
        <v>235</v>
      </c>
      <c r="M999" t="s">
        <v>236</v>
      </c>
      <c r="N999" t="s">
        <v>237</v>
      </c>
      <c r="O999" s="27">
        <v>46076</v>
      </c>
    </row>
    <row r="1000" spans="2:15" hidden="1" x14ac:dyDescent="0.3">
      <c r="B1000">
        <v>2932273</v>
      </c>
      <c r="C1000" t="s">
        <v>260</v>
      </c>
      <c r="D1000">
        <v>40901</v>
      </c>
      <c r="E1000" t="s">
        <v>150</v>
      </c>
      <c r="F1000" t="s">
        <v>329</v>
      </c>
      <c r="G1000" s="28">
        <v>13</v>
      </c>
      <c r="H1000" s="32">
        <v>10.38</v>
      </c>
      <c r="I1000" s="32">
        <v>1131.04</v>
      </c>
      <c r="J1000" t="s">
        <v>330</v>
      </c>
      <c r="K1000" t="s">
        <v>234</v>
      </c>
      <c r="L1000" t="s">
        <v>235</v>
      </c>
      <c r="M1000" t="s">
        <v>236</v>
      </c>
      <c r="N1000" t="s">
        <v>237</v>
      </c>
      <c r="O1000" s="27">
        <v>46063</v>
      </c>
    </row>
    <row r="1001" spans="2:15" hidden="1" x14ac:dyDescent="0.3">
      <c r="B1001">
        <v>440722</v>
      </c>
      <c r="C1001" t="s">
        <v>231</v>
      </c>
      <c r="D1001">
        <v>21468</v>
      </c>
      <c r="E1001" t="s">
        <v>150</v>
      </c>
      <c r="F1001" t="s">
        <v>160</v>
      </c>
      <c r="G1001" s="28">
        <v>17</v>
      </c>
      <c r="H1001" s="32">
        <v>10.37</v>
      </c>
      <c r="I1001" s="32">
        <v>1469.13</v>
      </c>
      <c r="J1001" t="s">
        <v>239</v>
      </c>
      <c r="K1001" t="s">
        <v>245</v>
      </c>
      <c r="L1001" t="s">
        <v>235</v>
      </c>
      <c r="M1001" t="s">
        <v>236</v>
      </c>
      <c r="N1001" t="s">
        <v>237</v>
      </c>
      <c r="O1001" s="27">
        <v>46062</v>
      </c>
    </row>
    <row r="1002" spans="2:15" hidden="1" x14ac:dyDescent="0.3">
      <c r="B1002">
        <v>14521528</v>
      </c>
      <c r="C1002" t="s">
        <v>260</v>
      </c>
      <c r="D1002">
        <v>25619</v>
      </c>
      <c r="E1002" t="s">
        <v>150</v>
      </c>
      <c r="F1002" t="s">
        <v>282</v>
      </c>
      <c r="G1002" s="28">
        <v>40</v>
      </c>
      <c r="H1002" s="32">
        <v>10.37</v>
      </c>
      <c r="I1002" s="32">
        <v>2043.59</v>
      </c>
      <c r="J1002" t="s">
        <v>239</v>
      </c>
      <c r="K1002" t="s">
        <v>245</v>
      </c>
      <c r="L1002" t="s">
        <v>235</v>
      </c>
      <c r="M1002" t="s">
        <v>236</v>
      </c>
      <c r="N1002" t="s">
        <v>240</v>
      </c>
      <c r="O1002" s="27">
        <v>46063</v>
      </c>
    </row>
    <row r="1003" spans="2:15" hidden="1" x14ac:dyDescent="0.3">
      <c r="B1003">
        <v>2328302</v>
      </c>
      <c r="C1003" t="s">
        <v>231</v>
      </c>
      <c r="D1003">
        <v>22674</v>
      </c>
      <c r="E1003" t="s">
        <v>150</v>
      </c>
      <c r="F1003" t="s">
        <v>337</v>
      </c>
      <c r="G1003" s="28">
        <v>66</v>
      </c>
      <c r="H1003" s="32">
        <v>10.36</v>
      </c>
      <c r="I1003" s="32">
        <v>2425.71</v>
      </c>
      <c r="J1003" t="s">
        <v>239</v>
      </c>
      <c r="K1003" t="s">
        <v>245</v>
      </c>
      <c r="L1003" t="s">
        <v>235</v>
      </c>
      <c r="M1003" t="s">
        <v>236</v>
      </c>
      <c r="N1003" t="s">
        <v>237</v>
      </c>
      <c r="O1003" s="27">
        <v>46055</v>
      </c>
    </row>
    <row r="1004" spans="2:15" hidden="1" x14ac:dyDescent="0.3">
      <c r="B1004">
        <v>2403987</v>
      </c>
      <c r="C1004" t="s">
        <v>231</v>
      </c>
      <c r="D1004">
        <v>23648</v>
      </c>
      <c r="E1004" t="s">
        <v>150</v>
      </c>
      <c r="F1004" t="s">
        <v>369</v>
      </c>
      <c r="G1004" s="28">
        <v>33</v>
      </c>
      <c r="H1004" s="32">
        <v>10.35</v>
      </c>
      <c r="I1004" s="32">
        <v>1818.47</v>
      </c>
      <c r="J1004" t="s">
        <v>239</v>
      </c>
      <c r="K1004" t="s">
        <v>245</v>
      </c>
      <c r="L1004" t="s">
        <v>235</v>
      </c>
      <c r="M1004" t="s">
        <v>236</v>
      </c>
      <c r="N1004" t="s">
        <v>240</v>
      </c>
      <c r="O1004" s="27">
        <v>46063</v>
      </c>
    </row>
    <row r="1005" spans="2:15" hidden="1" x14ac:dyDescent="0.3">
      <c r="B1005">
        <v>54685</v>
      </c>
      <c r="C1005" t="s">
        <v>260</v>
      </c>
      <c r="D1005">
        <v>22674</v>
      </c>
      <c r="E1005" t="s">
        <v>150</v>
      </c>
      <c r="F1005" t="s">
        <v>374</v>
      </c>
      <c r="G1005" s="28">
        <v>57</v>
      </c>
      <c r="H1005" s="32">
        <v>10.35</v>
      </c>
      <c r="I1005" s="32">
        <v>1787.52</v>
      </c>
      <c r="J1005" t="s">
        <v>330</v>
      </c>
      <c r="K1005" t="s">
        <v>234</v>
      </c>
      <c r="L1005" t="s">
        <v>235</v>
      </c>
      <c r="M1005" t="s">
        <v>236</v>
      </c>
      <c r="N1005" t="s">
        <v>240</v>
      </c>
      <c r="O1005" s="27">
        <v>46063</v>
      </c>
    </row>
    <row r="1006" spans="2:15" hidden="1" x14ac:dyDescent="0.3">
      <c r="B1006">
        <v>3055824</v>
      </c>
      <c r="C1006" t="s">
        <v>231</v>
      </c>
      <c r="D1006">
        <v>96553</v>
      </c>
      <c r="E1006" t="s">
        <v>150</v>
      </c>
      <c r="F1006" t="s">
        <v>298</v>
      </c>
      <c r="G1006" s="28">
        <v>40</v>
      </c>
      <c r="H1006" s="32">
        <v>10.34</v>
      </c>
      <c r="I1006" s="32">
        <v>696.54</v>
      </c>
      <c r="J1006" t="s">
        <v>239</v>
      </c>
      <c r="K1006" t="s">
        <v>245</v>
      </c>
      <c r="L1006" t="s">
        <v>235</v>
      </c>
      <c r="M1006" t="s">
        <v>236</v>
      </c>
      <c r="N1006" t="s">
        <v>237</v>
      </c>
      <c r="O1006" s="27">
        <v>46063</v>
      </c>
    </row>
    <row r="1007" spans="2:15" hidden="1" x14ac:dyDescent="0.3">
      <c r="B1007">
        <v>11610966</v>
      </c>
      <c r="C1007" t="s">
        <v>260</v>
      </c>
      <c r="D1007">
        <v>40901</v>
      </c>
      <c r="E1007" t="s">
        <v>150</v>
      </c>
      <c r="F1007" t="s">
        <v>329</v>
      </c>
      <c r="G1007" s="28">
        <v>14</v>
      </c>
      <c r="H1007" s="32">
        <v>10.34</v>
      </c>
      <c r="I1007" s="32">
        <v>1230.32</v>
      </c>
      <c r="J1007" t="s">
        <v>330</v>
      </c>
      <c r="K1007" t="s">
        <v>234</v>
      </c>
      <c r="L1007" t="s">
        <v>235</v>
      </c>
      <c r="M1007" t="s">
        <v>236</v>
      </c>
      <c r="N1007" t="s">
        <v>237</v>
      </c>
      <c r="O1007" s="27">
        <v>46056</v>
      </c>
    </row>
    <row r="1008" spans="2:15" hidden="1" x14ac:dyDescent="0.3">
      <c r="B1008">
        <v>5362471</v>
      </c>
      <c r="C1008" t="s">
        <v>260</v>
      </c>
      <c r="D1008">
        <v>22674</v>
      </c>
      <c r="E1008" t="s">
        <v>150</v>
      </c>
      <c r="F1008" t="s">
        <v>319</v>
      </c>
      <c r="G1008" s="28">
        <v>38</v>
      </c>
      <c r="H1008" s="32">
        <v>10.31</v>
      </c>
      <c r="I1008" s="32">
        <v>1564.68</v>
      </c>
      <c r="J1008" t="s">
        <v>239</v>
      </c>
      <c r="K1008" t="s">
        <v>245</v>
      </c>
      <c r="L1008" t="s">
        <v>235</v>
      </c>
      <c r="M1008" t="s">
        <v>236</v>
      </c>
      <c r="N1008" t="s">
        <v>237</v>
      </c>
      <c r="O1008" s="27">
        <v>46072</v>
      </c>
    </row>
    <row r="1009" spans="2:15" hidden="1" x14ac:dyDescent="0.3">
      <c r="B1009">
        <v>2340782</v>
      </c>
      <c r="C1009" t="s">
        <v>231</v>
      </c>
      <c r="D1009">
        <v>49894</v>
      </c>
      <c r="E1009" t="s">
        <v>150</v>
      </c>
      <c r="F1009" t="s">
        <v>246</v>
      </c>
      <c r="G1009" s="28">
        <v>42</v>
      </c>
      <c r="H1009" s="32">
        <v>10.28</v>
      </c>
      <c r="I1009" s="32">
        <v>1560.18</v>
      </c>
      <c r="J1009" t="s">
        <v>239</v>
      </c>
      <c r="K1009" t="s">
        <v>245</v>
      </c>
      <c r="L1009" t="s">
        <v>235</v>
      </c>
      <c r="M1009" t="s">
        <v>236</v>
      </c>
      <c r="N1009" t="s">
        <v>237</v>
      </c>
      <c r="O1009" s="27">
        <v>46063</v>
      </c>
    </row>
    <row r="1010" spans="2:15" hidden="1" x14ac:dyDescent="0.3">
      <c r="B1010">
        <v>7072263</v>
      </c>
      <c r="C1010" t="s">
        <v>260</v>
      </c>
      <c r="D1010">
        <v>23410</v>
      </c>
      <c r="E1010" t="s">
        <v>150</v>
      </c>
      <c r="F1010" t="s">
        <v>277</v>
      </c>
      <c r="G1010" s="28">
        <v>38</v>
      </c>
      <c r="H1010" s="32">
        <v>10.28</v>
      </c>
      <c r="I1010" s="32">
        <v>1558.29</v>
      </c>
      <c r="J1010" t="s">
        <v>239</v>
      </c>
      <c r="K1010" t="s">
        <v>245</v>
      </c>
      <c r="L1010" t="s">
        <v>235</v>
      </c>
      <c r="M1010" t="s">
        <v>236</v>
      </c>
      <c r="N1010" t="s">
        <v>237</v>
      </c>
      <c r="O1010" s="27">
        <v>46076</v>
      </c>
    </row>
    <row r="1011" spans="2:15" hidden="1" x14ac:dyDescent="0.3">
      <c r="B1011">
        <v>7296870</v>
      </c>
      <c r="C1011" t="s">
        <v>231</v>
      </c>
      <c r="D1011">
        <v>96553</v>
      </c>
      <c r="E1011" t="s">
        <v>150</v>
      </c>
      <c r="F1011" t="s">
        <v>258</v>
      </c>
      <c r="G1011" s="28">
        <v>61</v>
      </c>
      <c r="H1011" s="32">
        <v>10.27</v>
      </c>
      <c r="I1011" s="32">
        <v>659.64</v>
      </c>
      <c r="J1011" t="s">
        <v>239</v>
      </c>
      <c r="K1011" t="s">
        <v>245</v>
      </c>
      <c r="L1011" t="s">
        <v>235</v>
      </c>
      <c r="M1011" t="s">
        <v>236</v>
      </c>
      <c r="N1011" t="s">
        <v>240</v>
      </c>
      <c r="O1011" s="27">
        <v>46055</v>
      </c>
    </row>
    <row r="1012" spans="2:15" hidden="1" x14ac:dyDescent="0.3">
      <c r="B1012">
        <v>5599981</v>
      </c>
      <c r="C1012" t="s">
        <v>231</v>
      </c>
      <c r="D1012">
        <v>69493</v>
      </c>
      <c r="E1012" t="s">
        <v>150</v>
      </c>
      <c r="F1012" t="s">
        <v>369</v>
      </c>
      <c r="G1012" s="28">
        <v>33</v>
      </c>
      <c r="H1012" s="32">
        <v>10.24</v>
      </c>
      <c r="I1012" s="32">
        <v>1818.47</v>
      </c>
      <c r="J1012" t="s">
        <v>239</v>
      </c>
      <c r="K1012" t="s">
        <v>245</v>
      </c>
      <c r="L1012" t="s">
        <v>235</v>
      </c>
      <c r="M1012" t="s">
        <v>236</v>
      </c>
      <c r="N1012" t="s">
        <v>240</v>
      </c>
      <c r="O1012" s="27">
        <v>46063</v>
      </c>
    </row>
    <row r="1013" spans="2:15" hidden="1" x14ac:dyDescent="0.3">
      <c r="B1013">
        <v>2922242</v>
      </c>
      <c r="C1013" t="s">
        <v>260</v>
      </c>
      <c r="D1013">
        <v>69519</v>
      </c>
      <c r="E1013" t="s">
        <v>150</v>
      </c>
      <c r="F1013" t="s">
        <v>345</v>
      </c>
      <c r="G1013" s="28">
        <v>40</v>
      </c>
      <c r="H1013" s="32">
        <v>10.24</v>
      </c>
      <c r="I1013" s="32">
        <v>1904.8</v>
      </c>
      <c r="J1013" t="s">
        <v>330</v>
      </c>
      <c r="K1013" t="s">
        <v>234</v>
      </c>
      <c r="L1013" t="s">
        <v>235</v>
      </c>
      <c r="M1013" t="s">
        <v>236</v>
      </c>
      <c r="N1013" t="s">
        <v>237</v>
      </c>
      <c r="O1013" s="27">
        <v>46062</v>
      </c>
    </row>
    <row r="1014" spans="2:15" hidden="1" x14ac:dyDescent="0.3">
      <c r="B1014">
        <v>11593572</v>
      </c>
      <c r="C1014" t="s">
        <v>231</v>
      </c>
      <c r="D1014">
        <v>22674</v>
      </c>
      <c r="E1014" t="s">
        <v>150</v>
      </c>
      <c r="F1014" t="s">
        <v>371</v>
      </c>
      <c r="G1014" s="28">
        <v>117</v>
      </c>
      <c r="H1014" s="32">
        <v>10.23</v>
      </c>
      <c r="I1014" s="32">
        <v>1132.56</v>
      </c>
      <c r="J1014" t="s">
        <v>267</v>
      </c>
      <c r="K1014" t="s">
        <v>245</v>
      </c>
      <c r="L1014" t="s">
        <v>235</v>
      </c>
      <c r="M1014" t="s">
        <v>236</v>
      </c>
      <c r="N1014" t="s">
        <v>237</v>
      </c>
      <c r="O1014" s="27">
        <v>46056</v>
      </c>
    </row>
    <row r="1015" spans="2:15" hidden="1" x14ac:dyDescent="0.3">
      <c r="B1015">
        <v>2143207</v>
      </c>
      <c r="C1015" t="s">
        <v>231</v>
      </c>
      <c r="D1015">
        <v>21468</v>
      </c>
      <c r="E1015" t="s">
        <v>150</v>
      </c>
      <c r="F1015" t="s">
        <v>329</v>
      </c>
      <c r="G1015" s="28">
        <v>17</v>
      </c>
      <c r="H1015" s="32">
        <v>10.23</v>
      </c>
      <c r="I1015" s="32">
        <v>1513.51</v>
      </c>
      <c r="J1015" t="s">
        <v>330</v>
      </c>
      <c r="K1015" t="s">
        <v>234</v>
      </c>
      <c r="L1015" t="s">
        <v>235</v>
      </c>
      <c r="M1015" t="s">
        <v>236</v>
      </c>
      <c r="N1015" t="s">
        <v>237</v>
      </c>
      <c r="O1015" s="27">
        <v>46057</v>
      </c>
    </row>
    <row r="1016" spans="2:15" hidden="1" x14ac:dyDescent="0.3">
      <c r="B1016">
        <v>4089266</v>
      </c>
      <c r="C1016" t="s">
        <v>260</v>
      </c>
      <c r="D1016">
        <v>22674</v>
      </c>
      <c r="E1016" t="s">
        <v>150</v>
      </c>
      <c r="F1016" t="s">
        <v>298</v>
      </c>
      <c r="G1016" s="28">
        <v>39</v>
      </c>
      <c r="H1016" s="32">
        <v>10.23</v>
      </c>
      <c r="I1016" s="32">
        <v>679.06</v>
      </c>
      <c r="J1016" t="s">
        <v>239</v>
      </c>
      <c r="K1016" t="s">
        <v>245</v>
      </c>
      <c r="L1016" t="s">
        <v>235</v>
      </c>
      <c r="M1016" t="s">
        <v>236</v>
      </c>
      <c r="N1016" t="s">
        <v>237</v>
      </c>
      <c r="O1016" s="27">
        <v>46063</v>
      </c>
    </row>
    <row r="1017" spans="2:15" hidden="1" x14ac:dyDescent="0.3">
      <c r="B1017">
        <v>2403987</v>
      </c>
      <c r="C1017" t="s">
        <v>231</v>
      </c>
      <c r="D1017">
        <v>23648</v>
      </c>
      <c r="E1017" t="s">
        <v>150</v>
      </c>
      <c r="F1017" t="s">
        <v>163</v>
      </c>
      <c r="G1017" s="28">
        <v>53</v>
      </c>
      <c r="H1017" s="32">
        <v>10.199999999999999</v>
      </c>
      <c r="I1017" s="32">
        <v>739.91</v>
      </c>
      <c r="J1017" t="s">
        <v>239</v>
      </c>
      <c r="K1017" t="s">
        <v>245</v>
      </c>
      <c r="L1017" t="s">
        <v>235</v>
      </c>
      <c r="M1017" t="s">
        <v>236</v>
      </c>
      <c r="N1017" t="s">
        <v>237</v>
      </c>
      <c r="O1017" s="27">
        <v>46063</v>
      </c>
    </row>
    <row r="1018" spans="2:15" hidden="1" x14ac:dyDescent="0.3">
      <c r="B1018">
        <v>18872460</v>
      </c>
      <c r="C1018" t="s">
        <v>231</v>
      </c>
      <c r="D1018">
        <v>74304</v>
      </c>
      <c r="E1018" t="s">
        <v>150</v>
      </c>
      <c r="F1018" t="s">
        <v>277</v>
      </c>
      <c r="G1018" s="28">
        <v>54</v>
      </c>
      <c r="H1018" s="32">
        <v>10.199999999999999</v>
      </c>
      <c r="I1018" s="32">
        <v>1959.4</v>
      </c>
      <c r="J1018" t="s">
        <v>239</v>
      </c>
      <c r="K1018" t="s">
        <v>245</v>
      </c>
      <c r="L1018" t="s">
        <v>235</v>
      </c>
      <c r="M1018" t="s">
        <v>236</v>
      </c>
      <c r="N1018" t="s">
        <v>237</v>
      </c>
      <c r="O1018" s="27">
        <v>46055</v>
      </c>
    </row>
    <row r="1019" spans="2:15" hidden="1" x14ac:dyDescent="0.3">
      <c r="B1019">
        <v>18872460</v>
      </c>
      <c r="C1019" t="s">
        <v>231</v>
      </c>
      <c r="D1019">
        <v>74304</v>
      </c>
      <c r="E1019" t="s">
        <v>150</v>
      </c>
      <c r="F1019" t="s">
        <v>271</v>
      </c>
      <c r="G1019" s="28">
        <v>111</v>
      </c>
      <c r="H1019" s="32">
        <v>10.199999999999999</v>
      </c>
      <c r="I1019" s="32">
        <v>1959.86</v>
      </c>
      <c r="J1019" t="s">
        <v>239</v>
      </c>
      <c r="K1019" t="s">
        <v>245</v>
      </c>
      <c r="L1019" t="s">
        <v>235</v>
      </c>
      <c r="M1019" t="s">
        <v>236</v>
      </c>
      <c r="N1019" t="s">
        <v>237</v>
      </c>
      <c r="O1019" s="27">
        <v>46055</v>
      </c>
    </row>
    <row r="1020" spans="2:15" hidden="1" x14ac:dyDescent="0.3">
      <c r="B1020">
        <v>5362471</v>
      </c>
      <c r="C1020" t="s">
        <v>260</v>
      </c>
      <c r="D1020">
        <v>22674</v>
      </c>
      <c r="E1020" t="s">
        <v>150</v>
      </c>
      <c r="F1020" t="s">
        <v>298</v>
      </c>
      <c r="G1020" s="28">
        <v>37</v>
      </c>
      <c r="H1020" s="32">
        <v>10.199999999999999</v>
      </c>
      <c r="I1020" s="32">
        <v>644.33000000000004</v>
      </c>
      <c r="J1020" t="s">
        <v>239</v>
      </c>
      <c r="K1020" t="s">
        <v>245</v>
      </c>
      <c r="L1020" t="s">
        <v>235</v>
      </c>
      <c r="M1020" t="s">
        <v>236</v>
      </c>
      <c r="N1020" t="s">
        <v>237</v>
      </c>
      <c r="O1020" s="27">
        <v>46063</v>
      </c>
    </row>
    <row r="1021" spans="2:15" hidden="1" x14ac:dyDescent="0.3">
      <c r="B1021">
        <v>4535206</v>
      </c>
      <c r="C1021" t="s">
        <v>231</v>
      </c>
      <c r="D1021">
        <v>68542</v>
      </c>
      <c r="E1021" t="s">
        <v>150</v>
      </c>
      <c r="F1021" t="s">
        <v>282</v>
      </c>
      <c r="G1021" s="28">
        <v>26</v>
      </c>
      <c r="H1021" s="32">
        <v>10.17</v>
      </c>
      <c r="I1021" s="32">
        <v>1322.38</v>
      </c>
      <c r="J1021" t="s">
        <v>239</v>
      </c>
      <c r="K1021" t="s">
        <v>245</v>
      </c>
      <c r="L1021" t="s">
        <v>235</v>
      </c>
      <c r="M1021" t="s">
        <v>236</v>
      </c>
      <c r="N1021" t="s">
        <v>240</v>
      </c>
      <c r="O1021" s="27">
        <v>46055</v>
      </c>
    </row>
    <row r="1022" spans="2:15" hidden="1" x14ac:dyDescent="0.3">
      <c r="B1022">
        <v>5664804</v>
      </c>
      <c r="C1022" t="s">
        <v>231</v>
      </c>
      <c r="D1022">
        <v>69493</v>
      </c>
      <c r="E1022" t="s">
        <v>150</v>
      </c>
      <c r="F1022" t="s">
        <v>282</v>
      </c>
      <c r="G1022" s="28">
        <v>20</v>
      </c>
      <c r="H1022" s="32">
        <v>10.16</v>
      </c>
      <c r="I1022" s="32">
        <v>1017.22</v>
      </c>
      <c r="J1022" t="s">
        <v>239</v>
      </c>
      <c r="K1022" t="s">
        <v>245</v>
      </c>
      <c r="L1022" t="s">
        <v>235</v>
      </c>
      <c r="M1022" t="s">
        <v>236</v>
      </c>
      <c r="N1022" t="s">
        <v>240</v>
      </c>
      <c r="O1022" s="27">
        <v>46055</v>
      </c>
    </row>
    <row r="1023" spans="2:15" hidden="1" x14ac:dyDescent="0.3">
      <c r="B1023">
        <v>3321439</v>
      </c>
      <c r="C1023" t="s">
        <v>231</v>
      </c>
      <c r="D1023">
        <v>22674</v>
      </c>
      <c r="E1023" t="s">
        <v>150</v>
      </c>
      <c r="F1023" t="s">
        <v>163</v>
      </c>
      <c r="G1023" s="28">
        <v>52</v>
      </c>
      <c r="H1023" s="32">
        <v>10.15</v>
      </c>
      <c r="I1023" s="32">
        <v>725.95</v>
      </c>
      <c r="J1023" t="s">
        <v>239</v>
      </c>
      <c r="K1023" t="s">
        <v>245</v>
      </c>
      <c r="L1023" t="s">
        <v>235</v>
      </c>
      <c r="M1023" t="s">
        <v>236</v>
      </c>
      <c r="N1023" t="s">
        <v>237</v>
      </c>
      <c r="O1023" s="27">
        <v>46063</v>
      </c>
    </row>
    <row r="1024" spans="2:15" hidden="1" x14ac:dyDescent="0.3">
      <c r="B1024">
        <v>5263260</v>
      </c>
      <c r="C1024" t="s">
        <v>231</v>
      </c>
      <c r="D1024">
        <v>23648</v>
      </c>
      <c r="E1024" t="s">
        <v>150</v>
      </c>
      <c r="F1024" t="s">
        <v>340</v>
      </c>
      <c r="G1024" s="28">
        <v>30</v>
      </c>
      <c r="H1024" s="32">
        <v>10.119999999999999</v>
      </c>
      <c r="I1024" s="32">
        <v>1795.8</v>
      </c>
      <c r="J1024" t="s">
        <v>330</v>
      </c>
      <c r="K1024" t="s">
        <v>234</v>
      </c>
      <c r="L1024" t="s">
        <v>235</v>
      </c>
      <c r="M1024" t="s">
        <v>236</v>
      </c>
      <c r="N1024" t="s">
        <v>237</v>
      </c>
      <c r="O1024" s="27">
        <v>46064</v>
      </c>
    </row>
    <row r="1025" spans="2:15" hidden="1" x14ac:dyDescent="0.3">
      <c r="B1025">
        <v>54685</v>
      </c>
      <c r="C1025" t="s">
        <v>260</v>
      </c>
      <c r="D1025">
        <v>22674</v>
      </c>
      <c r="E1025" t="s">
        <v>150</v>
      </c>
      <c r="F1025" t="s">
        <v>298</v>
      </c>
      <c r="G1025" s="28">
        <v>100</v>
      </c>
      <c r="H1025" s="32">
        <v>10.119999999999999</v>
      </c>
      <c r="I1025" s="32">
        <v>1749</v>
      </c>
      <c r="J1025" t="s">
        <v>239</v>
      </c>
      <c r="K1025" t="s">
        <v>234</v>
      </c>
      <c r="L1025" t="s">
        <v>235</v>
      </c>
      <c r="M1025" t="s">
        <v>236</v>
      </c>
      <c r="N1025" t="s">
        <v>240</v>
      </c>
      <c r="O1025" s="27">
        <v>46063</v>
      </c>
    </row>
    <row r="1026" spans="2:15" hidden="1" x14ac:dyDescent="0.3">
      <c r="B1026">
        <v>11610966</v>
      </c>
      <c r="C1026" t="s">
        <v>260</v>
      </c>
      <c r="D1026">
        <v>40901</v>
      </c>
      <c r="E1026" t="s">
        <v>150</v>
      </c>
      <c r="F1026" t="s">
        <v>379</v>
      </c>
      <c r="G1026" s="28">
        <v>86</v>
      </c>
      <c r="H1026" s="32">
        <v>10.119999999999999</v>
      </c>
      <c r="I1026" s="32">
        <v>1204</v>
      </c>
      <c r="J1026" t="s">
        <v>330</v>
      </c>
      <c r="K1026" t="s">
        <v>234</v>
      </c>
      <c r="L1026" t="s">
        <v>235</v>
      </c>
      <c r="M1026" t="s">
        <v>236</v>
      </c>
      <c r="N1026" t="s">
        <v>237</v>
      </c>
      <c r="O1026" s="27">
        <v>46056</v>
      </c>
    </row>
    <row r="1027" spans="2:15" hidden="1" x14ac:dyDescent="0.3">
      <c r="B1027">
        <v>7072263</v>
      </c>
      <c r="C1027" t="s">
        <v>260</v>
      </c>
      <c r="D1027">
        <v>23410</v>
      </c>
      <c r="E1027" t="s">
        <v>150</v>
      </c>
      <c r="F1027" t="s">
        <v>164</v>
      </c>
      <c r="G1027" s="28">
        <v>32</v>
      </c>
      <c r="H1027" s="32">
        <v>10.11</v>
      </c>
      <c r="I1027" s="32">
        <v>1533.29</v>
      </c>
      <c r="J1027" t="s">
        <v>239</v>
      </c>
      <c r="K1027" t="s">
        <v>245</v>
      </c>
      <c r="L1027" t="s">
        <v>235</v>
      </c>
      <c r="M1027" t="s">
        <v>236</v>
      </c>
      <c r="N1027" t="s">
        <v>237</v>
      </c>
      <c r="O1027" s="27">
        <v>46076</v>
      </c>
    </row>
    <row r="1028" spans="2:15" hidden="1" x14ac:dyDescent="0.3">
      <c r="B1028">
        <v>11610966</v>
      </c>
      <c r="C1028" t="s">
        <v>260</v>
      </c>
      <c r="D1028">
        <v>40901</v>
      </c>
      <c r="E1028" t="s">
        <v>150</v>
      </c>
      <c r="F1028" t="s">
        <v>345</v>
      </c>
      <c r="G1028" s="28">
        <v>26</v>
      </c>
      <c r="H1028" s="32">
        <v>10.11</v>
      </c>
      <c r="I1028" s="32">
        <v>1202.76</v>
      </c>
      <c r="J1028" t="s">
        <v>330</v>
      </c>
      <c r="K1028" t="s">
        <v>234</v>
      </c>
      <c r="L1028" t="s">
        <v>235</v>
      </c>
      <c r="M1028" t="s">
        <v>236</v>
      </c>
      <c r="N1028" t="s">
        <v>237</v>
      </c>
      <c r="O1028" s="27">
        <v>46056</v>
      </c>
    </row>
    <row r="1029" spans="2:15" hidden="1" x14ac:dyDescent="0.3">
      <c r="B1029">
        <v>3684655</v>
      </c>
      <c r="C1029" t="s">
        <v>260</v>
      </c>
      <c r="D1029">
        <v>38517</v>
      </c>
      <c r="E1029" t="s">
        <v>150</v>
      </c>
      <c r="F1029" t="s">
        <v>163</v>
      </c>
      <c r="G1029" s="28">
        <v>52</v>
      </c>
      <c r="H1029" s="32">
        <v>10.1</v>
      </c>
      <c r="I1029" s="32">
        <v>725.95</v>
      </c>
      <c r="J1029" t="s">
        <v>239</v>
      </c>
      <c r="K1029" t="s">
        <v>245</v>
      </c>
      <c r="L1029" t="s">
        <v>235</v>
      </c>
      <c r="M1029" t="s">
        <v>236</v>
      </c>
      <c r="N1029" t="s">
        <v>237</v>
      </c>
      <c r="O1029" s="27">
        <v>46063</v>
      </c>
    </row>
    <row r="1030" spans="2:15" hidden="1" x14ac:dyDescent="0.3">
      <c r="B1030">
        <v>2932273</v>
      </c>
      <c r="C1030" t="s">
        <v>260</v>
      </c>
      <c r="D1030">
        <v>40901</v>
      </c>
      <c r="E1030" t="s">
        <v>150</v>
      </c>
      <c r="F1030" t="s">
        <v>377</v>
      </c>
      <c r="G1030" s="28">
        <v>35</v>
      </c>
      <c r="H1030" s="32">
        <v>10.08</v>
      </c>
      <c r="I1030" s="32">
        <v>1098.3399999999999</v>
      </c>
      <c r="J1030" t="s">
        <v>330</v>
      </c>
      <c r="K1030" t="s">
        <v>234</v>
      </c>
      <c r="L1030" t="s">
        <v>235</v>
      </c>
      <c r="M1030" t="s">
        <v>236</v>
      </c>
      <c r="N1030" t="s">
        <v>237</v>
      </c>
      <c r="O1030" s="27">
        <v>46063</v>
      </c>
    </row>
    <row r="1031" spans="2:15" hidden="1" x14ac:dyDescent="0.3">
      <c r="B1031">
        <v>2987541</v>
      </c>
      <c r="C1031" t="s">
        <v>231</v>
      </c>
      <c r="D1031">
        <v>23648</v>
      </c>
      <c r="E1031" t="s">
        <v>150</v>
      </c>
      <c r="F1031" t="s">
        <v>369</v>
      </c>
      <c r="G1031" s="28">
        <v>32</v>
      </c>
      <c r="H1031" s="32">
        <v>10.06</v>
      </c>
      <c r="I1031" s="32">
        <v>1763.28</v>
      </c>
      <c r="J1031" t="s">
        <v>239</v>
      </c>
      <c r="K1031" t="s">
        <v>245</v>
      </c>
      <c r="L1031" t="s">
        <v>235</v>
      </c>
      <c r="M1031" t="s">
        <v>236</v>
      </c>
      <c r="N1031" t="s">
        <v>240</v>
      </c>
      <c r="O1031" s="27">
        <v>46063</v>
      </c>
    </row>
    <row r="1032" spans="2:15" hidden="1" x14ac:dyDescent="0.3">
      <c r="B1032">
        <v>3914788</v>
      </c>
      <c r="C1032" t="s">
        <v>260</v>
      </c>
      <c r="D1032">
        <v>21468</v>
      </c>
      <c r="E1032" t="s">
        <v>150</v>
      </c>
      <c r="F1032" t="s">
        <v>298</v>
      </c>
      <c r="G1032" s="28">
        <v>36</v>
      </c>
      <c r="H1032" s="32">
        <v>10.06</v>
      </c>
      <c r="I1032" s="32">
        <v>626.85</v>
      </c>
      <c r="J1032" t="s">
        <v>239</v>
      </c>
      <c r="K1032" t="s">
        <v>245</v>
      </c>
      <c r="L1032" t="s">
        <v>235</v>
      </c>
      <c r="M1032" t="s">
        <v>236</v>
      </c>
      <c r="N1032" t="s">
        <v>237</v>
      </c>
      <c r="O1032" s="27">
        <v>46063</v>
      </c>
    </row>
    <row r="1033" spans="2:15" hidden="1" x14ac:dyDescent="0.3">
      <c r="B1033">
        <v>3684655</v>
      </c>
      <c r="C1033" t="s">
        <v>260</v>
      </c>
      <c r="D1033">
        <v>38517</v>
      </c>
      <c r="E1033" t="s">
        <v>150</v>
      </c>
      <c r="F1033" t="s">
        <v>369</v>
      </c>
      <c r="G1033" s="28">
        <v>31</v>
      </c>
      <c r="H1033" s="32">
        <v>10.06</v>
      </c>
      <c r="I1033" s="32">
        <v>1708.22</v>
      </c>
      <c r="J1033" t="s">
        <v>239</v>
      </c>
      <c r="K1033" t="s">
        <v>245</v>
      </c>
      <c r="L1033" t="s">
        <v>235</v>
      </c>
      <c r="M1033" t="s">
        <v>236</v>
      </c>
      <c r="N1033" t="s">
        <v>240</v>
      </c>
      <c r="O1033" s="27">
        <v>46063</v>
      </c>
    </row>
    <row r="1034" spans="2:15" hidden="1" x14ac:dyDescent="0.3">
      <c r="B1034">
        <v>2143207</v>
      </c>
      <c r="C1034" t="s">
        <v>231</v>
      </c>
      <c r="D1034">
        <v>21468</v>
      </c>
      <c r="E1034" t="s">
        <v>150</v>
      </c>
      <c r="F1034" t="s">
        <v>361</v>
      </c>
      <c r="G1034" s="28">
        <v>40</v>
      </c>
      <c r="H1034" s="32">
        <v>10.050000000000001</v>
      </c>
      <c r="I1034" s="32">
        <v>1487.43</v>
      </c>
      <c r="J1034" t="s">
        <v>330</v>
      </c>
      <c r="K1034" t="s">
        <v>234</v>
      </c>
      <c r="L1034" t="s">
        <v>235</v>
      </c>
      <c r="M1034" t="s">
        <v>236</v>
      </c>
      <c r="N1034" t="s">
        <v>237</v>
      </c>
      <c r="O1034" s="27">
        <v>46057</v>
      </c>
    </row>
    <row r="1035" spans="2:15" hidden="1" x14ac:dyDescent="0.3">
      <c r="B1035">
        <v>11610966</v>
      </c>
      <c r="C1035" t="s">
        <v>260</v>
      </c>
      <c r="D1035">
        <v>40901</v>
      </c>
      <c r="E1035" t="s">
        <v>150</v>
      </c>
      <c r="F1035" t="s">
        <v>384</v>
      </c>
      <c r="G1035" s="28">
        <v>55</v>
      </c>
      <c r="H1035" s="32">
        <v>10.039999999999999</v>
      </c>
      <c r="I1035" s="32">
        <v>1195.1500000000001</v>
      </c>
      <c r="J1035" t="s">
        <v>330</v>
      </c>
      <c r="K1035" t="s">
        <v>234</v>
      </c>
      <c r="L1035" t="s">
        <v>235</v>
      </c>
      <c r="M1035" t="s">
        <v>236</v>
      </c>
      <c r="N1035" t="s">
        <v>237</v>
      </c>
      <c r="O1035" s="27">
        <v>46056</v>
      </c>
    </row>
    <row r="1036" spans="2:15" hidden="1" x14ac:dyDescent="0.3">
      <c r="B1036">
        <v>2091913</v>
      </c>
      <c r="C1036" t="s">
        <v>260</v>
      </c>
      <c r="D1036">
        <v>49894</v>
      </c>
      <c r="E1036" t="s">
        <v>150</v>
      </c>
      <c r="F1036" t="s">
        <v>282</v>
      </c>
      <c r="G1036" s="28">
        <v>39</v>
      </c>
      <c r="H1036" s="32">
        <v>10.039999999999999</v>
      </c>
      <c r="I1036" s="32">
        <v>1992.11</v>
      </c>
      <c r="J1036" t="s">
        <v>239</v>
      </c>
      <c r="K1036" t="s">
        <v>245</v>
      </c>
      <c r="L1036" t="s">
        <v>235</v>
      </c>
      <c r="M1036" t="s">
        <v>236</v>
      </c>
      <c r="N1036" t="s">
        <v>240</v>
      </c>
      <c r="O1036" s="27">
        <v>46063</v>
      </c>
    </row>
    <row r="1037" spans="2:15" hidden="1" x14ac:dyDescent="0.3">
      <c r="B1037">
        <v>2143207</v>
      </c>
      <c r="C1037" t="s">
        <v>231</v>
      </c>
      <c r="D1037">
        <v>21468</v>
      </c>
      <c r="E1037" t="s">
        <v>150</v>
      </c>
      <c r="F1037" t="s">
        <v>380</v>
      </c>
      <c r="G1037" s="28">
        <v>83</v>
      </c>
      <c r="H1037" s="32">
        <v>10.029999999999999</v>
      </c>
      <c r="I1037" s="32">
        <v>1483.21</v>
      </c>
      <c r="J1037" t="s">
        <v>330</v>
      </c>
      <c r="K1037" t="s">
        <v>234</v>
      </c>
      <c r="L1037" t="s">
        <v>235</v>
      </c>
      <c r="M1037" t="s">
        <v>236</v>
      </c>
      <c r="N1037" t="s">
        <v>237</v>
      </c>
      <c r="O1037" s="27">
        <v>46057</v>
      </c>
    </row>
    <row r="1038" spans="2:15" hidden="1" x14ac:dyDescent="0.3">
      <c r="B1038">
        <v>4381878</v>
      </c>
      <c r="C1038" t="s">
        <v>231</v>
      </c>
      <c r="D1038">
        <v>74304</v>
      </c>
      <c r="E1038" t="s">
        <v>150</v>
      </c>
      <c r="F1038" t="s">
        <v>320</v>
      </c>
      <c r="G1038" s="28">
        <v>26</v>
      </c>
      <c r="H1038" s="32">
        <v>10.029999999999999</v>
      </c>
      <c r="I1038" s="32">
        <v>1068.1400000000001</v>
      </c>
      <c r="J1038" t="s">
        <v>239</v>
      </c>
      <c r="K1038" t="s">
        <v>245</v>
      </c>
      <c r="L1038" t="s">
        <v>235</v>
      </c>
      <c r="M1038" t="s">
        <v>236</v>
      </c>
      <c r="N1038" t="s">
        <v>240</v>
      </c>
      <c r="O1038" s="27">
        <v>46072</v>
      </c>
    </row>
    <row r="1039" spans="2:15" hidden="1" x14ac:dyDescent="0.3">
      <c r="B1039">
        <v>2932273</v>
      </c>
      <c r="C1039" t="s">
        <v>260</v>
      </c>
      <c r="D1039">
        <v>40901</v>
      </c>
      <c r="E1039" t="s">
        <v>150</v>
      </c>
      <c r="F1039" t="s">
        <v>384</v>
      </c>
      <c r="G1039" s="28">
        <v>52</v>
      </c>
      <c r="H1039" s="32">
        <v>10.029999999999999</v>
      </c>
      <c r="I1039" s="32">
        <v>1093.56</v>
      </c>
      <c r="J1039" t="s">
        <v>330</v>
      </c>
      <c r="K1039" t="s">
        <v>234</v>
      </c>
      <c r="L1039" t="s">
        <v>235</v>
      </c>
      <c r="M1039" t="s">
        <v>236</v>
      </c>
      <c r="N1039" t="s">
        <v>237</v>
      </c>
      <c r="O1039" s="27">
        <v>46063</v>
      </c>
    </row>
    <row r="1040" spans="2:15" hidden="1" x14ac:dyDescent="0.3">
      <c r="B1040">
        <v>2932273</v>
      </c>
      <c r="C1040" t="s">
        <v>260</v>
      </c>
      <c r="D1040">
        <v>40901</v>
      </c>
      <c r="E1040" t="s">
        <v>150</v>
      </c>
      <c r="F1040" t="s">
        <v>381</v>
      </c>
      <c r="G1040" s="28">
        <v>69</v>
      </c>
      <c r="H1040" s="32">
        <v>10.029999999999999</v>
      </c>
      <c r="I1040" s="32">
        <v>1092.96</v>
      </c>
      <c r="J1040" t="s">
        <v>330</v>
      </c>
      <c r="K1040" t="s">
        <v>234</v>
      </c>
      <c r="L1040" t="s">
        <v>235</v>
      </c>
      <c r="M1040" t="s">
        <v>236</v>
      </c>
      <c r="N1040" t="s">
        <v>237</v>
      </c>
      <c r="O1040" s="27">
        <v>46063</v>
      </c>
    </row>
    <row r="1041" spans="2:15" hidden="1" x14ac:dyDescent="0.3">
      <c r="B1041">
        <v>5555592</v>
      </c>
      <c r="C1041" t="s">
        <v>231</v>
      </c>
      <c r="D1041">
        <v>38517</v>
      </c>
      <c r="E1041" t="s">
        <v>150</v>
      </c>
      <c r="F1041" t="s">
        <v>298</v>
      </c>
      <c r="G1041" s="28">
        <v>62</v>
      </c>
      <c r="H1041" s="32">
        <v>10.02</v>
      </c>
      <c r="I1041" s="32">
        <v>1017.86</v>
      </c>
      <c r="J1041" t="s">
        <v>239</v>
      </c>
      <c r="K1041" t="s">
        <v>245</v>
      </c>
      <c r="L1041" t="s">
        <v>235</v>
      </c>
      <c r="M1041" t="s">
        <v>236</v>
      </c>
      <c r="N1041" t="s">
        <v>237</v>
      </c>
      <c r="O1041" s="27">
        <v>46055</v>
      </c>
    </row>
    <row r="1042" spans="2:15" hidden="1" x14ac:dyDescent="0.3">
      <c r="B1042">
        <v>2932273</v>
      </c>
      <c r="C1042" t="s">
        <v>260</v>
      </c>
      <c r="D1042">
        <v>40901</v>
      </c>
      <c r="E1042" t="s">
        <v>150</v>
      </c>
      <c r="F1042" t="s">
        <v>380</v>
      </c>
      <c r="G1042" s="28">
        <v>59</v>
      </c>
      <c r="H1042" s="32">
        <v>10.02</v>
      </c>
      <c r="I1042" s="32">
        <v>1091.5</v>
      </c>
      <c r="J1042" t="s">
        <v>330</v>
      </c>
      <c r="K1042" t="s">
        <v>234</v>
      </c>
      <c r="L1042" t="s">
        <v>235</v>
      </c>
      <c r="M1042" t="s">
        <v>236</v>
      </c>
      <c r="N1042" t="s">
        <v>237</v>
      </c>
      <c r="O1042" s="27">
        <v>46063</v>
      </c>
    </row>
    <row r="1043" spans="2:15" hidden="1" x14ac:dyDescent="0.3">
      <c r="B1043">
        <v>3430907</v>
      </c>
      <c r="C1043" t="s">
        <v>260</v>
      </c>
      <c r="D1043">
        <v>21468</v>
      </c>
      <c r="E1043" t="s">
        <v>150</v>
      </c>
      <c r="F1043" t="s">
        <v>246</v>
      </c>
      <c r="G1043" s="28">
        <v>41</v>
      </c>
      <c r="H1043" s="32">
        <v>10</v>
      </c>
      <c r="I1043" s="32">
        <v>1522.98</v>
      </c>
      <c r="J1043" t="s">
        <v>239</v>
      </c>
      <c r="K1043" t="s">
        <v>245</v>
      </c>
      <c r="L1043" t="s">
        <v>235</v>
      </c>
      <c r="M1043" t="s">
        <v>236</v>
      </c>
      <c r="N1043" t="s">
        <v>237</v>
      </c>
      <c r="O1043" s="27">
        <v>46063</v>
      </c>
    </row>
    <row r="1044" spans="2:15" hidden="1" x14ac:dyDescent="0.3">
      <c r="B1044">
        <v>4535206</v>
      </c>
      <c r="C1044" t="s">
        <v>231</v>
      </c>
      <c r="D1044">
        <v>68542</v>
      </c>
      <c r="E1044" t="s">
        <v>150</v>
      </c>
      <c r="F1044" t="s">
        <v>367</v>
      </c>
      <c r="G1044" s="28">
        <v>88</v>
      </c>
      <c r="H1044" s="32">
        <v>9.99</v>
      </c>
      <c r="I1044" s="32">
        <v>8244.31</v>
      </c>
      <c r="J1044" t="s">
        <v>267</v>
      </c>
      <c r="K1044" t="s">
        <v>245</v>
      </c>
      <c r="L1044" t="s">
        <v>235</v>
      </c>
      <c r="M1044" t="s">
        <v>236</v>
      </c>
      <c r="N1044" t="s">
        <v>237</v>
      </c>
      <c r="O1044" s="27">
        <v>46057</v>
      </c>
    </row>
    <row r="1045" spans="2:15" hidden="1" x14ac:dyDescent="0.3">
      <c r="B1045">
        <v>11610966</v>
      </c>
      <c r="C1045" t="s">
        <v>260</v>
      </c>
      <c r="D1045">
        <v>40901</v>
      </c>
      <c r="E1045" t="s">
        <v>150</v>
      </c>
      <c r="F1045" t="s">
        <v>381</v>
      </c>
      <c r="G1045" s="28">
        <v>80</v>
      </c>
      <c r="H1045" s="32">
        <v>9.99</v>
      </c>
      <c r="I1045" s="32">
        <v>1188.47</v>
      </c>
      <c r="J1045" t="s">
        <v>330</v>
      </c>
      <c r="K1045" t="s">
        <v>234</v>
      </c>
      <c r="L1045" t="s">
        <v>235</v>
      </c>
      <c r="M1045" t="s">
        <v>236</v>
      </c>
      <c r="N1045" t="s">
        <v>237</v>
      </c>
      <c r="O1045" s="27">
        <v>46056</v>
      </c>
    </row>
    <row r="1046" spans="2:15" hidden="1" x14ac:dyDescent="0.3">
      <c r="B1046">
        <v>2143207</v>
      </c>
      <c r="C1046" t="s">
        <v>231</v>
      </c>
      <c r="D1046">
        <v>21468</v>
      </c>
      <c r="E1046" t="s">
        <v>150</v>
      </c>
      <c r="F1046" t="s">
        <v>384</v>
      </c>
      <c r="G1046" s="28">
        <v>71</v>
      </c>
      <c r="H1046" s="32">
        <v>9.98</v>
      </c>
      <c r="I1046" s="32">
        <v>1476.09</v>
      </c>
      <c r="J1046" t="s">
        <v>330</v>
      </c>
      <c r="K1046" t="s">
        <v>234</v>
      </c>
      <c r="L1046" t="s">
        <v>235</v>
      </c>
      <c r="M1046" t="s">
        <v>236</v>
      </c>
      <c r="N1046" t="s">
        <v>237</v>
      </c>
      <c r="O1046" s="27">
        <v>46057</v>
      </c>
    </row>
    <row r="1047" spans="2:15" hidden="1" x14ac:dyDescent="0.3">
      <c r="B1047">
        <v>2932273</v>
      </c>
      <c r="C1047" t="s">
        <v>260</v>
      </c>
      <c r="D1047">
        <v>40901</v>
      </c>
      <c r="E1047" t="s">
        <v>150</v>
      </c>
      <c r="F1047" t="s">
        <v>379</v>
      </c>
      <c r="G1047" s="28">
        <v>74</v>
      </c>
      <c r="H1047" s="32">
        <v>9.9700000000000006</v>
      </c>
      <c r="I1047" s="32">
        <v>1086.32</v>
      </c>
      <c r="J1047" t="s">
        <v>330</v>
      </c>
      <c r="K1047" t="s">
        <v>234</v>
      </c>
      <c r="L1047" t="s">
        <v>235</v>
      </c>
      <c r="M1047" t="s">
        <v>236</v>
      </c>
      <c r="N1047" t="s">
        <v>237</v>
      </c>
      <c r="O1047" s="27">
        <v>46063</v>
      </c>
    </row>
    <row r="1048" spans="2:15" hidden="1" x14ac:dyDescent="0.3">
      <c r="B1048">
        <v>7372714</v>
      </c>
      <c r="C1048" t="s">
        <v>231</v>
      </c>
      <c r="D1048">
        <v>22674</v>
      </c>
      <c r="E1048" t="s">
        <v>150</v>
      </c>
      <c r="F1048" t="s">
        <v>246</v>
      </c>
      <c r="G1048" s="28">
        <v>41</v>
      </c>
      <c r="H1048" s="32">
        <v>9.9600000000000009</v>
      </c>
      <c r="I1048" s="32">
        <v>1522.98</v>
      </c>
      <c r="J1048" t="s">
        <v>239</v>
      </c>
      <c r="K1048" t="s">
        <v>245</v>
      </c>
      <c r="L1048" t="s">
        <v>235</v>
      </c>
      <c r="M1048" t="s">
        <v>236</v>
      </c>
      <c r="N1048" t="s">
        <v>237</v>
      </c>
      <c r="O1048" s="27">
        <v>46063</v>
      </c>
    </row>
    <row r="1049" spans="2:15" hidden="1" x14ac:dyDescent="0.3">
      <c r="B1049">
        <v>11610966</v>
      </c>
      <c r="C1049" t="s">
        <v>260</v>
      </c>
      <c r="D1049">
        <v>40901</v>
      </c>
      <c r="E1049" t="s">
        <v>150</v>
      </c>
      <c r="F1049" t="s">
        <v>380</v>
      </c>
      <c r="G1049" s="28">
        <v>65</v>
      </c>
      <c r="H1049" s="32">
        <v>9.9499999999999993</v>
      </c>
      <c r="I1049" s="32">
        <v>1183.6500000000001</v>
      </c>
      <c r="J1049" t="s">
        <v>330</v>
      </c>
      <c r="K1049" t="s">
        <v>234</v>
      </c>
      <c r="L1049" t="s">
        <v>235</v>
      </c>
      <c r="M1049" t="s">
        <v>236</v>
      </c>
      <c r="N1049" t="s">
        <v>237</v>
      </c>
      <c r="O1049" s="27">
        <v>46056</v>
      </c>
    </row>
    <row r="1050" spans="2:15" hidden="1" x14ac:dyDescent="0.3">
      <c r="B1050">
        <v>4381878</v>
      </c>
      <c r="C1050" t="s">
        <v>231</v>
      </c>
      <c r="D1050">
        <v>74304</v>
      </c>
      <c r="E1050" t="s">
        <v>150</v>
      </c>
      <c r="F1050" t="s">
        <v>407</v>
      </c>
      <c r="G1050" s="28">
        <v>18</v>
      </c>
      <c r="H1050" s="32">
        <v>9.94</v>
      </c>
      <c r="I1050" s="32">
        <v>927.08</v>
      </c>
      <c r="J1050" t="s">
        <v>239</v>
      </c>
      <c r="K1050" t="s">
        <v>245</v>
      </c>
      <c r="L1050" t="s">
        <v>235</v>
      </c>
      <c r="M1050" t="s">
        <v>236</v>
      </c>
      <c r="N1050" t="s">
        <v>237</v>
      </c>
      <c r="O1050" s="27">
        <v>46072</v>
      </c>
    </row>
    <row r="1051" spans="2:15" hidden="1" x14ac:dyDescent="0.3">
      <c r="B1051">
        <v>2143207</v>
      </c>
      <c r="C1051" t="s">
        <v>231</v>
      </c>
      <c r="D1051">
        <v>21468</v>
      </c>
      <c r="E1051" t="s">
        <v>150</v>
      </c>
      <c r="F1051" t="s">
        <v>377</v>
      </c>
      <c r="G1051" s="28">
        <v>48</v>
      </c>
      <c r="H1051" s="32">
        <v>9.92</v>
      </c>
      <c r="I1051" s="32">
        <v>1466.88</v>
      </c>
      <c r="J1051" t="s">
        <v>330</v>
      </c>
      <c r="K1051" t="s">
        <v>234</v>
      </c>
      <c r="L1051" t="s">
        <v>235</v>
      </c>
      <c r="M1051" t="s">
        <v>236</v>
      </c>
      <c r="N1051" t="s">
        <v>237</v>
      </c>
      <c r="O1051" s="27">
        <v>46057</v>
      </c>
    </row>
    <row r="1052" spans="2:15" hidden="1" x14ac:dyDescent="0.3">
      <c r="B1052">
        <v>4089266</v>
      </c>
      <c r="C1052" t="s">
        <v>260</v>
      </c>
      <c r="D1052">
        <v>22674</v>
      </c>
      <c r="E1052" t="s">
        <v>150</v>
      </c>
      <c r="F1052" t="s">
        <v>319</v>
      </c>
      <c r="G1052" s="28">
        <v>36</v>
      </c>
      <c r="H1052" s="32">
        <v>9.92</v>
      </c>
      <c r="I1052" s="32">
        <v>1482.32</v>
      </c>
      <c r="J1052" t="s">
        <v>239</v>
      </c>
      <c r="K1052" t="s">
        <v>245</v>
      </c>
      <c r="L1052" t="s">
        <v>235</v>
      </c>
      <c r="M1052" t="s">
        <v>236</v>
      </c>
      <c r="N1052" t="s">
        <v>237</v>
      </c>
      <c r="O1052" s="27">
        <v>46072</v>
      </c>
    </row>
    <row r="1053" spans="2:15" hidden="1" x14ac:dyDescent="0.3">
      <c r="B1053">
        <v>6859448</v>
      </c>
      <c r="C1053" t="s">
        <v>231</v>
      </c>
      <c r="D1053">
        <v>25619</v>
      </c>
      <c r="E1053" t="s">
        <v>150</v>
      </c>
      <c r="F1053" t="s">
        <v>163</v>
      </c>
      <c r="G1053" s="28">
        <v>50</v>
      </c>
      <c r="H1053" s="32">
        <v>9.91</v>
      </c>
      <c r="I1053" s="32">
        <v>698.05</v>
      </c>
      <c r="J1053" t="s">
        <v>239</v>
      </c>
      <c r="K1053" t="s">
        <v>245</v>
      </c>
      <c r="L1053" t="s">
        <v>235</v>
      </c>
      <c r="M1053" t="s">
        <v>236</v>
      </c>
      <c r="N1053" t="s">
        <v>237</v>
      </c>
      <c r="O1053" s="27">
        <v>46063</v>
      </c>
    </row>
    <row r="1054" spans="2:15" hidden="1" x14ac:dyDescent="0.3">
      <c r="B1054">
        <v>18805586</v>
      </c>
      <c r="C1054" t="s">
        <v>260</v>
      </c>
      <c r="D1054">
        <v>23410</v>
      </c>
      <c r="E1054" t="s">
        <v>150</v>
      </c>
      <c r="F1054" t="s">
        <v>369</v>
      </c>
      <c r="G1054" s="28">
        <v>28</v>
      </c>
      <c r="H1054" s="32">
        <v>9.9</v>
      </c>
      <c r="I1054" s="32">
        <v>1543</v>
      </c>
      <c r="J1054" t="s">
        <v>239</v>
      </c>
      <c r="K1054" t="s">
        <v>245</v>
      </c>
      <c r="L1054" t="s">
        <v>235</v>
      </c>
      <c r="M1054" t="s">
        <v>236</v>
      </c>
      <c r="N1054" t="s">
        <v>240</v>
      </c>
      <c r="O1054" s="27">
        <v>46063</v>
      </c>
    </row>
    <row r="1055" spans="2:15" hidden="1" x14ac:dyDescent="0.3">
      <c r="B1055">
        <v>2143207</v>
      </c>
      <c r="C1055" t="s">
        <v>231</v>
      </c>
      <c r="D1055">
        <v>21468</v>
      </c>
      <c r="E1055" t="s">
        <v>150</v>
      </c>
      <c r="F1055" t="s">
        <v>345</v>
      </c>
      <c r="G1055" s="28">
        <v>33</v>
      </c>
      <c r="H1055" s="32">
        <v>9.89</v>
      </c>
      <c r="I1055" s="32">
        <v>1462.88</v>
      </c>
      <c r="J1055" t="s">
        <v>330</v>
      </c>
      <c r="K1055" t="s">
        <v>234</v>
      </c>
      <c r="L1055" t="s">
        <v>235</v>
      </c>
      <c r="M1055" t="s">
        <v>236</v>
      </c>
      <c r="N1055" t="s">
        <v>237</v>
      </c>
      <c r="O1055" s="27">
        <v>46057</v>
      </c>
    </row>
    <row r="1056" spans="2:15" hidden="1" x14ac:dyDescent="0.3">
      <c r="B1056">
        <v>3461330</v>
      </c>
      <c r="C1056" t="s">
        <v>260</v>
      </c>
      <c r="D1056">
        <v>21468</v>
      </c>
      <c r="E1056" t="s">
        <v>150</v>
      </c>
      <c r="F1056" t="s">
        <v>163</v>
      </c>
      <c r="G1056" s="28">
        <v>50</v>
      </c>
      <c r="H1056" s="32">
        <v>9.89</v>
      </c>
      <c r="I1056" s="32">
        <v>698.05</v>
      </c>
      <c r="J1056" t="s">
        <v>239</v>
      </c>
      <c r="K1056" t="s">
        <v>245</v>
      </c>
      <c r="L1056" t="s">
        <v>235</v>
      </c>
      <c r="M1056" t="s">
        <v>236</v>
      </c>
      <c r="N1056" t="s">
        <v>237</v>
      </c>
      <c r="O1056" s="27">
        <v>46063</v>
      </c>
    </row>
    <row r="1057" spans="2:15" hidden="1" x14ac:dyDescent="0.3">
      <c r="B1057">
        <v>11610966</v>
      </c>
      <c r="C1057" t="s">
        <v>260</v>
      </c>
      <c r="D1057">
        <v>40901</v>
      </c>
      <c r="E1057" t="s">
        <v>150</v>
      </c>
      <c r="F1057" t="s">
        <v>363</v>
      </c>
      <c r="G1057" s="28">
        <v>32</v>
      </c>
      <c r="H1057" s="32">
        <v>9.8699999999999992</v>
      </c>
      <c r="I1057" s="32">
        <v>1174.08</v>
      </c>
      <c r="J1057" t="s">
        <v>330</v>
      </c>
      <c r="K1057" t="s">
        <v>234</v>
      </c>
      <c r="L1057" t="s">
        <v>235</v>
      </c>
      <c r="M1057" t="s">
        <v>236</v>
      </c>
      <c r="N1057" t="s">
        <v>237</v>
      </c>
      <c r="O1057" s="27">
        <v>46056</v>
      </c>
    </row>
    <row r="1058" spans="2:15" hidden="1" x14ac:dyDescent="0.3">
      <c r="B1058">
        <v>2932273</v>
      </c>
      <c r="C1058" t="s">
        <v>260</v>
      </c>
      <c r="D1058">
        <v>40901</v>
      </c>
      <c r="E1058" t="s">
        <v>150</v>
      </c>
      <c r="F1058" t="s">
        <v>361</v>
      </c>
      <c r="G1058" s="28">
        <v>29</v>
      </c>
      <c r="H1058" s="32">
        <v>9.8699999999999992</v>
      </c>
      <c r="I1058" s="32">
        <v>1075.9000000000001</v>
      </c>
      <c r="J1058" t="s">
        <v>330</v>
      </c>
      <c r="K1058" t="s">
        <v>234</v>
      </c>
      <c r="L1058" t="s">
        <v>235</v>
      </c>
      <c r="M1058" t="s">
        <v>236</v>
      </c>
      <c r="N1058" t="s">
        <v>237</v>
      </c>
      <c r="O1058" s="27">
        <v>46063</v>
      </c>
    </row>
    <row r="1059" spans="2:15" hidden="1" x14ac:dyDescent="0.3">
      <c r="B1059">
        <v>6978173</v>
      </c>
      <c r="C1059" t="s">
        <v>231</v>
      </c>
      <c r="D1059">
        <v>38517</v>
      </c>
      <c r="E1059" t="s">
        <v>150</v>
      </c>
      <c r="F1059" t="s">
        <v>246</v>
      </c>
      <c r="G1059" s="28">
        <v>40</v>
      </c>
      <c r="H1059" s="32">
        <v>9.86</v>
      </c>
      <c r="I1059" s="32">
        <v>1485.92</v>
      </c>
      <c r="J1059" t="s">
        <v>239</v>
      </c>
      <c r="K1059" t="s">
        <v>245</v>
      </c>
      <c r="L1059" t="s">
        <v>235</v>
      </c>
      <c r="M1059" t="s">
        <v>236</v>
      </c>
      <c r="N1059" t="s">
        <v>237</v>
      </c>
      <c r="O1059" s="27">
        <v>46063</v>
      </c>
    </row>
    <row r="1060" spans="2:15" hidden="1" x14ac:dyDescent="0.3">
      <c r="B1060">
        <v>4238598</v>
      </c>
      <c r="C1060" t="s">
        <v>231</v>
      </c>
      <c r="D1060">
        <v>38517</v>
      </c>
      <c r="E1060" t="s">
        <v>150</v>
      </c>
      <c r="F1060" t="s">
        <v>319</v>
      </c>
      <c r="G1060" s="28">
        <v>61</v>
      </c>
      <c r="H1060" s="32">
        <v>9.86</v>
      </c>
      <c r="I1060" s="32">
        <v>2463.92</v>
      </c>
      <c r="J1060" t="s">
        <v>239</v>
      </c>
      <c r="K1060" t="s">
        <v>245</v>
      </c>
      <c r="L1060" t="s">
        <v>235</v>
      </c>
      <c r="M1060" t="s">
        <v>236</v>
      </c>
      <c r="N1060" t="s">
        <v>237</v>
      </c>
      <c r="O1060" s="27">
        <v>46063</v>
      </c>
    </row>
    <row r="1061" spans="2:15" hidden="1" x14ac:dyDescent="0.3">
      <c r="B1061">
        <v>11610966</v>
      </c>
      <c r="C1061" t="s">
        <v>260</v>
      </c>
      <c r="D1061">
        <v>40901</v>
      </c>
      <c r="E1061" t="s">
        <v>150</v>
      </c>
      <c r="F1061" t="s">
        <v>377</v>
      </c>
      <c r="G1061" s="28">
        <v>37</v>
      </c>
      <c r="H1061" s="32">
        <v>9.86</v>
      </c>
      <c r="I1061" s="32">
        <v>1172.9000000000001</v>
      </c>
      <c r="J1061" t="s">
        <v>330</v>
      </c>
      <c r="K1061" t="s">
        <v>234</v>
      </c>
      <c r="L1061" t="s">
        <v>235</v>
      </c>
      <c r="M1061" t="s">
        <v>236</v>
      </c>
      <c r="N1061" t="s">
        <v>237</v>
      </c>
      <c r="O1061" s="27">
        <v>46056</v>
      </c>
    </row>
    <row r="1062" spans="2:15" hidden="1" x14ac:dyDescent="0.3">
      <c r="B1062">
        <v>3911170</v>
      </c>
      <c r="C1062" t="s">
        <v>231</v>
      </c>
      <c r="D1062">
        <v>21468</v>
      </c>
      <c r="E1062" t="s">
        <v>150</v>
      </c>
      <c r="F1062" t="s">
        <v>369</v>
      </c>
      <c r="G1062" s="28">
        <v>27</v>
      </c>
      <c r="H1062" s="32">
        <v>9.85</v>
      </c>
      <c r="I1062" s="32">
        <v>1487.79</v>
      </c>
      <c r="J1062" t="s">
        <v>239</v>
      </c>
      <c r="K1062" t="s">
        <v>245</v>
      </c>
      <c r="L1062" t="s">
        <v>235</v>
      </c>
      <c r="M1062" t="s">
        <v>236</v>
      </c>
      <c r="N1062" t="s">
        <v>240</v>
      </c>
      <c r="O1062" s="27">
        <v>46063</v>
      </c>
    </row>
    <row r="1063" spans="2:15" hidden="1" x14ac:dyDescent="0.3">
      <c r="B1063">
        <v>2013549</v>
      </c>
      <c r="C1063" t="s">
        <v>231</v>
      </c>
      <c r="D1063">
        <v>23648</v>
      </c>
      <c r="E1063" t="s">
        <v>150</v>
      </c>
      <c r="F1063" t="s">
        <v>453</v>
      </c>
      <c r="G1063" s="28">
        <v>100</v>
      </c>
      <c r="H1063" s="32">
        <v>9.83</v>
      </c>
      <c r="I1063" s="32">
        <v>1913</v>
      </c>
      <c r="J1063" t="s">
        <v>239</v>
      </c>
      <c r="K1063" t="s">
        <v>234</v>
      </c>
      <c r="L1063" t="s">
        <v>235</v>
      </c>
      <c r="M1063" t="s">
        <v>236</v>
      </c>
      <c r="N1063" t="s">
        <v>240</v>
      </c>
      <c r="O1063" s="27">
        <v>46059</v>
      </c>
    </row>
    <row r="1064" spans="2:15" hidden="1" x14ac:dyDescent="0.3">
      <c r="B1064">
        <v>3321439</v>
      </c>
      <c r="C1064" t="s">
        <v>231</v>
      </c>
      <c r="D1064">
        <v>22674</v>
      </c>
      <c r="E1064" t="s">
        <v>150</v>
      </c>
      <c r="F1064" t="s">
        <v>369</v>
      </c>
      <c r="G1064" s="28">
        <v>30</v>
      </c>
      <c r="H1064" s="32">
        <v>9.83</v>
      </c>
      <c r="I1064" s="32">
        <v>1653.22</v>
      </c>
      <c r="J1064" t="s">
        <v>239</v>
      </c>
      <c r="K1064" t="s">
        <v>245</v>
      </c>
      <c r="L1064" t="s">
        <v>235</v>
      </c>
      <c r="M1064" t="s">
        <v>236</v>
      </c>
      <c r="N1064" t="s">
        <v>240</v>
      </c>
      <c r="O1064" s="27">
        <v>46063</v>
      </c>
    </row>
    <row r="1065" spans="2:15" hidden="1" x14ac:dyDescent="0.3">
      <c r="B1065">
        <v>54685</v>
      </c>
      <c r="C1065" t="s">
        <v>260</v>
      </c>
      <c r="D1065">
        <v>22674</v>
      </c>
      <c r="E1065" t="s">
        <v>150</v>
      </c>
      <c r="F1065" t="s">
        <v>380</v>
      </c>
      <c r="G1065" s="28">
        <v>92</v>
      </c>
      <c r="H1065" s="32">
        <v>9.83</v>
      </c>
      <c r="I1065" s="32">
        <v>1698.29</v>
      </c>
      <c r="J1065" t="s">
        <v>330</v>
      </c>
      <c r="K1065" t="s">
        <v>234</v>
      </c>
      <c r="L1065" t="s">
        <v>235</v>
      </c>
      <c r="M1065" t="s">
        <v>236</v>
      </c>
      <c r="N1065" t="s">
        <v>237</v>
      </c>
      <c r="O1065" s="27">
        <v>46063</v>
      </c>
    </row>
    <row r="1066" spans="2:15" hidden="1" x14ac:dyDescent="0.3">
      <c r="B1066">
        <v>2143207</v>
      </c>
      <c r="C1066" t="s">
        <v>231</v>
      </c>
      <c r="D1066">
        <v>21468</v>
      </c>
      <c r="E1066" t="s">
        <v>150</v>
      </c>
      <c r="F1066" t="s">
        <v>363</v>
      </c>
      <c r="G1066" s="28">
        <v>41</v>
      </c>
      <c r="H1066" s="32">
        <v>9.82</v>
      </c>
      <c r="I1066" s="32">
        <v>1452.22</v>
      </c>
      <c r="J1066" t="s">
        <v>330</v>
      </c>
      <c r="K1066" t="s">
        <v>234</v>
      </c>
      <c r="L1066" t="s">
        <v>235</v>
      </c>
      <c r="M1066" t="s">
        <v>236</v>
      </c>
      <c r="N1066" t="s">
        <v>237</v>
      </c>
      <c r="O1066" s="27">
        <v>46057</v>
      </c>
    </row>
    <row r="1067" spans="2:15" hidden="1" x14ac:dyDescent="0.3">
      <c r="B1067">
        <v>2932273</v>
      </c>
      <c r="C1067" t="s">
        <v>260</v>
      </c>
      <c r="D1067">
        <v>40901</v>
      </c>
      <c r="E1067" t="s">
        <v>150</v>
      </c>
      <c r="F1067" t="s">
        <v>345</v>
      </c>
      <c r="G1067" s="28">
        <v>22</v>
      </c>
      <c r="H1067" s="32">
        <v>9.82</v>
      </c>
      <c r="I1067" s="32">
        <v>1071.6199999999999</v>
      </c>
      <c r="J1067" t="s">
        <v>330</v>
      </c>
      <c r="K1067" t="s">
        <v>234</v>
      </c>
      <c r="L1067" t="s">
        <v>235</v>
      </c>
      <c r="M1067" t="s">
        <v>236</v>
      </c>
      <c r="N1067" t="s">
        <v>237</v>
      </c>
      <c r="O1067" s="27">
        <v>46063</v>
      </c>
    </row>
    <row r="1068" spans="2:15" hidden="1" x14ac:dyDescent="0.3">
      <c r="B1068">
        <v>4382412</v>
      </c>
      <c r="C1068" t="s">
        <v>231</v>
      </c>
      <c r="D1068">
        <v>49894</v>
      </c>
      <c r="E1068" t="s">
        <v>150</v>
      </c>
      <c r="F1068" t="s">
        <v>163</v>
      </c>
      <c r="G1068" s="28">
        <v>49</v>
      </c>
      <c r="H1068" s="32">
        <v>9.81</v>
      </c>
      <c r="I1068" s="32">
        <v>684.04</v>
      </c>
      <c r="J1068" t="s">
        <v>239</v>
      </c>
      <c r="K1068" t="s">
        <v>245</v>
      </c>
      <c r="L1068" t="s">
        <v>235</v>
      </c>
      <c r="M1068" t="s">
        <v>236</v>
      </c>
      <c r="N1068" t="s">
        <v>237</v>
      </c>
      <c r="O1068" s="27">
        <v>46063</v>
      </c>
    </row>
    <row r="1069" spans="2:15" hidden="1" x14ac:dyDescent="0.3">
      <c r="B1069">
        <v>2403987</v>
      </c>
      <c r="C1069" t="s">
        <v>231</v>
      </c>
      <c r="D1069">
        <v>23648</v>
      </c>
      <c r="E1069" t="s">
        <v>150</v>
      </c>
      <c r="F1069" t="s">
        <v>340</v>
      </c>
      <c r="G1069" s="28">
        <v>29</v>
      </c>
      <c r="H1069" s="32">
        <v>9.8000000000000007</v>
      </c>
      <c r="I1069" s="32">
        <v>1739.71</v>
      </c>
      <c r="J1069" t="s">
        <v>330</v>
      </c>
      <c r="K1069" t="s">
        <v>234</v>
      </c>
      <c r="L1069" t="s">
        <v>235</v>
      </c>
      <c r="M1069" t="s">
        <v>236</v>
      </c>
      <c r="N1069" t="s">
        <v>237</v>
      </c>
      <c r="O1069" s="27">
        <v>46064</v>
      </c>
    </row>
    <row r="1070" spans="2:15" hidden="1" x14ac:dyDescent="0.3">
      <c r="B1070">
        <v>357627</v>
      </c>
      <c r="C1070" t="s">
        <v>231</v>
      </c>
      <c r="D1070">
        <v>72444</v>
      </c>
      <c r="E1070" t="s">
        <v>150</v>
      </c>
      <c r="F1070" t="s">
        <v>274</v>
      </c>
      <c r="G1070" s="28">
        <v>113</v>
      </c>
      <c r="H1070" s="32">
        <v>9.8000000000000007</v>
      </c>
      <c r="I1070" s="32">
        <v>1659.64</v>
      </c>
      <c r="J1070" t="s">
        <v>239</v>
      </c>
      <c r="K1070" t="s">
        <v>245</v>
      </c>
      <c r="L1070" t="s">
        <v>235</v>
      </c>
      <c r="M1070" t="s">
        <v>236</v>
      </c>
      <c r="N1070" t="s">
        <v>237</v>
      </c>
      <c r="O1070" s="27">
        <v>46055</v>
      </c>
    </row>
    <row r="1071" spans="2:15" hidden="1" x14ac:dyDescent="0.3">
      <c r="B1071">
        <v>2727175</v>
      </c>
      <c r="C1071" t="s">
        <v>231</v>
      </c>
      <c r="D1071">
        <v>23648</v>
      </c>
      <c r="E1071" t="s">
        <v>150</v>
      </c>
      <c r="F1071" t="s">
        <v>340</v>
      </c>
      <c r="G1071" s="28">
        <v>29</v>
      </c>
      <c r="H1071" s="32">
        <v>9.7899999999999991</v>
      </c>
      <c r="I1071" s="32">
        <v>1737.97</v>
      </c>
      <c r="J1071" t="s">
        <v>330</v>
      </c>
      <c r="K1071" t="s">
        <v>234</v>
      </c>
      <c r="L1071" t="s">
        <v>235</v>
      </c>
      <c r="M1071" t="s">
        <v>236</v>
      </c>
      <c r="N1071" t="s">
        <v>237</v>
      </c>
      <c r="O1071" s="27">
        <v>46064</v>
      </c>
    </row>
    <row r="1072" spans="2:15" hidden="1" x14ac:dyDescent="0.3">
      <c r="B1072">
        <v>3461330</v>
      </c>
      <c r="C1072" t="s">
        <v>260</v>
      </c>
      <c r="D1072">
        <v>21468</v>
      </c>
      <c r="E1072" t="s">
        <v>150</v>
      </c>
      <c r="F1072" t="s">
        <v>369</v>
      </c>
      <c r="G1072" s="28">
        <v>29</v>
      </c>
      <c r="H1072" s="32">
        <v>9.7899999999999991</v>
      </c>
      <c r="I1072" s="32">
        <v>1598.04</v>
      </c>
      <c r="J1072" t="s">
        <v>239</v>
      </c>
      <c r="K1072" t="s">
        <v>245</v>
      </c>
      <c r="L1072" t="s">
        <v>235</v>
      </c>
      <c r="M1072" t="s">
        <v>236</v>
      </c>
      <c r="N1072" t="s">
        <v>240</v>
      </c>
      <c r="O1072" s="27">
        <v>46063</v>
      </c>
    </row>
    <row r="1073" spans="2:15" hidden="1" x14ac:dyDescent="0.3">
      <c r="B1073">
        <v>2932273</v>
      </c>
      <c r="C1073" t="s">
        <v>260</v>
      </c>
      <c r="D1073">
        <v>40901</v>
      </c>
      <c r="E1073" t="s">
        <v>150</v>
      </c>
      <c r="F1073" t="s">
        <v>363</v>
      </c>
      <c r="G1073" s="28">
        <v>27</v>
      </c>
      <c r="H1073" s="32">
        <v>9.74</v>
      </c>
      <c r="I1073" s="32">
        <v>1061.0999999999999</v>
      </c>
      <c r="J1073" t="s">
        <v>330</v>
      </c>
      <c r="K1073" t="s">
        <v>234</v>
      </c>
      <c r="L1073" t="s">
        <v>235</v>
      </c>
      <c r="M1073" t="s">
        <v>236</v>
      </c>
      <c r="N1073" t="s">
        <v>237</v>
      </c>
      <c r="O1073" s="27">
        <v>46063</v>
      </c>
    </row>
    <row r="1074" spans="2:15" hidden="1" x14ac:dyDescent="0.3">
      <c r="B1074">
        <v>18731282</v>
      </c>
      <c r="C1074" t="s">
        <v>231</v>
      </c>
      <c r="D1074">
        <v>40901</v>
      </c>
      <c r="E1074" t="s">
        <v>150</v>
      </c>
      <c r="F1074" t="s">
        <v>369</v>
      </c>
      <c r="G1074" s="28">
        <v>27</v>
      </c>
      <c r="H1074" s="32">
        <v>9.7200000000000006</v>
      </c>
      <c r="I1074" s="32">
        <v>1487.79</v>
      </c>
      <c r="J1074" t="s">
        <v>239</v>
      </c>
      <c r="K1074" t="s">
        <v>245</v>
      </c>
      <c r="L1074" t="s">
        <v>235</v>
      </c>
      <c r="M1074" t="s">
        <v>236</v>
      </c>
      <c r="N1074" t="s">
        <v>240</v>
      </c>
      <c r="O1074" s="27">
        <v>46063</v>
      </c>
    </row>
    <row r="1075" spans="2:15" hidden="1" x14ac:dyDescent="0.3">
      <c r="B1075">
        <v>11610966</v>
      </c>
      <c r="C1075" t="s">
        <v>260</v>
      </c>
      <c r="D1075">
        <v>40901</v>
      </c>
      <c r="E1075" t="s">
        <v>150</v>
      </c>
      <c r="F1075" t="s">
        <v>361</v>
      </c>
      <c r="G1075" s="28">
        <v>31</v>
      </c>
      <c r="H1075" s="32">
        <v>9.7100000000000009</v>
      </c>
      <c r="I1075" s="32">
        <v>1155.3699999999999</v>
      </c>
      <c r="J1075" t="s">
        <v>330</v>
      </c>
      <c r="K1075" t="s">
        <v>234</v>
      </c>
      <c r="L1075" t="s">
        <v>235</v>
      </c>
      <c r="M1075" t="s">
        <v>236</v>
      </c>
      <c r="N1075" t="s">
        <v>237</v>
      </c>
      <c r="O1075" s="27">
        <v>46056</v>
      </c>
    </row>
    <row r="1076" spans="2:15" hidden="1" x14ac:dyDescent="0.3">
      <c r="B1076">
        <v>6859448</v>
      </c>
      <c r="C1076" t="s">
        <v>231</v>
      </c>
      <c r="D1076">
        <v>25619</v>
      </c>
      <c r="E1076" t="s">
        <v>150</v>
      </c>
      <c r="F1076" t="s">
        <v>369</v>
      </c>
      <c r="G1076" s="28">
        <v>29</v>
      </c>
      <c r="H1076" s="32">
        <v>9.69</v>
      </c>
      <c r="I1076" s="32">
        <v>1598.04</v>
      </c>
      <c r="J1076" t="s">
        <v>239</v>
      </c>
      <c r="K1076" t="s">
        <v>245</v>
      </c>
      <c r="L1076" t="s">
        <v>235</v>
      </c>
      <c r="M1076" t="s">
        <v>236</v>
      </c>
      <c r="N1076" t="s">
        <v>240</v>
      </c>
      <c r="O1076" s="27">
        <v>46063</v>
      </c>
    </row>
    <row r="1077" spans="2:15" hidden="1" x14ac:dyDescent="0.3">
      <c r="B1077">
        <v>9303108</v>
      </c>
      <c r="C1077" t="s">
        <v>260</v>
      </c>
      <c r="D1077">
        <v>69493</v>
      </c>
      <c r="E1077" t="s">
        <v>150</v>
      </c>
      <c r="F1077" t="s">
        <v>386</v>
      </c>
      <c r="G1077" s="28">
        <v>19</v>
      </c>
      <c r="H1077" s="32">
        <v>9.69</v>
      </c>
      <c r="I1077" s="32">
        <v>1866.65</v>
      </c>
      <c r="J1077" t="s">
        <v>267</v>
      </c>
      <c r="K1077" t="s">
        <v>245</v>
      </c>
      <c r="L1077" t="s">
        <v>235</v>
      </c>
      <c r="M1077" t="s">
        <v>236</v>
      </c>
      <c r="N1077" t="s">
        <v>237</v>
      </c>
      <c r="O1077" s="27">
        <v>46057</v>
      </c>
    </row>
    <row r="1078" spans="2:15" hidden="1" x14ac:dyDescent="0.3">
      <c r="B1078">
        <v>5664804</v>
      </c>
      <c r="C1078" t="s">
        <v>231</v>
      </c>
      <c r="D1078">
        <v>69493</v>
      </c>
      <c r="E1078" t="s">
        <v>150</v>
      </c>
      <c r="F1078" t="s">
        <v>298</v>
      </c>
      <c r="G1078" s="28">
        <v>59</v>
      </c>
      <c r="H1078" s="32">
        <v>9.67</v>
      </c>
      <c r="I1078" s="32">
        <v>968.61</v>
      </c>
      <c r="J1078" t="s">
        <v>239</v>
      </c>
      <c r="K1078" t="s">
        <v>245</v>
      </c>
      <c r="L1078" t="s">
        <v>235</v>
      </c>
      <c r="M1078" t="s">
        <v>236</v>
      </c>
      <c r="N1078" t="s">
        <v>237</v>
      </c>
      <c r="O1078" s="27">
        <v>46055</v>
      </c>
    </row>
    <row r="1079" spans="2:15" hidden="1" x14ac:dyDescent="0.3">
      <c r="B1079">
        <v>9260624</v>
      </c>
      <c r="C1079" t="s">
        <v>231</v>
      </c>
      <c r="D1079">
        <v>24415</v>
      </c>
      <c r="E1079" t="s">
        <v>150</v>
      </c>
      <c r="F1079" t="s">
        <v>246</v>
      </c>
      <c r="G1079" s="28">
        <v>30</v>
      </c>
      <c r="H1079" s="32">
        <v>9.66</v>
      </c>
      <c r="I1079" s="32">
        <v>1108.52</v>
      </c>
      <c r="J1079" t="s">
        <v>239</v>
      </c>
      <c r="K1079" t="s">
        <v>245</v>
      </c>
      <c r="L1079" t="s">
        <v>235</v>
      </c>
      <c r="M1079" t="s">
        <v>236</v>
      </c>
      <c r="N1079" t="s">
        <v>237</v>
      </c>
      <c r="O1079" s="27">
        <v>46055</v>
      </c>
    </row>
    <row r="1080" spans="2:15" hidden="1" x14ac:dyDescent="0.3">
      <c r="B1080">
        <v>4868551</v>
      </c>
      <c r="C1080" t="s">
        <v>231</v>
      </c>
      <c r="D1080">
        <v>22674</v>
      </c>
      <c r="E1080" t="s">
        <v>150</v>
      </c>
      <c r="F1080" t="s">
        <v>298</v>
      </c>
      <c r="G1080" s="28">
        <v>35</v>
      </c>
      <c r="H1080" s="32">
        <v>9.65</v>
      </c>
      <c r="I1080" s="32">
        <v>609.37</v>
      </c>
      <c r="J1080" t="s">
        <v>239</v>
      </c>
      <c r="K1080" t="s">
        <v>245</v>
      </c>
      <c r="L1080" t="s">
        <v>235</v>
      </c>
      <c r="M1080" t="s">
        <v>236</v>
      </c>
      <c r="N1080" t="s">
        <v>237</v>
      </c>
      <c r="O1080" s="27">
        <v>46063</v>
      </c>
    </row>
    <row r="1081" spans="2:15" hidden="1" x14ac:dyDescent="0.3">
      <c r="B1081">
        <v>4339096</v>
      </c>
      <c r="C1081" t="s">
        <v>231</v>
      </c>
      <c r="D1081">
        <v>25619</v>
      </c>
      <c r="E1081" t="s">
        <v>150</v>
      </c>
      <c r="F1081" t="s">
        <v>282</v>
      </c>
      <c r="G1081" s="28">
        <v>35</v>
      </c>
      <c r="H1081" s="32">
        <v>9.65</v>
      </c>
      <c r="I1081" s="32">
        <v>1787.79</v>
      </c>
      <c r="J1081" t="s">
        <v>239</v>
      </c>
      <c r="K1081" t="s">
        <v>245</v>
      </c>
      <c r="L1081" t="s">
        <v>235</v>
      </c>
      <c r="M1081" t="s">
        <v>236</v>
      </c>
      <c r="N1081" t="s">
        <v>240</v>
      </c>
      <c r="O1081" s="27">
        <v>46063</v>
      </c>
    </row>
    <row r="1082" spans="2:15" hidden="1" x14ac:dyDescent="0.3">
      <c r="B1082">
        <v>2143207</v>
      </c>
      <c r="C1082" t="s">
        <v>231</v>
      </c>
      <c r="D1082">
        <v>21468</v>
      </c>
      <c r="E1082" t="s">
        <v>150</v>
      </c>
      <c r="F1082" t="s">
        <v>274</v>
      </c>
      <c r="G1082" s="28">
        <v>100</v>
      </c>
      <c r="H1082" s="32">
        <v>9.64</v>
      </c>
      <c r="I1082" s="32">
        <v>1426</v>
      </c>
      <c r="J1082" t="s">
        <v>239</v>
      </c>
      <c r="K1082" t="s">
        <v>234</v>
      </c>
      <c r="L1082" t="s">
        <v>235</v>
      </c>
      <c r="M1082" t="s">
        <v>236</v>
      </c>
      <c r="N1082" t="s">
        <v>237</v>
      </c>
      <c r="O1082" s="27">
        <v>46057</v>
      </c>
    </row>
    <row r="1083" spans="2:15" hidden="1" x14ac:dyDescent="0.3">
      <c r="B1083">
        <v>11493548</v>
      </c>
      <c r="C1083" t="s">
        <v>231</v>
      </c>
      <c r="D1083">
        <v>38517</v>
      </c>
      <c r="E1083" t="s">
        <v>150</v>
      </c>
      <c r="F1083" t="s">
        <v>282</v>
      </c>
      <c r="G1083" s="28">
        <v>36</v>
      </c>
      <c r="H1083" s="32">
        <v>9.6300000000000008</v>
      </c>
      <c r="I1083" s="32">
        <v>1838.87</v>
      </c>
      <c r="J1083" t="s">
        <v>239</v>
      </c>
      <c r="K1083" t="s">
        <v>245</v>
      </c>
      <c r="L1083" t="s">
        <v>235</v>
      </c>
      <c r="M1083" t="s">
        <v>236</v>
      </c>
      <c r="N1083" t="s">
        <v>240</v>
      </c>
      <c r="O1083" s="27">
        <v>46063</v>
      </c>
    </row>
    <row r="1084" spans="2:15" hidden="1" x14ac:dyDescent="0.3">
      <c r="B1084">
        <v>4535206</v>
      </c>
      <c r="C1084" t="s">
        <v>231</v>
      </c>
      <c r="D1084">
        <v>68542</v>
      </c>
      <c r="E1084" t="s">
        <v>150</v>
      </c>
      <c r="F1084" t="s">
        <v>298</v>
      </c>
      <c r="G1084" s="28">
        <v>76</v>
      </c>
      <c r="H1084" s="32">
        <v>9.6</v>
      </c>
      <c r="I1084" s="32">
        <v>1247.71</v>
      </c>
      <c r="J1084" t="s">
        <v>239</v>
      </c>
      <c r="K1084" t="s">
        <v>245</v>
      </c>
      <c r="L1084" t="s">
        <v>235</v>
      </c>
      <c r="M1084" t="s">
        <v>236</v>
      </c>
      <c r="N1084" t="s">
        <v>237</v>
      </c>
      <c r="O1084" s="27">
        <v>46055</v>
      </c>
    </row>
    <row r="1085" spans="2:15" hidden="1" x14ac:dyDescent="0.3">
      <c r="B1085">
        <v>3953521</v>
      </c>
      <c r="C1085" t="s">
        <v>231</v>
      </c>
      <c r="D1085">
        <v>38517</v>
      </c>
      <c r="E1085" t="s">
        <v>150</v>
      </c>
      <c r="F1085" t="s">
        <v>246</v>
      </c>
      <c r="G1085" s="28">
        <v>44</v>
      </c>
      <c r="H1085" s="32">
        <v>9.59</v>
      </c>
      <c r="I1085" s="32">
        <v>1634.52</v>
      </c>
      <c r="J1085" t="s">
        <v>239</v>
      </c>
      <c r="K1085" t="s">
        <v>245</v>
      </c>
      <c r="L1085" t="s">
        <v>235</v>
      </c>
      <c r="M1085" t="s">
        <v>236</v>
      </c>
      <c r="N1085" t="s">
        <v>237</v>
      </c>
      <c r="O1085" s="27">
        <v>46063</v>
      </c>
    </row>
    <row r="1086" spans="2:15" hidden="1" x14ac:dyDescent="0.3">
      <c r="B1086">
        <v>2727175</v>
      </c>
      <c r="C1086" t="s">
        <v>231</v>
      </c>
      <c r="D1086">
        <v>23648</v>
      </c>
      <c r="E1086" t="s">
        <v>150</v>
      </c>
      <c r="F1086" t="s">
        <v>369</v>
      </c>
      <c r="G1086" s="28">
        <v>27</v>
      </c>
      <c r="H1086" s="32">
        <v>9.58</v>
      </c>
      <c r="I1086" s="32">
        <v>1487.79</v>
      </c>
      <c r="J1086" t="s">
        <v>239</v>
      </c>
      <c r="K1086" t="s">
        <v>245</v>
      </c>
      <c r="L1086" t="s">
        <v>235</v>
      </c>
      <c r="M1086" t="s">
        <v>236</v>
      </c>
      <c r="N1086" t="s">
        <v>240</v>
      </c>
      <c r="O1086" s="27">
        <v>46063</v>
      </c>
    </row>
    <row r="1087" spans="2:15" hidden="1" x14ac:dyDescent="0.3">
      <c r="B1087">
        <v>3247420</v>
      </c>
      <c r="C1087" t="s">
        <v>231</v>
      </c>
      <c r="D1087">
        <v>23410</v>
      </c>
      <c r="E1087" t="s">
        <v>150</v>
      </c>
      <c r="F1087" t="s">
        <v>369</v>
      </c>
      <c r="G1087" s="28">
        <v>25</v>
      </c>
      <c r="H1087" s="32">
        <v>9.58</v>
      </c>
      <c r="I1087" s="32">
        <v>1377.56</v>
      </c>
      <c r="J1087" t="s">
        <v>239</v>
      </c>
      <c r="K1087" t="s">
        <v>245</v>
      </c>
      <c r="L1087" t="s">
        <v>235</v>
      </c>
      <c r="M1087" t="s">
        <v>236</v>
      </c>
      <c r="N1087" t="s">
        <v>240</v>
      </c>
      <c r="O1087" s="27">
        <v>46063</v>
      </c>
    </row>
    <row r="1088" spans="2:15" hidden="1" x14ac:dyDescent="0.3">
      <c r="B1088">
        <v>15083827</v>
      </c>
      <c r="C1088" t="s">
        <v>260</v>
      </c>
      <c r="D1088">
        <v>69493</v>
      </c>
      <c r="E1088" t="s">
        <v>150</v>
      </c>
      <c r="F1088" t="s">
        <v>369</v>
      </c>
      <c r="G1088" s="28">
        <v>27</v>
      </c>
      <c r="H1088" s="32">
        <v>9.57</v>
      </c>
      <c r="I1088" s="32">
        <v>1487.79</v>
      </c>
      <c r="J1088" t="s">
        <v>239</v>
      </c>
      <c r="K1088" t="s">
        <v>245</v>
      </c>
      <c r="L1088" t="s">
        <v>235</v>
      </c>
      <c r="M1088" t="s">
        <v>236</v>
      </c>
      <c r="N1088" t="s">
        <v>240</v>
      </c>
      <c r="O1088" s="27">
        <v>46063</v>
      </c>
    </row>
    <row r="1089" spans="2:15" hidden="1" x14ac:dyDescent="0.3">
      <c r="B1089">
        <v>4072213</v>
      </c>
      <c r="C1089" t="s">
        <v>231</v>
      </c>
      <c r="D1089">
        <v>22674</v>
      </c>
      <c r="E1089" t="s">
        <v>150</v>
      </c>
      <c r="F1089" t="s">
        <v>298</v>
      </c>
      <c r="G1089" s="28">
        <v>35</v>
      </c>
      <c r="H1089" s="32">
        <v>9.56</v>
      </c>
      <c r="I1089" s="32">
        <v>609.37</v>
      </c>
      <c r="J1089" t="s">
        <v>239</v>
      </c>
      <c r="K1089" t="s">
        <v>245</v>
      </c>
      <c r="L1089" t="s">
        <v>235</v>
      </c>
      <c r="M1089" t="s">
        <v>236</v>
      </c>
      <c r="N1089" t="s">
        <v>237</v>
      </c>
      <c r="O1089" s="27">
        <v>46063</v>
      </c>
    </row>
    <row r="1090" spans="2:15" hidden="1" x14ac:dyDescent="0.3">
      <c r="B1090">
        <v>16284979</v>
      </c>
      <c r="C1090" t="s">
        <v>231</v>
      </c>
      <c r="D1090">
        <v>25619</v>
      </c>
      <c r="E1090" t="s">
        <v>150</v>
      </c>
      <c r="F1090" t="s">
        <v>369</v>
      </c>
      <c r="G1090" s="28">
        <v>25</v>
      </c>
      <c r="H1090" s="32">
        <v>9.5500000000000007</v>
      </c>
      <c r="I1090" s="32">
        <v>1377.56</v>
      </c>
      <c r="J1090" t="s">
        <v>239</v>
      </c>
      <c r="K1090" t="s">
        <v>245</v>
      </c>
      <c r="L1090" t="s">
        <v>235</v>
      </c>
      <c r="M1090" t="s">
        <v>236</v>
      </c>
      <c r="N1090" t="s">
        <v>240</v>
      </c>
      <c r="O1090" s="27">
        <v>46063</v>
      </c>
    </row>
    <row r="1091" spans="2:15" hidden="1" x14ac:dyDescent="0.3">
      <c r="B1091">
        <v>4382412</v>
      </c>
      <c r="C1091" t="s">
        <v>231</v>
      </c>
      <c r="D1091">
        <v>49894</v>
      </c>
      <c r="E1091" t="s">
        <v>150</v>
      </c>
      <c r="F1091" t="s">
        <v>271</v>
      </c>
      <c r="G1091" s="28">
        <v>100</v>
      </c>
      <c r="H1091" s="32">
        <v>9.5500000000000007</v>
      </c>
      <c r="I1091" s="32">
        <v>1795</v>
      </c>
      <c r="J1091" t="s">
        <v>239</v>
      </c>
      <c r="K1091" t="s">
        <v>234</v>
      </c>
      <c r="L1091" t="s">
        <v>235</v>
      </c>
      <c r="M1091" t="s">
        <v>236</v>
      </c>
      <c r="N1091" t="s">
        <v>240</v>
      </c>
      <c r="O1091" s="27">
        <v>46076</v>
      </c>
    </row>
    <row r="1092" spans="2:15" hidden="1" x14ac:dyDescent="0.3">
      <c r="B1092">
        <v>8142187</v>
      </c>
      <c r="C1092" t="s">
        <v>260</v>
      </c>
      <c r="D1092">
        <v>21468</v>
      </c>
      <c r="E1092" t="s">
        <v>150</v>
      </c>
      <c r="F1092" t="s">
        <v>298</v>
      </c>
      <c r="G1092" s="28">
        <v>34</v>
      </c>
      <c r="H1092" s="32">
        <v>9.5500000000000007</v>
      </c>
      <c r="I1092" s="32">
        <v>592.07000000000005</v>
      </c>
      <c r="J1092" t="s">
        <v>239</v>
      </c>
      <c r="K1092" t="s">
        <v>245</v>
      </c>
      <c r="L1092" t="s">
        <v>235</v>
      </c>
      <c r="M1092" t="s">
        <v>236</v>
      </c>
      <c r="N1092" t="s">
        <v>237</v>
      </c>
      <c r="O1092" s="27">
        <v>46063</v>
      </c>
    </row>
    <row r="1093" spans="2:15" hidden="1" x14ac:dyDescent="0.3">
      <c r="B1093">
        <v>4686193</v>
      </c>
      <c r="C1093" t="s">
        <v>231</v>
      </c>
      <c r="D1093">
        <v>21468</v>
      </c>
      <c r="E1093" t="s">
        <v>150</v>
      </c>
      <c r="F1093" t="s">
        <v>246</v>
      </c>
      <c r="G1093" s="28">
        <v>38</v>
      </c>
      <c r="H1093" s="32">
        <v>9.52</v>
      </c>
      <c r="I1093" s="32">
        <v>1411.52</v>
      </c>
      <c r="J1093" t="s">
        <v>239</v>
      </c>
      <c r="K1093" t="s">
        <v>245</v>
      </c>
      <c r="L1093" t="s">
        <v>235</v>
      </c>
      <c r="M1093" t="s">
        <v>236</v>
      </c>
      <c r="N1093" t="s">
        <v>237</v>
      </c>
      <c r="O1093" s="27">
        <v>46063</v>
      </c>
    </row>
    <row r="1094" spans="2:15" hidden="1" x14ac:dyDescent="0.3">
      <c r="B1094">
        <v>3663401</v>
      </c>
      <c r="C1094" t="s">
        <v>231</v>
      </c>
      <c r="D1094">
        <v>21468</v>
      </c>
      <c r="E1094" t="s">
        <v>150</v>
      </c>
      <c r="F1094" t="s">
        <v>246</v>
      </c>
      <c r="G1094" s="28">
        <v>31</v>
      </c>
      <c r="H1094" s="32">
        <v>9.51</v>
      </c>
      <c r="I1094" s="32">
        <v>1145.47</v>
      </c>
      <c r="J1094" t="s">
        <v>239</v>
      </c>
      <c r="K1094" t="s">
        <v>245</v>
      </c>
      <c r="L1094" t="s">
        <v>235</v>
      </c>
      <c r="M1094" t="s">
        <v>236</v>
      </c>
      <c r="N1094" t="s">
        <v>237</v>
      </c>
      <c r="O1094" s="27">
        <v>46055</v>
      </c>
    </row>
    <row r="1095" spans="2:15" hidden="1" x14ac:dyDescent="0.3">
      <c r="B1095">
        <v>2403987</v>
      </c>
      <c r="C1095" t="s">
        <v>231</v>
      </c>
      <c r="D1095">
        <v>23648</v>
      </c>
      <c r="E1095" t="s">
        <v>150</v>
      </c>
      <c r="F1095" t="s">
        <v>246</v>
      </c>
      <c r="G1095" s="28">
        <v>36</v>
      </c>
      <c r="H1095" s="32">
        <v>9.3699999999999992</v>
      </c>
      <c r="I1095" s="32">
        <v>1337.34</v>
      </c>
      <c r="J1095" t="s">
        <v>239</v>
      </c>
      <c r="K1095" t="s">
        <v>245</v>
      </c>
      <c r="L1095" t="s">
        <v>235</v>
      </c>
      <c r="M1095" t="s">
        <v>236</v>
      </c>
      <c r="N1095" t="s">
        <v>237</v>
      </c>
      <c r="O1095" s="27">
        <v>46063</v>
      </c>
    </row>
    <row r="1096" spans="2:15" hidden="1" x14ac:dyDescent="0.3">
      <c r="B1096">
        <v>750270</v>
      </c>
      <c r="C1096" t="s">
        <v>231</v>
      </c>
      <c r="D1096">
        <v>22674</v>
      </c>
      <c r="E1096" t="s">
        <v>150</v>
      </c>
      <c r="F1096" t="s">
        <v>274</v>
      </c>
      <c r="G1096" s="28">
        <v>100</v>
      </c>
      <c r="H1096" s="32">
        <v>9.35</v>
      </c>
      <c r="I1096" s="32">
        <v>1591</v>
      </c>
      <c r="J1096" t="s">
        <v>239</v>
      </c>
      <c r="K1096" t="s">
        <v>234</v>
      </c>
      <c r="L1096" t="s">
        <v>235</v>
      </c>
      <c r="M1096" t="s">
        <v>236</v>
      </c>
      <c r="N1096" t="s">
        <v>237</v>
      </c>
      <c r="O1096" s="27">
        <v>46065</v>
      </c>
    </row>
    <row r="1097" spans="2:15" hidden="1" x14ac:dyDescent="0.3">
      <c r="B1097">
        <v>2747758</v>
      </c>
      <c r="C1097" t="s">
        <v>231</v>
      </c>
      <c r="D1097">
        <v>96553</v>
      </c>
      <c r="E1097" t="s">
        <v>150</v>
      </c>
      <c r="F1097" t="s">
        <v>246</v>
      </c>
      <c r="G1097" s="28">
        <v>37</v>
      </c>
      <c r="H1097" s="32">
        <v>9.35</v>
      </c>
      <c r="I1097" s="32">
        <v>1374.46</v>
      </c>
      <c r="J1097" t="s">
        <v>239</v>
      </c>
      <c r="K1097" t="s">
        <v>245</v>
      </c>
      <c r="L1097" t="s">
        <v>235</v>
      </c>
      <c r="M1097" t="s">
        <v>236</v>
      </c>
      <c r="N1097" t="s">
        <v>237</v>
      </c>
      <c r="O1097" s="27">
        <v>46063</v>
      </c>
    </row>
    <row r="1098" spans="2:15" hidden="1" x14ac:dyDescent="0.3">
      <c r="B1098">
        <v>17005725</v>
      </c>
      <c r="C1098" t="s">
        <v>260</v>
      </c>
      <c r="D1098">
        <v>22674</v>
      </c>
      <c r="E1098" t="s">
        <v>150</v>
      </c>
      <c r="F1098" t="s">
        <v>163</v>
      </c>
      <c r="G1098" s="28">
        <v>46</v>
      </c>
      <c r="H1098" s="32">
        <v>9.35</v>
      </c>
      <c r="I1098" s="32">
        <v>642.17999999999995</v>
      </c>
      <c r="J1098" t="s">
        <v>239</v>
      </c>
      <c r="K1098" t="s">
        <v>245</v>
      </c>
      <c r="L1098" t="s">
        <v>235</v>
      </c>
      <c r="M1098" t="s">
        <v>236</v>
      </c>
      <c r="N1098" t="s">
        <v>237</v>
      </c>
      <c r="O1098" s="27">
        <v>46063</v>
      </c>
    </row>
    <row r="1099" spans="2:15" hidden="1" x14ac:dyDescent="0.3">
      <c r="B1099">
        <v>2727175</v>
      </c>
      <c r="C1099" t="s">
        <v>231</v>
      </c>
      <c r="D1099">
        <v>23648</v>
      </c>
      <c r="E1099" t="s">
        <v>150</v>
      </c>
      <c r="F1099" t="s">
        <v>163</v>
      </c>
      <c r="G1099" s="28">
        <v>46</v>
      </c>
      <c r="H1099" s="32">
        <v>9.34</v>
      </c>
      <c r="I1099" s="32">
        <v>642.17999999999995</v>
      </c>
      <c r="J1099" t="s">
        <v>239</v>
      </c>
      <c r="K1099" t="s">
        <v>245</v>
      </c>
      <c r="L1099" t="s">
        <v>235</v>
      </c>
      <c r="M1099" t="s">
        <v>236</v>
      </c>
      <c r="N1099" t="s">
        <v>237</v>
      </c>
      <c r="O1099" s="27">
        <v>46063</v>
      </c>
    </row>
    <row r="1100" spans="2:15" hidden="1" x14ac:dyDescent="0.3">
      <c r="B1100">
        <v>4658833</v>
      </c>
      <c r="C1100" t="s">
        <v>260</v>
      </c>
      <c r="D1100">
        <v>38517</v>
      </c>
      <c r="E1100" t="s">
        <v>150</v>
      </c>
      <c r="F1100" t="s">
        <v>369</v>
      </c>
      <c r="G1100" s="28">
        <v>22</v>
      </c>
      <c r="H1100" s="32">
        <v>9.34</v>
      </c>
      <c r="I1100" s="32">
        <v>1212.31</v>
      </c>
      <c r="J1100" t="s">
        <v>239</v>
      </c>
      <c r="K1100" t="s">
        <v>245</v>
      </c>
      <c r="L1100" t="s">
        <v>235</v>
      </c>
      <c r="M1100" t="s">
        <v>236</v>
      </c>
      <c r="N1100" t="s">
        <v>240</v>
      </c>
      <c r="O1100" s="27">
        <v>46063</v>
      </c>
    </row>
    <row r="1101" spans="2:15" hidden="1" x14ac:dyDescent="0.3">
      <c r="B1101">
        <v>7863027</v>
      </c>
      <c r="C1101" t="s">
        <v>231</v>
      </c>
      <c r="D1101">
        <v>71997</v>
      </c>
      <c r="E1101" t="s">
        <v>150</v>
      </c>
      <c r="F1101" t="s">
        <v>383</v>
      </c>
      <c r="G1101" s="28">
        <v>80</v>
      </c>
      <c r="H1101" s="32">
        <v>9.33</v>
      </c>
      <c r="I1101" s="32">
        <v>1492.8</v>
      </c>
      <c r="J1101" t="s">
        <v>330</v>
      </c>
      <c r="K1101" t="s">
        <v>234</v>
      </c>
      <c r="L1101" t="s">
        <v>235</v>
      </c>
      <c r="M1101" t="s">
        <v>236</v>
      </c>
      <c r="N1101" t="s">
        <v>240</v>
      </c>
      <c r="O1101" s="27">
        <v>46066</v>
      </c>
    </row>
    <row r="1102" spans="2:15" hidden="1" x14ac:dyDescent="0.3">
      <c r="B1102">
        <v>2470712</v>
      </c>
      <c r="C1102" t="s">
        <v>260</v>
      </c>
      <c r="D1102">
        <v>72444</v>
      </c>
      <c r="E1102" t="s">
        <v>150</v>
      </c>
      <c r="F1102" t="s">
        <v>282</v>
      </c>
      <c r="G1102" s="28">
        <v>17</v>
      </c>
      <c r="H1102" s="32">
        <v>9.33</v>
      </c>
      <c r="I1102" s="32">
        <v>864.63</v>
      </c>
      <c r="J1102" t="s">
        <v>239</v>
      </c>
      <c r="K1102" t="s">
        <v>245</v>
      </c>
      <c r="L1102" t="s">
        <v>235</v>
      </c>
      <c r="M1102" t="s">
        <v>236</v>
      </c>
      <c r="N1102" t="s">
        <v>240</v>
      </c>
      <c r="O1102" s="27">
        <v>46055</v>
      </c>
    </row>
    <row r="1103" spans="2:15" hidden="1" x14ac:dyDescent="0.3">
      <c r="B1103">
        <v>17005725</v>
      </c>
      <c r="C1103" t="s">
        <v>260</v>
      </c>
      <c r="D1103">
        <v>22674</v>
      </c>
      <c r="E1103" t="s">
        <v>150</v>
      </c>
      <c r="F1103" t="s">
        <v>369</v>
      </c>
      <c r="G1103" s="28">
        <v>26</v>
      </c>
      <c r="H1103" s="32">
        <v>9.31</v>
      </c>
      <c r="I1103" s="32">
        <v>1432.76</v>
      </c>
      <c r="J1103" t="s">
        <v>239</v>
      </c>
      <c r="K1103" t="s">
        <v>245</v>
      </c>
      <c r="L1103" t="s">
        <v>235</v>
      </c>
      <c r="M1103" t="s">
        <v>236</v>
      </c>
      <c r="N1103" t="s">
        <v>240</v>
      </c>
      <c r="O1103" s="27">
        <v>46063</v>
      </c>
    </row>
    <row r="1104" spans="2:15" hidden="1" x14ac:dyDescent="0.3">
      <c r="B1104">
        <v>4535206</v>
      </c>
      <c r="C1104" t="s">
        <v>231</v>
      </c>
      <c r="D1104">
        <v>68542</v>
      </c>
      <c r="E1104" t="s">
        <v>150</v>
      </c>
      <c r="F1104" t="s">
        <v>301</v>
      </c>
      <c r="G1104" s="28">
        <v>101</v>
      </c>
      <c r="H1104" s="32">
        <v>9.2899999999999991</v>
      </c>
      <c r="I1104" s="32">
        <v>811.63</v>
      </c>
      <c r="J1104" t="s">
        <v>267</v>
      </c>
      <c r="K1104" t="s">
        <v>245</v>
      </c>
      <c r="L1104" t="s">
        <v>235</v>
      </c>
      <c r="M1104" t="s">
        <v>236</v>
      </c>
      <c r="N1104" t="s">
        <v>240</v>
      </c>
      <c r="O1104" s="27">
        <v>46057</v>
      </c>
    </row>
    <row r="1105" spans="2:15" hidden="1" x14ac:dyDescent="0.3">
      <c r="B1105">
        <v>5599981</v>
      </c>
      <c r="C1105" t="s">
        <v>231</v>
      </c>
      <c r="D1105">
        <v>69493</v>
      </c>
      <c r="E1105" t="s">
        <v>150</v>
      </c>
      <c r="F1105" t="s">
        <v>246</v>
      </c>
      <c r="G1105" s="28">
        <v>36</v>
      </c>
      <c r="H1105" s="32">
        <v>9.2899999999999991</v>
      </c>
      <c r="I1105" s="32">
        <v>1337.34</v>
      </c>
      <c r="J1105" t="s">
        <v>239</v>
      </c>
      <c r="K1105" t="s">
        <v>245</v>
      </c>
      <c r="L1105" t="s">
        <v>235</v>
      </c>
      <c r="M1105" t="s">
        <v>236</v>
      </c>
      <c r="N1105" t="s">
        <v>237</v>
      </c>
      <c r="O1105" s="27">
        <v>46063</v>
      </c>
    </row>
    <row r="1106" spans="2:15" hidden="1" x14ac:dyDescent="0.3">
      <c r="B1106">
        <v>9673848</v>
      </c>
      <c r="C1106" t="s">
        <v>231</v>
      </c>
      <c r="D1106">
        <v>22674</v>
      </c>
      <c r="E1106" t="s">
        <v>150</v>
      </c>
      <c r="F1106" t="s">
        <v>298</v>
      </c>
      <c r="G1106" s="28">
        <v>25</v>
      </c>
      <c r="H1106" s="32">
        <v>9.2799999999999994</v>
      </c>
      <c r="I1106" s="32">
        <v>435.25</v>
      </c>
      <c r="J1106" t="s">
        <v>239</v>
      </c>
      <c r="K1106" t="s">
        <v>245</v>
      </c>
      <c r="L1106" t="s">
        <v>235</v>
      </c>
      <c r="M1106" t="s">
        <v>236</v>
      </c>
      <c r="N1106" t="s">
        <v>237</v>
      </c>
      <c r="O1106" s="27">
        <v>46063</v>
      </c>
    </row>
    <row r="1107" spans="2:15" hidden="1" x14ac:dyDescent="0.3">
      <c r="B1107">
        <v>2569374</v>
      </c>
      <c r="C1107" t="s">
        <v>231</v>
      </c>
      <c r="D1107">
        <v>71997</v>
      </c>
      <c r="E1107" t="s">
        <v>150</v>
      </c>
      <c r="F1107" t="s">
        <v>160</v>
      </c>
      <c r="G1107" s="28">
        <v>44</v>
      </c>
      <c r="H1107" s="32">
        <v>9.2799999999999994</v>
      </c>
      <c r="I1107" s="32">
        <v>3833.34</v>
      </c>
      <c r="J1107" t="s">
        <v>239</v>
      </c>
      <c r="K1107" t="s">
        <v>245</v>
      </c>
      <c r="L1107" t="s">
        <v>235</v>
      </c>
      <c r="M1107" t="s">
        <v>236</v>
      </c>
      <c r="N1107" t="s">
        <v>237</v>
      </c>
      <c r="O1107" s="27">
        <v>46063</v>
      </c>
    </row>
    <row r="1108" spans="2:15" hidden="1" x14ac:dyDescent="0.3">
      <c r="B1108">
        <v>3845505</v>
      </c>
      <c r="C1108" t="s">
        <v>260</v>
      </c>
      <c r="D1108">
        <v>22674</v>
      </c>
      <c r="E1108" t="s">
        <v>150</v>
      </c>
      <c r="F1108" t="s">
        <v>274</v>
      </c>
      <c r="G1108" s="28">
        <v>100</v>
      </c>
      <c r="H1108" s="32">
        <v>9.2799999999999994</v>
      </c>
      <c r="I1108" s="32">
        <v>1479</v>
      </c>
      <c r="J1108" t="s">
        <v>239</v>
      </c>
      <c r="K1108" t="s">
        <v>234</v>
      </c>
      <c r="L1108" t="s">
        <v>235</v>
      </c>
      <c r="M1108" t="s">
        <v>236</v>
      </c>
      <c r="N1108" t="s">
        <v>237</v>
      </c>
      <c r="O1108" s="27">
        <v>46056</v>
      </c>
    </row>
    <row r="1109" spans="2:15" hidden="1" x14ac:dyDescent="0.3">
      <c r="B1109">
        <v>4382412</v>
      </c>
      <c r="C1109" t="s">
        <v>231</v>
      </c>
      <c r="D1109">
        <v>49894</v>
      </c>
      <c r="E1109" t="s">
        <v>150</v>
      </c>
      <c r="F1109" t="s">
        <v>369</v>
      </c>
      <c r="G1109" s="28">
        <v>27</v>
      </c>
      <c r="H1109" s="32">
        <v>9.26</v>
      </c>
      <c r="I1109" s="32">
        <v>1487.79</v>
      </c>
      <c r="J1109" t="s">
        <v>239</v>
      </c>
      <c r="K1109" t="s">
        <v>245</v>
      </c>
      <c r="L1109" t="s">
        <v>235</v>
      </c>
      <c r="M1109" t="s">
        <v>236</v>
      </c>
      <c r="N1109" t="s">
        <v>240</v>
      </c>
      <c r="O1109" s="27">
        <v>46063</v>
      </c>
    </row>
    <row r="1110" spans="2:15" hidden="1" x14ac:dyDescent="0.3">
      <c r="B1110">
        <v>2340782</v>
      </c>
      <c r="C1110" t="s">
        <v>231</v>
      </c>
      <c r="D1110">
        <v>49894</v>
      </c>
      <c r="E1110" t="s">
        <v>150</v>
      </c>
      <c r="F1110" t="s">
        <v>282</v>
      </c>
      <c r="G1110" s="28">
        <v>33</v>
      </c>
      <c r="H1110" s="32">
        <v>9.26</v>
      </c>
      <c r="I1110" s="32">
        <v>1685.62</v>
      </c>
      <c r="J1110" t="s">
        <v>239</v>
      </c>
      <c r="K1110" t="s">
        <v>245</v>
      </c>
      <c r="L1110" t="s">
        <v>235</v>
      </c>
      <c r="M1110" t="s">
        <v>236</v>
      </c>
      <c r="N1110" t="s">
        <v>240</v>
      </c>
      <c r="O1110" s="27">
        <v>46063</v>
      </c>
    </row>
    <row r="1111" spans="2:15" hidden="1" x14ac:dyDescent="0.3">
      <c r="B1111">
        <v>11824888</v>
      </c>
      <c r="C1111" t="s">
        <v>231</v>
      </c>
      <c r="D1111">
        <v>71881</v>
      </c>
      <c r="E1111" t="s">
        <v>150</v>
      </c>
      <c r="F1111" t="s">
        <v>271</v>
      </c>
      <c r="G1111" s="28">
        <v>62</v>
      </c>
      <c r="H1111" s="32">
        <v>9.23</v>
      </c>
      <c r="I1111" s="32">
        <v>1145.27</v>
      </c>
      <c r="J1111" t="s">
        <v>239</v>
      </c>
      <c r="K1111" t="s">
        <v>245</v>
      </c>
      <c r="L1111" t="s">
        <v>235</v>
      </c>
      <c r="M1111" t="s">
        <v>236</v>
      </c>
      <c r="N1111" t="s">
        <v>240</v>
      </c>
      <c r="O1111" s="27">
        <v>46063</v>
      </c>
    </row>
    <row r="1112" spans="2:15" hidden="1" x14ac:dyDescent="0.3">
      <c r="B1112">
        <v>3409614</v>
      </c>
      <c r="C1112" t="s">
        <v>231</v>
      </c>
      <c r="D1112">
        <v>71881</v>
      </c>
      <c r="E1112" t="s">
        <v>150</v>
      </c>
      <c r="F1112" t="s">
        <v>246</v>
      </c>
      <c r="G1112" s="28">
        <v>42</v>
      </c>
      <c r="H1112" s="32">
        <v>9.2200000000000006</v>
      </c>
      <c r="I1112" s="32">
        <v>1560.18</v>
      </c>
      <c r="J1112" t="s">
        <v>239</v>
      </c>
      <c r="K1112" t="s">
        <v>245</v>
      </c>
      <c r="L1112" t="s">
        <v>235</v>
      </c>
      <c r="M1112" t="s">
        <v>236</v>
      </c>
      <c r="N1112" t="s">
        <v>237</v>
      </c>
      <c r="O1112" s="27">
        <v>46063</v>
      </c>
    </row>
    <row r="1113" spans="2:15" hidden="1" x14ac:dyDescent="0.3">
      <c r="B1113">
        <v>54685</v>
      </c>
      <c r="C1113" t="s">
        <v>260</v>
      </c>
      <c r="D1113">
        <v>22674</v>
      </c>
      <c r="E1113" t="s">
        <v>150</v>
      </c>
      <c r="F1113" t="s">
        <v>274</v>
      </c>
      <c r="G1113" s="28">
        <v>100</v>
      </c>
      <c r="H1113" s="32">
        <v>9.2200000000000006</v>
      </c>
      <c r="I1113" s="32">
        <v>1593</v>
      </c>
      <c r="J1113" t="s">
        <v>239</v>
      </c>
      <c r="K1113" t="s">
        <v>234</v>
      </c>
      <c r="L1113" t="s">
        <v>235</v>
      </c>
      <c r="M1113" t="s">
        <v>236</v>
      </c>
      <c r="N1113" t="s">
        <v>237</v>
      </c>
      <c r="O1113" s="27">
        <v>46063</v>
      </c>
    </row>
    <row r="1114" spans="2:15" hidden="1" x14ac:dyDescent="0.3">
      <c r="B1114">
        <v>293951</v>
      </c>
      <c r="C1114" t="s">
        <v>231</v>
      </c>
      <c r="D1114">
        <v>25619</v>
      </c>
      <c r="E1114" t="s">
        <v>150</v>
      </c>
      <c r="F1114" t="s">
        <v>369</v>
      </c>
      <c r="G1114" s="28">
        <v>23</v>
      </c>
      <c r="H1114" s="32">
        <v>9.2100000000000009</v>
      </c>
      <c r="I1114" s="32">
        <v>1267.3499999999999</v>
      </c>
      <c r="J1114" t="s">
        <v>239</v>
      </c>
      <c r="K1114" t="s">
        <v>245</v>
      </c>
      <c r="L1114" t="s">
        <v>235</v>
      </c>
      <c r="M1114" t="s">
        <v>236</v>
      </c>
      <c r="N1114" t="s">
        <v>240</v>
      </c>
      <c r="O1114" s="27">
        <v>46063</v>
      </c>
    </row>
    <row r="1115" spans="2:15" hidden="1" x14ac:dyDescent="0.3">
      <c r="B1115">
        <v>14471054</v>
      </c>
      <c r="C1115" t="s">
        <v>260</v>
      </c>
      <c r="D1115">
        <v>72444</v>
      </c>
      <c r="E1115" t="s">
        <v>150</v>
      </c>
      <c r="F1115" t="s">
        <v>369</v>
      </c>
      <c r="G1115" s="28">
        <v>13</v>
      </c>
      <c r="H1115" s="32">
        <v>9.2100000000000009</v>
      </c>
      <c r="I1115" s="32">
        <v>671.92</v>
      </c>
      <c r="J1115" t="s">
        <v>239</v>
      </c>
      <c r="K1115" t="s">
        <v>245</v>
      </c>
      <c r="L1115" t="s">
        <v>235</v>
      </c>
      <c r="M1115" t="s">
        <v>236</v>
      </c>
      <c r="N1115" t="s">
        <v>240</v>
      </c>
      <c r="O1115" s="27">
        <v>46055</v>
      </c>
    </row>
    <row r="1116" spans="2:15" hidden="1" x14ac:dyDescent="0.3">
      <c r="B1116">
        <v>3065087</v>
      </c>
      <c r="C1116" t="s">
        <v>231</v>
      </c>
      <c r="D1116">
        <v>22674</v>
      </c>
      <c r="E1116" t="s">
        <v>150</v>
      </c>
      <c r="F1116" t="s">
        <v>246</v>
      </c>
      <c r="G1116" s="28">
        <v>36</v>
      </c>
      <c r="H1116" s="32">
        <v>9.1999999999999993</v>
      </c>
      <c r="I1116" s="32">
        <v>1337.34</v>
      </c>
      <c r="J1116" t="s">
        <v>239</v>
      </c>
      <c r="K1116" t="s">
        <v>245</v>
      </c>
      <c r="L1116" t="s">
        <v>235</v>
      </c>
      <c r="M1116" t="s">
        <v>236</v>
      </c>
      <c r="N1116" t="s">
        <v>237</v>
      </c>
      <c r="O1116" s="27">
        <v>46063</v>
      </c>
    </row>
    <row r="1117" spans="2:15" hidden="1" x14ac:dyDescent="0.3">
      <c r="B1117">
        <v>3270381</v>
      </c>
      <c r="C1117" t="s">
        <v>260</v>
      </c>
      <c r="D1117">
        <v>21559</v>
      </c>
      <c r="E1117" t="s">
        <v>150</v>
      </c>
      <c r="F1117" t="s">
        <v>291</v>
      </c>
      <c r="G1117" s="28">
        <v>53</v>
      </c>
      <c r="H1117" s="32">
        <v>9.1999999999999993</v>
      </c>
      <c r="I1117" s="32">
        <v>523.26</v>
      </c>
      <c r="J1117" t="s">
        <v>267</v>
      </c>
      <c r="K1117" t="s">
        <v>245</v>
      </c>
      <c r="L1117" t="s">
        <v>235</v>
      </c>
      <c r="M1117" t="s">
        <v>236</v>
      </c>
      <c r="N1117" t="s">
        <v>240</v>
      </c>
      <c r="O1117" s="27">
        <v>46057</v>
      </c>
    </row>
    <row r="1118" spans="2:15" hidden="1" x14ac:dyDescent="0.3">
      <c r="B1118">
        <v>3430907</v>
      </c>
      <c r="C1118" t="s">
        <v>260</v>
      </c>
      <c r="D1118">
        <v>21468</v>
      </c>
      <c r="E1118" t="s">
        <v>150</v>
      </c>
      <c r="F1118" t="s">
        <v>282</v>
      </c>
      <c r="G1118" s="28">
        <v>33</v>
      </c>
      <c r="H1118" s="32">
        <v>9.19</v>
      </c>
      <c r="I1118" s="32">
        <v>1685.62</v>
      </c>
      <c r="J1118" t="s">
        <v>239</v>
      </c>
      <c r="K1118" t="s">
        <v>245</v>
      </c>
      <c r="L1118" t="s">
        <v>235</v>
      </c>
      <c r="M1118" t="s">
        <v>236</v>
      </c>
      <c r="N1118" t="s">
        <v>240</v>
      </c>
      <c r="O1118" s="27">
        <v>46063</v>
      </c>
    </row>
    <row r="1119" spans="2:15" hidden="1" x14ac:dyDescent="0.3">
      <c r="B1119">
        <v>7372714</v>
      </c>
      <c r="C1119" t="s">
        <v>231</v>
      </c>
      <c r="D1119">
        <v>22674</v>
      </c>
      <c r="E1119" t="s">
        <v>150</v>
      </c>
      <c r="F1119" t="s">
        <v>282</v>
      </c>
      <c r="G1119" s="28">
        <v>33</v>
      </c>
      <c r="H1119" s="32">
        <v>9.17</v>
      </c>
      <c r="I1119" s="32">
        <v>1685.62</v>
      </c>
      <c r="J1119" t="s">
        <v>239</v>
      </c>
      <c r="K1119" t="s">
        <v>245</v>
      </c>
      <c r="L1119" t="s">
        <v>235</v>
      </c>
      <c r="M1119" t="s">
        <v>236</v>
      </c>
      <c r="N1119" t="s">
        <v>240</v>
      </c>
      <c r="O1119" s="27">
        <v>46063</v>
      </c>
    </row>
    <row r="1120" spans="2:15" hidden="1" x14ac:dyDescent="0.3">
      <c r="B1120">
        <v>5370675</v>
      </c>
      <c r="C1120" t="s">
        <v>260</v>
      </c>
      <c r="D1120">
        <v>71881</v>
      </c>
      <c r="E1120" t="s">
        <v>150</v>
      </c>
      <c r="F1120" t="s">
        <v>298</v>
      </c>
      <c r="G1120" s="28">
        <v>33</v>
      </c>
      <c r="H1120" s="32">
        <v>9.16</v>
      </c>
      <c r="I1120" s="32">
        <v>574.65</v>
      </c>
      <c r="J1120" t="s">
        <v>239</v>
      </c>
      <c r="K1120" t="s">
        <v>245</v>
      </c>
      <c r="L1120" t="s">
        <v>235</v>
      </c>
      <c r="M1120" t="s">
        <v>236</v>
      </c>
      <c r="N1120" t="s">
        <v>237</v>
      </c>
      <c r="O1120" s="27">
        <v>46063</v>
      </c>
    </row>
    <row r="1121" spans="2:15" hidden="1" x14ac:dyDescent="0.3">
      <c r="B1121">
        <v>2987541</v>
      </c>
      <c r="C1121" t="s">
        <v>231</v>
      </c>
      <c r="D1121">
        <v>23648</v>
      </c>
      <c r="E1121" t="s">
        <v>150</v>
      </c>
      <c r="F1121" t="s">
        <v>246</v>
      </c>
      <c r="G1121" s="28">
        <v>35</v>
      </c>
      <c r="H1121" s="32">
        <v>9.14</v>
      </c>
      <c r="I1121" s="32">
        <v>1300.1099999999999</v>
      </c>
      <c r="J1121" t="s">
        <v>239</v>
      </c>
      <c r="K1121" t="s">
        <v>245</v>
      </c>
      <c r="L1121" t="s">
        <v>235</v>
      </c>
      <c r="M1121" t="s">
        <v>236</v>
      </c>
      <c r="N1121" t="s">
        <v>237</v>
      </c>
      <c r="O1121" s="27">
        <v>46063</v>
      </c>
    </row>
    <row r="1122" spans="2:15" hidden="1" x14ac:dyDescent="0.3">
      <c r="B1122">
        <v>389066</v>
      </c>
      <c r="C1122" t="s">
        <v>260</v>
      </c>
      <c r="D1122">
        <v>21559</v>
      </c>
      <c r="E1122" t="s">
        <v>150</v>
      </c>
      <c r="F1122" t="s">
        <v>361</v>
      </c>
      <c r="G1122" s="28">
        <v>47</v>
      </c>
      <c r="H1122" s="32">
        <v>9.14</v>
      </c>
      <c r="I1122" s="32">
        <v>1790.7</v>
      </c>
      <c r="J1122" t="s">
        <v>330</v>
      </c>
      <c r="K1122" t="s">
        <v>234</v>
      </c>
      <c r="L1122" t="s">
        <v>235</v>
      </c>
      <c r="M1122" t="s">
        <v>236</v>
      </c>
      <c r="N1122" t="s">
        <v>237</v>
      </c>
      <c r="O1122" s="27">
        <v>46072</v>
      </c>
    </row>
    <row r="1123" spans="2:15" hidden="1" x14ac:dyDescent="0.3">
      <c r="B1123">
        <v>3255792</v>
      </c>
      <c r="C1123" t="s">
        <v>231</v>
      </c>
      <c r="D1123">
        <v>71881</v>
      </c>
      <c r="E1123" t="s">
        <v>150</v>
      </c>
      <c r="F1123" t="s">
        <v>369</v>
      </c>
      <c r="G1123" s="28">
        <v>13</v>
      </c>
      <c r="H1123" s="32">
        <v>9.1300000000000008</v>
      </c>
      <c r="I1123" s="32">
        <v>671.92</v>
      </c>
      <c r="J1123" t="s">
        <v>239</v>
      </c>
      <c r="K1123" t="s">
        <v>245</v>
      </c>
      <c r="L1123" t="s">
        <v>235</v>
      </c>
      <c r="M1123" t="s">
        <v>236</v>
      </c>
      <c r="N1123" t="s">
        <v>240</v>
      </c>
      <c r="O1123" s="27">
        <v>46055</v>
      </c>
    </row>
    <row r="1124" spans="2:15" hidden="1" x14ac:dyDescent="0.3">
      <c r="B1124">
        <v>2143207</v>
      </c>
      <c r="C1124" t="s">
        <v>231</v>
      </c>
      <c r="D1124">
        <v>21468</v>
      </c>
      <c r="E1124" t="s">
        <v>150</v>
      </c>
      <c r="F1124" t="s">
        <v>263</v>
      </c>
      <c r="G1124" s="28">
        <v>100</v>
      </c>
      <c r="H1124" s="32">
        <v>9.1300000000000008</v>
      </c>
      <c r="I1124" s="32">
        <v>1350</v>
      </c>
      <c r="J1124" t="s">
        <v>239</v>
      </c>
      <c r="K1124" t="s">
        <v>234</v>
      </c>
      <c r="L1124" t="s">
        <v>235</v>
      </c>
      <c r="M1124" t="s">
        <v>236</v>
      </c>
      <c r="N1124" t="s">
        <v>237</v>
      </c>
      <c r="O1124" s="27">
        <v>46057</v>
      </c>
    </row>
    <row r="1125" spans="2:15" hidden="1" x14ac:dyDescent="0.3">
      <c r="B1125">
        <v>15083827</v>
      </c>
      <c r="C1125" t="s">
        <v>260</v>
      </c>
      <c r="D1125">
        <v>69493</v>
      </c>
      <c r="E1125" t="s">
        <v>150</v>
      </c>
      <c r="F1125" t="s">
        <v>163</v>
      </c>
      <c r="G1125" s="28">
        <v>45</v>
      </c>
      <c r="H1125" s="32">
        <v>9.1300000000000008</v>
      </c>
      <c r="I1125" s="32">
        <v>628.27</v>
      </c>
      <c r="J1125" t="s">
        <v>239</v>
      </c>
      <c r="K1125" t="s">
        <v>245</v>
      </c>
      <c r="L1125" t="s">
        <v>235</v>
      </c>
      <c r="M1125" t="s">
        <v>236</v>
      </c>
      <c r="N1125" t="s">
        <v>237</v>
      </c>
      <c r="O1125" s="27">
        <v>46063</v>
      </c>
    </row>
    <row r="1126" spans="2:15" hidden="1" x14ac:dyDescent="0.3">
      <c r="B1126">
        <v>5751194</v>
      </c>
      <c r="C1126" t="s">
        <v>260</v>
      </c>
      <c r="D1126">
        <v>25104</v>
      </c>
      <c r="E1126" t="s">
        <v>150</v>
      </c>
      <c r="F1126" t="s">
        <v>356</v>
      </c>
      <c r="G1126" s="28">
        <v>40</v>
      </c>
      <c r="H1126" s="32">
        <v>9.1300000000000008</v>
      </c>
      <c r="I1126" s="32">
        <v>2192.8000000000002</v>
      </c>
      <c r="J1126" t="s">
        <v>330</v>
      </c>
      <c r="K1126" t="s">
        <v>234</v>
      </c>
      <c r="L1126" t="s">
        <v>235</v>
      </c>
      <c r="M1126" t="s">
        <v>236</v>
      </c>
      <c r="N1126" t="s">
        <v>240</v>
      </c>
      <c r="O1126" s="27">
        <v>46064</v>
      </c>
    </row>
    <row r="1127" spans="2:15" hidden="1" x14ac:dyDescent="0.3">
      <c r="B1127">
        <v>18805586</v>
      </c>
      <c r="C1127" t="s">
        <v>260</v>
      </c>
      <c r="D1127">
        <v>23410</v>
      </c>
      <c r="E1127" t="s">
        <v>150</v>
      </c>
      <c r="F1127" t="s">
        <v>163</v>
      </c>
      <c r="G1127" s="28">
        <v>45</v>
      </c>
      <c r="H1127" s="32">
        <v>9.1199999999999992</v>
      </c>
      <c r="I1127" s="32">
        <v>628.27</v>
      </c>
      <c r="J1127" t="s">
        <v>239</v>
      </c>
      <c r="K1127" t="s">
        <v>245</v>
      </c>
      <c r="L1127" t="s">
        <v>235</v>
      </c>
      <c r="M1127" t="s">
        <v>236</v>
      </c>
      <c r="N1127" t="s">
        <v>237</v>
      </c>
      <c r="O1127" s="27">
        <v>46063</v>
      </c>
    </row>
    <row r="1128" spans="2:15" hidden="1" x14ac:dyDescent="0.3">
      <c r="B1128">
        <v>307208</v>
      </c>
      <c r="C1128" t="s">
        <v>231</v>
      </c>
      <c r="D1128">
        <v>25619</v>
      </c>
      <c r="E1128" t="s">
        <v>150</v>
      </c>
      <c r="F1128" t="s">
        <v>164</v>
      </c>
      <c r="G1128" s="28">
        <v>47</v>
      </c>
      <c r="H1128" s="32">
        <v>9.1</v>
      </c>
      <c r="I1128" s="32">
        <v>2284.62</v>
      </c>
      <c r="J1128" t="s">
        <v>239</v>
      </c>
      <c r="K1128" t="s">
        <v>245</v>
      </c>
      <c r="L1128" t="s">
        <v>235</v>
      </c>
      <c r="M1128" t="s">
        <v>236</v>
      </c>
      <c r="N1128" t="s">
        <v>240</v>
      </c>
      <c r="O1128" s="27">
        <v>46063</v>
      </c>
    </row>
    <row r="1129" spans="2:15" hidden="1" x14ac:dyDescent="0.3">
      <c r="B1129">
        <v>245239</v>
      </c>
      <c r="C1129" t="s">
        <v>231</v>
      </c>
      <c r="D1129">
        <v>21468</v>
      </c>
      <c r="E1129" t="s">
        <v>150</v>
      </c>
      <c r="F1129" t="s">
        <v>282</v>
      </c>
      <c r="G1129" s="28">
        <v>17</v>
      </c>
      <c r="H1129" s="32">
        <v>9.08</v>
      </c>
      <c r="I1129" s="32">
        <v>864.63</v>
      </c>
      <c r="J1129" t="s">
        <v>239</v>
      </c>
      <c r="K1129" t="s">
        <v>245</v>
      </c>
      <c r="L1129" t="s">
        <v>235</v>
      </c>
      <c r="M1129" t="s">
        <v>236</v>
      </c>
      <c r="N1129" t="s">
        <v>240</v>
      </c>
      <c r="O1129" s="27">
        <v>46055</v>
      </c>
    </row>
    <row r="1130" spans="2:15" hidden="1" x14ac:dyDescent="0.3">
      <c r="B1130">
        <v>2255037</v>
      </c>
      <c r="C1130" t="s">
        <v>231</v>
      </c>
      <c r="D1130">
        <v>22674</v>
      </c>
      <c r="E1130" t="s">
        <v>150</v>
      </c>
      <c r="F1130" t="s">
        <v>246</v>
      </c>
      <c r="G1130" s="28">
        <v>35</v>
      </c>
      <c r="H1130" s="32">
        <v>9.07</v>
      </c>
      <c r="I1130" s="32">
        <v>1300.1099999999999</v>
      </c>
      <c r="J1130" t="s">
        <v>239</v>
      </c>
      <c r="K1130" t="s">
        <v>245</v>
      </c>
      <c r="L1130" t="s">
        <v>235</v>
      </c>
      <c r="M1130" t="s">
        <v>236</v>
      </c>
      <c r="N1130" t="s">
        <v>237</v>
      </c>
      <c r="O1130" s="27">
        <v>46063</v>
      </c>
    </row>
    <row r="1131" spans="2:15" hidden="1" x14ac:dyDescent="0.3">
      <c r="B1131">
        <v>6978173</v>
      </c>
      <c r="C1131" t="s">
        <v>231</v>
      </c>
      <c r="D1131">
        <v>38517</v>
      </c>
      <c r="E1131" t="s">
        <v>150</v>
      </c>
      <c r="F1131" t="s">
        <v>282</v>
      </c>
      <c r="G1131" s="28">
        <v>32</v>
      </c>
      <c r="H1131" s="32">
        <v>9.06</v>
      </c>
      <c r="I1131" s="32">
        <v>1634.54</v>
      </c>
      <c r="J1131" t="s">
        <v>239</v>
      </c>
      <c r="K1131" t="s">
        <v>245</v>
      </c>
      <c r="L1131" t="s">
        <v>235</v>
      </c>
      <c r="M1131" t="s">
        <v>236</v>
      </c>
      <c r="N1131" t="s">
        <v>240</v>
      </c>
      <c r="O1131" s="27">
        <v>46063</v>
      </c>
    </row>
    <row r="1132" spans="2:15" hidden="1" x14ac:dyDescent="0.3">
      <c r="B1132">
        <v>5377617</v>
      </c>
      <c r="C1132" t="s">
        <v>231</v>
      </c>
      <c r="D1132">
        <v>21559</v>
      </c>
      <c r="E1132" t="s">
        <v>150</v>
      </c>
      <c r="F1132" t="s">
        <v>298</v>
      </c>
      <c r="G1132" s="28">
        <v>31</v>
      </c>
      <c r="H1132" s="32">
        <v>9.0500000000000007</v>
      </c>
      <c r="I1132" s="32">
        <v>539.78</v>
      </c>
      <c r="J1132" t="s">
        <v>239</v>
      </c>
      <c r="K1132" t="s">
        <v>245</v>
      </c>
      <c r="L1132" t="s">
        <v>235</v>
      </c>
      <c r="M1132" t="s">
        <v>236</v>
      </c>
      <c r="N1132" t="s">
        <v>237</v>
      </c>
      <c r="O1132" s="27">
        <v>46063</v>
      </c>
    </row>
    <row r="1133" spans="2:15" hidden="1" x14ac:dyDescent="0.3">
      <c r="B1133">
        <v>2470712</v>
      </c>
      <c r="C1133" t="s">
        <v>260</v>
      </c>
      <c r="D1133">
        <v>72444</v>
      </c>
      <c r="E1133" t="s">
        <v>150</v>
      </c>
      <c r="F1133" t="s">
        <v>298</v>
      </c>
      <c r="G1133" s="28">
        <v>51</v>
      </c>
      <c r="H1133" s="32">
        <v>9.0399999999999991</v>
      </c>
      <c r="I1133" s="32">
        <v>837.28</v>
      </c>
      <c r="J1133" t="s">
        <v>239</v>
      </c>
      <c r="K1133" t="s">
        <v>245</v>
      </c>
      <c r="L1133" t="s">
        <v>235</v>
      </c>
      <c r="M1133" t="s">
        <v>236</v>
      </c>
      <c r="N1133" t="s">
        <v>237</v>
      </c>
      <c r="O1133" s="27">
        <v>46055</v>
      </c>
    </row>
    <row r="1134" spans="2:15" hidden="1" x14ac:dyDescent="0.3">
      <c r="B1134">
        <v>9799059</v>
      </c>
      <c r="C1134" t="s">
        <v>260</v>
      </c>
      <c r="D1134">
        <v>38675</v>
      </c>
      <c r="E1134" t="s">
        <v>150</v>
      </c>
      <c r="F1134" t="s">
        <v>318</v>
      </c>
      <c r="G1134" s="28">
        <v>11</v>
      </c>
      <c r="H1134" s="32">
        <v>9.0399999999999991</v>
      </c>
      <c r="I1134" s="32">
        <v>1690.47</v>
      </c>
      <c r="J1134" t="s">
        <v>239</v>
      </c>
      <c r="K1134" t="s">
        <v>245</v>
      </c>
      <c r="L1134" t="s">
        <v>235</v>
      </c>
      <c r="M1134" t="s">
        <v>236</v>
      </c>
      <c r="N1134" t="s">
        <v>237</v>
      </c>
      <c r="O1134" s="27">
        <v>46072</v>
      </c>
    </row>
    <row r="1135" spans="2:15" hidden="1" x14ac:dyDescent="0.3">
      <c r="B1135">
        <v>2747758</v>
      </c>
      <c r="C1135" t="s">
        <v>231</v>
      </c>
      <c r="D1135">
        <v>96553</v>
      </c>
      <c r="E1135" t="s">
        <v>150</v>
      </c>
      <c r="F1135" t="s">
        <v>282</v>
      </c>
      <c r="G1135" s="28">
        <v>31</v>
      </c>
      <c r="H1135" s="32">
        <v>9.01</v>
      </c>
      <c r="I1135" s="32">
        <v>1583.46</v>
      </c>
      <c r="J1135" t="s">
        <v>239</v>
      </c>
      <c r="K1135" t="s">
        <v>245</v>
      </c>
      <c r="L1135" t="s">
        <v>235</v>
      </c>
      <c r="M1135" t="s">
        <v>236</v>
      </c>
      <c r="N1135" t="s">
        <v>240</v>
      </c>
      <c r="O1135" s="27">
        <v>46063</v>
      </c>
    </row>
    <row r="1136" spans="2:15" hidden="1" x14ac:dyDescent="0.3">
      <c r="B1136">
        <v>18731282</v>
      </c>
      <c r="C1136" t="s">
        <v>231</v>
      </c>
      <c r="D1136">
        <v>40901</v>
      </c>
      <c r="E1136" t="s">
        <v>150</v>
      </c>
      <c r="F1136" t="s">
        <v>163</v>
      </c>
      <c r="G1136" s="28">
        <v>44</v>
      </c>
      <c r="H1136" s="32">
        <v>8.99</v>
      </c>
      <c r="I1136" s="32">
        <v>614.26</v>
      </c>
      <c r="J1136" t="s">
        <v>239</v>
      </c>
      <c r="K1136" t="s">
        <v>245</v>
      </c>
      <c r="L1136" t="s">
        <v>235</v>
      </c>
      <c r="M1136" t="s">
        <v>236</v>
      </c>
      <c r="N1136" t="s">
        <v>237</v>
      </c>
      <c r="O1136" s="27">
        <v>46063</v>
      </c>
    </row>
    <row r="1137" spans="2:15" hidden="1" x14ac:dyDescent="0.3">
      <c r="B1137">
        <v>3255792</v>
      </c>
      <c r="C1137" t="s">
        <v>231</v>
      </c>
      <c r="D1137">
        <v>71881</v>
      </c>
      <c r="E1137" t="s">
        <v>150</v>
      </c>
      <c r="F1137" t="s">
        <v>298</v>
      </c>
      <c r="G1137" s="28">
        <v>24</v>
      </c>
      <c r="H1137" s="32">
        <v>8.9600000000000009</v>
      </c>
      <c r="I1137" s="32">
        <v>417.93</v>
      </c>
      <c r="J1137" t="s">
        <v>239</v>
      </c>
      <c r="K1137" t="s">
        <v>245</v>
      </c>
      <c r="L1137" t="s">
        <v>235</v>
      </c>
      <c r="M1137" t="s">
        <v>236</v>
      </c>
      <c r="N1137" t="s">
        <v>237</v>
      </c>
      <c r="O1137" s="27">
        <v>46063</v>
      </c>
    </row>
    <row r="1138" spans="2:15" hidden="1" x14ac:dyDescent="0.3">
      <c r="B1138">
        <v>4238598</v>
      </c>
      <c r="C1138" t="s">
        <v>231</v>
      </c>
      <c r="D1138">
        <v>38517</v>
      </c>
      <c r="E1138" t="s">
        <v>150</v>
      </c>
      <c r="F1138" t="s">
        <v>337</v>
      </c>
      <c r="G1138" s="28">
        <v>56</v>
      </c>
      <c r="H1138" s="32">
        <v>8.92</v>
      </c>
      <c r="I1138" s="32">
        <v>2034.34</v>
      </c>
      <c r="J1138" t="s">
        <v>239</v>
      </c>
      <c r="K1138" t="s">
        <v>245</v>
      </c>
      <c r="L1138" t="s">
        <v>235</v>
      </c>
      <c r="M1138" t="s">
        <v>236</v>
      </c>
      <c r="N1138" t="s">
        <v>237</v>
      </c>
      <c r="O1138" s="27">
        <v>46063</v>
      </c>
    </row>
    <row r="1139" spans="2:15" hidden="1" x14ac:dyDescent="0.3">
      <c r="B1139">
        <v>3274546</v>
      </c>
      <c r="C1139" t="s">
        <v>260</v>
      </c>
      <c r="D1139">
        <v>22674</v>
      </c>
      <c r="E1139" t="s">
        <v>150</v>
      </c>
      <c r="F1139" t="s">
        <v>287</v>
      </c>
      <c r="G1139" s="28">
        <v>51</v>
      </c>
      <c r="H1139" s="32">
        <v>8.92</v>
      </c>
      <c r="I1139" s="32">
        <v>1599.78</v>
      </c>
      <c r="J1139" t="s">
        <v>239</v>
      </c>
      <c r="K1139" t="s">
        <v>245</v>
      </c>
      <c r="L1139" t="s">
        <v>235</v>
      </c>
      <c r="M1139" t="s">
        <v>236</v>
      </c>
      <c r="N1139" t="s">
        <v>237</v>
      </c>
      <c r="O1139" s="27">
        <v>46063</v>
      </c>
    </row>
    <row r="1140" spans="2:15" hidden="1" x14ac:dyDescent="0.3">
      <c r="B1140">
        <v>5740954</v>
      </c>
      <c r="C1140" t="s">
        <v>260</v>
      </c>
      <c r="D1140">
        <v>23648</v>
      </c>
      <c r="E1140" t="s">
        <v>150</v>
      </c>
      <c r="F1140" t="s">
        <v>246</v>
      </c>
      <c r="G1140" s="28">
        <v>27</v>
      </c>
      <c r="H1140" s="32">
        <v>8.89</v>
      </c>
      <c r="I1140" s="32">
        <v>997.67</v>
      </c>
      <c r="J1140" t="s">
        <v>239</v>
      </c>
      <c r="K1140" t="s">
        <v>245</v>
      </c>
      <c r="L1140" t="s">
        <v>235</v>
      </c>
      <c r="M1140" t="s">
        <v>236</v>
      </c>
      <c r="N1140" t="s">
        <v>237</v>
      </c>
      <c r="O1140" s="27">
        <v>46055</v>
      </c>
    </row>
    <row r="1141" spans="2:15" hidden="1" x14ac:dyDescent="0.3">
      <c r="B1141">
        <v>5592125</v>
      </c>
      <c r="C1141" t="s">
        <v>231</v>
      </c>
      <c r="D1141">
        <v>38517</v>
      </c>
      <c r="E1141" t="s">
        <v>150</v>
      </c>
      <c r="F1141" t="s">
        <v>246</v>
      </c>
      <c r="G1141" s="28">
        <v>32</v>
      </c>
      <c r="H1141" s="32">
        <v>8.83</v>
      </c>
      <c r="I1141" s="32">
        <v>1239.01</v>
      </c>
      <c r="J1141" t="s">
        <v>239</v>
      </c>
      <c r="K1141" t="s">
        <v>245</v>
      </c>
      <c r="L1141" t="s">
        <v>235</v>
      </c>
      <c r="M1141" t="s">
        <v>236</v>
      </c>
      <c r="N1141" t="s">
        <v>237</v>
      </c>
      <c r="O1141" s="27">
        <v>46076</v>
      </c>
    </row>
    <row r="1142" spans="2:15" hidden="1" x14ac:dyDescent="0.3">
      <c r="B1142">
        <v>3684655</v>
      </c>
      <c r="C1142" t="s">
        <v>260</v>
      </c>
      <c r="D1142">
        <v>38517</v>
      </c>
      <c r="E1142" t="s">
        <v>150</v>
      </c>
      <c r="F1142" t="s">
        <v>246</v>
      </c>
      <c r="G1142" s="28">
        <v>33</v>
      </c>
      <c r="H1142" s="32">
        <v>8.83</v>
      </c>
      <c r="I1142" s="32">
        <v>1225.9000000000001</v>
      </c>
      <c r="J1142" t="s">
        <v>239</v>
      </c>
      <c r="K1142" t="s">
        <v>245</v>
      </c>
      <c r="L1142" t="s">
        <v>235</v>
      </c>
      <c r="M1142" t="s">
        <v>236</v>
      </c>
      <c r="N1142" t="s">
        <v>237</v>
      </c>
      <c r="O1142" s="27">
        <v>46063</v>
      </c>
    </row>
    <row r="1143" spans="2:15" hidden="1" x14ac:dyDescent="0.3">
      <c r="B1143">
        <v>8218280</v>
      </c>
      <c r="C1143" t="s">
        <v>260</v>
      </c>
      <c r="D1143">
        <v>21559</v>
      </c>
      <c r="E1143" t="s">
        <v>150</v>
      </c>
      <c r="F1143" t="s">
        <v>393</v>
      </c>
      <c r="G1143" s="28">
        <v>6</v>
      </c>
      <c r="H1143" s="32">
        <v>8.82</v>
      </c>
      <c r="I1143" s="32">
        <v>559.29</v>
      </c>
      <c r="J1143" t="s">
        <v>267</v>
      </c>
      <c r="K1143" t="s">
        <v>245</v>
      </c>
      <c r="L1143" t="s">
        <v>235</v>
      </c>
      <c r="M1143" t="s">
        <v>236</v>
      </c>
      <c r="N1143" t="s">
        <v>237</v>
      </c>
      <c r="O1143" s="27">
        <v>46062</v>
      </c>
    </row>
    <row r="1144" spans="2:15" hidden="1" x14ac:dyDescent="0.3">
      <c r="B1144">
        <v>8668372</v>
      </c>
      <c r="C1144" t="s">
        <v>231</v>
      </c>
      <c r="D1144">
        <v>25619</v>
      </c>
      <c r="E1144" t="s">
        <v>150</v>
      </c>
      <c r="F1144" t="s">
        <v>162</v>
      </c>
      <c r="G1144" s="28">
        <v>16</v>
      </c>
      <c r="H1144" s="32">
        <v>8.8000000000000007</v>
      </c>
      <c r="I1144" s="32">
        <v>888.01</v>
      </c>
      <c r="J1144" t="s">
        <v>239</v>
      </c>
      <c r="K1144" t="s">
        <v>245</v>
      </c>
      <c r="L1144" t="s">
        <v>235</v>
      </c>
      <c r="M1144" t="s">
        <v>236</v>
      </c>
      <c r="N1144" t="s">
        <v>240</v>
      </c>
      <c r="O1144" s="27">
        <v>46055</v>
      </c>
    </row>
    <row r="1145" spans="2:15" hidden="1" x14ac:dyDescent="0.3">
      <c r="B1145">
        <v>3845505</v>
      </c>
      <c r="C1145" t="s">
        <v>260</v>
      </c>
      <c r="D1145">
        <v>22674</v>
      </c>
      <c r="E1145" t="s">
        <v>150</v>
      </c>
      <c r="F1145" t="s">
        <v>263</v>
      </c>
      <c r="G1145" s="28">
        <v>100</v>
      </c>
      <c r="H1145" s="32">
        <v>8.8000000000000007</v>
      </c>
      <c r="I1145" s="32">
        <v>1403</v>
      </c>
      <c r="J1145" t="s">
        <v>239</v>
      </c>
      <c r="K1145" t="s">
        <v>234</v>
      </c>
      <c r="L1145" t="s">
        <v>235</v>
      </c>
      <c r="M1145" t="s">
        <v>236</v>
      </c>
      <c r="N1145" t="s">
        <v>237</v>
      </c>
      <c r="O1145" s="27">
        <v>46056</v>
      </c>
    </row>
    <row r="1146" spans="2:15" hidden="1" x14ac:dyDescent="0.3">
      <c r="B1146">
        <v>245239</v>
      </c>
      <c r="C1146" t="s">
        <v>231</v>
      </c>
      <c r="D1146">
        <v>21468</v>
      </c>
      <c r="E1146" t="s">
        <v>150</v>
      </c>
      <c r="F1146" t="s">
        <v>298</v>
      </c>
      <c r="G1146" s="28">
        <v>51</v>
      </c>
      <c r="H1146" s="32">
        <v>8.7899999999999991</v>
      </c>
      <c r="I1146" s="32">
        <v>837.28</v>
      </c>
      <c r="J1146" t="s">
        <v>239</v>
      </c>
      <c r="K1146" t="s">
        <v>245</v>
      </c>
      <c r="L1146" t="s">
        <v>235</v>
      </c>
      <c r="M1146" t="s">
        <v>236</v>
      </c>
      <c r="N1146" t="s">
        <v>237</v>
      </c>
      <c r="O1146" s="27">
        <v>46055</v>
      </c>
    </row>
    <row r="1147" spans="2:15" hidden="1" x14ac:dyDescent="0.3">
      <c r="B1147">
        <v>3436001</v>
      </c>
      <c r="C1147" t="s">
        <v>260</v>
      </c>
      <c r="D1147">
        <v>21468</v>
      </c>
      <c r="E1147" t="s">
        <v>150</v>
      </c>
      <c r="F1147" t="s">
        <v>246</v>
      </c>
      <c r="G1147" s="28">
        <v>26</v>
      </c>
      <c r="H1147" s="32">
        <v>8.7899999999999991</v>
      </c>
      <c r="I1147" s="32">
        <v>960.72</v>
      </c>
      <c r="J1147" t="s">
        <v>239</v>
      </c>
      <c r="K1147" t="s">
        <v>245</v>
      </c>
      <c r="L1147" t="s">
        <v>235</v>
      </c>
      <c r="M1147" t="s">
        <v>236</v>
      </c>
      <c r="N1147" t="s">
        <v>237</v>
      </c>
      <c r="O1147" s="27">
        <v>46055</v>
      </c>
    </row>
    <row r="1148" spans="2:15" hidden="1" x14ac:dyDescent="0.3">
      <c r="B1148">
        <v>3274546</v>
      </c>
      <c r="C1148" t="s">
        <v>260</v>
      </c>
      <c r="D1148">
        <v>22674</v>
      </c>
      <c r="E1148" t="s">
        <v>150</v>
      </c>
      <c r="F1148" t="s">
        <v>271</v>
      </c>
      <c r="G1148" s="28">
        <v>55</v>
      </c>
      <c r="H1148" s="32">
        <v>8.75</v>
      </c>
      <c r="I1148" s="32">
        <v>1015.42</v>
      </c>
      <c r="J1148" t="s">
        <v>239</v>
      </c>
      <c r="K1148" t="s">
        <v>245</v>
      </c>
      <c r="L1148" t="s">
        <v>235</v>
      </c>
      <c r="M1148" t="s">
        <v>236</v>
      </c>
      <c r="N1148" t="s">
        <v>237</v>
      </c>
      <c r="O1148" s="27">
        <v>46063</v>
      </c>
    </row>
    <row r="1149" spans="2:15" hidden="1" x14ac:dyDescent="0.3">
      <c r="B1149">
        <v>3274546</v>
      </c>
      <c r="C1149" t="s">
        <v>260</v>
      </c>
      <c r="D1149">
        <v>22674</v>
      </c>
      <c r="E1149" t="s">
        <v>150</v>
      </c>
      <c r="F1149" t="s">
        <v>319</v>
      </c>
      <c r="G1149" s="28">
        <v>47</v>
      </c>
      <c r="H1149" s="32">
        <v>8.6999999999999993</v>
      </c>
      <c r="I1149" s="32">
        <v>1898.34</v>
      </c>
      <c r="J1149" t="s">
        <v>239</v>
      </c>
      <c r="K1149" t="s">
        <v>245</v>
      </c>
      <c r="L1149" t="s">
        <v>235</v>
      </c>
      <c r="M1149" t="s">
        <v>236</v>
      </c>
      <c r="N1149" t="s">
        <v>237</v>
      </c>
      <c r="O1149" s="27">
        <v>46063</v>
      </c>
    </row>
    <row r="1150" spans="2:15" hidden="1" x14ac:dyDescent="0.3">
      <c r="B1150">
        <v>5592125</v>
      </c>
      <c r="C1150" t="s">
        <v>231</v>
      </c>
      <c r="D1150">
        <v>38517</v>
      </c>
      <c r="E1150" t="s">
        <v>150</v>
      </c>
      <c r="F1150" t="s">
        <v>272</v>
      </c>
      <c r="G1150" s="28">
        <v>185</v>
      </c>
      <c r="H1150" s="32">
        <v>8.68</v>
      </c>
      <c r="I1150" s="32">
        <v>1217.8900000000001</v>
      </c>
      <c r="J1150" t="s">
        <v>239</v>
      </c>
      <c r="K1150" t="s">
        <v>245</v>
      </c>
      <c r="L1150" t="s">
        <v>235</v>
      </c>
      <c r="M1150" t="s">
        <v>236</v>
      </c>
      <c r="N1150" t="s">
        <v>237</v>
      </c>
      <c r="O1150" s="27">
        <v>46076</v>
      </c>
    </row>
    <row r="1151" spans="2:15" hidden="1" x14ac:dyDescent="0.3">
      <c r="B1151">
        <v>5599981</v>
      </c>
      <c r="C1151" t="s">
        <v>231</v>
      </c>
      <c r="D1151">
        <v>69493</v>
      </c>
      <c r="E1151" t="s">
        <v>150</v>
      </c>
      <c r="F1151" t="s">
        <v>282</v>
      </c>
      <c r="G1151" s="28">
        <v>29</v>
      </c>
      <c r="H1151" s="32">
        <v>8.66</v>
      </c>
      <c r="I1151" s="32">
        <v>1481.53</v>
      </c>
      <c r="J1151" t="s">
        <v>239</v>
      </c>
      <c r="K1151" t="s">
        <v>245</v>
      </c>
      <c r="L1151" t="s">
        <v>235</v>
      </c>
      <c r="M1151" t="s">
        <v>236</v>
      </c>
      <c r="N1151" t="s">
        <v>240</v>
      </c>
      <c r="O1151" s="27">
        <v>46063</v>
      </c>
    </row>
    <row r="1152" spans="2:15" hidden="1" x14ac:dyDescent="0.3">
      <c r="B1152">
        <v>750270</v>
      </c>
      <c r="C1152" t="s">
        <v>231</v>
      </c>
      <c r="D1152">
        <v>22674</v>
      </c>
      <c r="E1152" t="s">
        <v>150</v>
      </c>
      <c r="F1152" t="s">
        <v>263</v>
      </c>
      <c r="G1152" s="28">
        <v>100</v>
      </c>
      <c r="H1152" s="32">
        <v>8.64</v>
      </c>
      <c r="I1152" s="32">
        <v>1471</v>
      </c>
      <c r="J1152" t="s">
        <v>239</v>
      </c>
      <c r="K1152" t="s">
        <v>234</v>
      </c>
      <c r="L1152" t="s">
        <v>235</v>
      </c>
      <c r="M1152" t="s">
        <v>236</v>
      </c>
      <c r="N1152" t="s">
        <v>237</v>
      </c>
      <c r="O1152" s="27">
        <v>46065</v>
      </c>
    </row>
    <row r="1153" spans="2:15" hidden="1" x14ac:dyDescent="0.3">
      <c r="B1153">
        <v>272204</v>
      </c>
      <c r="C1153" t="s">
        <v>231</v>
      </c>
      <c r="D1153">
        <v>23648</v>
      </c>
      <c r="E1153" t="s">
        <v>150</v>
      </c>
      <c r="F1153" t="s">
        <v>271</v>
      </c>
      <c r="G1153" s="28">
        <v>56</v>
      </c>
      <c r="H1153" s="32">
        <v>8.6300000000000008</v>
      </c>
      <c r="I1153" s="32">
        <v>1033.9100000000001</v>
      </c>
      <c r="J1153" t="s">
        <v>239</v>
      </c>
      <c r="K1153" t="s">
        <v>245</v>
      </c>
      <c r="L1153" t="s">
        <v>235</v>
      </c>
      <c r="M1153" t="s">
        <v>236</v>
      </c>
      <c r="N1153" t="s">
        <v>237</v>
      </c>
      <c r="O1153" s="27">
        <v>46063</v>
      </c>
    </row>
    <row r="1154" spans="2:15" hidden="1" x14ac:dyDescent="0.3">
      <c r="B1154">
        <v>3321439</v>
      </c>
      <c r="C1154" t="s">
        <v>231</v>
      </c>
      <c r="D1154">
        <v>22674</v>
      </c>
      <c r="E1154" t="s">
        <v>150</v>
      </c>
      <c r="F1154" t="s">
        <v>246</v>
      </c>
      <c r="G1154" s="28">
        <v>32</v>
      </c>
      <c r="H1154" s="32">
        <v>8.6300000000000008</v>
      </c>
      <c r="I1154" s="32">
        <v>1188.75</v>
      </c>
      <c r="J1154" t="s">
        <v>239</v>
      </c>
      <c r="K1154" t="s">
        <v>245</v>
      </c>
      <c r="L1154" t="s">
        <v>235</v>
      </c>
      <c r="M1154" t="s">
        <v>236</v>
      </c>
      <c r="N1154" t="s">
        <v>237</v>
      </c>
      <c r="O1154" s="27">
        <v>46063</v>
      </c>
    </row>
    <row r="1155" spans="2:15" hidden="1" x14ac:dyDescent="0.3">
      <c r="B1155">
        <v>3413995</v>
      </c>
      <c r="C1155" t="s">
        <v>231</v>
      </c>
      <c r="D1155">
        <v>22674</v>
      </c>
      <c r="E1155" t="s">
        <v>150</v>
      </c>
      <c r="F1155" t="s">
        <v>369</v>
      </c>
      <c r="G1155" s="28">
        <v>12</v>
      </c>
      <c r="H1155" s="32">
        <v>8.6199999999999992</v>
      </c>
      <c r="I1155" s="32">
        <v>620.24</v>
      </c>
      <c r="J1155" t="s">
        <v>239</v>
      </c>
      <c r="K1155" t="s">
        <v>245</v>
      </c>
      <c r="L1155" t="s">
        <v>235</v>
      </c>
      <c r="M1155" t="s">
        <v>236</v>
      </c>
      <c r="N1155" t="s">
        <v>240</v>
      </c>
      <c r="O1155" s="27">
        <v>46055</v>
      </c>
    </row>
    <row r="1156" spans="2:15" hidden="1" x14ac:dyDescent="0.3">
      <c r="B1156">
        <v>4842372</v>
      </c>
      <c r="C1156" t="s">
        <v>260</v>
      </c>
      <c r="D1156">
        <v>23648</v>
      </c>
      <c r="E1156" t="s">
        <v>150</v>
      </c>
      <c r="F1156" t="s">
        <v>369</v>
      </c>
      <c r="G1156" s="28">
        <v>12</v>
      </c>
      <c r="H1156" s="32">
        <v>8.6199999999999992</v>
      </c>
      <c r="I1156" s="32">
        <v>620.24</v>
      </c>
      <c r="J1156" t="s">
        <v>239</v>
      </c>
      <c r="K1156" t="s">
        <v>245</v>
      </c>
      <c r="L1156" t="s">
        <v>235</v>
      </c>
      <c r="M1156" t="s">
        <v>236</v>
      </c>
      <c r="N1156" t="s">
        <v>240</v>
      </c>
      <c r="O1156" s="27">
        <v>46055</v>
      </c>
    </row>
    <row r="1157" spans="2:15" hidden="1" x14ac:dyDescent="0.3">
      <c r="B1157">
        <v>18731282</v>
      </c>
      <c r="C1157" t="s">
        <v>231</v>
      </c>
      <c r="D1157">
        <v>40901</v>
      </c>
      <c r="E1157" t="s">
        <v>150</v>
      </c>
      <c r="F1157" t="s">
        <v>390</v>
      </c>
      <c r="G1157" s="28">
        <v>21</v>
      </c>
      <c r="H1157" s="32">
        <v>8.6</v>
      </c>
      <c r="I1157" s="32">
        <v>1580.22</v>
      </c>
      <c r="J1157" t="s">
        <v>239</v>
      </c>
      <c r="K1157" t="s">
        <v>245</v>
      </c>
      <c r="L1157" t="s">
        <v>235</v>
      </c>
      <c r="M1157" t="s">
        <v>236</v>
      </c>
      <c r="N1157" t="s">
        <v>237</v>
      </c>
      <c r="O1157" s="27">
        <v>46055</v>
      </c>
    </row>
    <row r="1158" spans="2:15" hidden="1" x14ac:dyDescent="0.3">
      <c r="B1158">
        <v>5592125</v>
      </c>
      <c r="C1158" t="s">
        <v>231</v>
      </c>
      <c r="D1158">
        <v>38517</v>
      </c>
      <c r="E1158" t="s">
        <v>150</v>
      </c>
      <c r="F1158" t="s">
        <v>271</v>
      </c>
      <c r="G1158" s="28">
        <v>67</v>
      </c>
      <c r="H1158" s="32">
        <v>8.59</v>
      </c>
      <c r="I1158" s="32">
        <v>1205.3399999999999</v>
      </c>
      <c r="J1158" t="s">
        <v>239</v>
      </c>
      <c r="K1158" t="s">
        <v>245</v>
      </c>
      <c r="L1158" t="s">
        <v>235</v>
      </c>
      <c r="M1158" t="s">
        <v>236</v>
      </c>
      <c r="N1158" t="s">
        <v>237</v>
      </c>
      <c r="O1158" s="27">
        <v>46076</v>
      </c>
    </row>
    <row r="1159" spans="2:15" hidden="1" x14ac:dyDescent="0.3">
      <c r="B1159">
        <v>440722</v>
      </c>
      <c r="C1159" t="s">
        <v>231</v>
      </c>
      <c r="D1159">
        <v>21468</v>
      </c>
      <c r="E1159" t="s">
        <v>150</v>
      </c>
      <c r="F1159" t="s">
        <v>319</v>
      </c>
      <c r="G1159" s="28">
        <v>31</v>
      </c>
      <c r="H1159" s="32">
        <v>8.58</v>
      </c>
      <c r="I1159" s="32">
        <v>1215.07</v>
      </c>
      <c r="J1159" t="s">
        <v>239</v>
      </c>
      <c r="K1159" t="s">
        <v>245</v>
      </c>
      <c r="L1159" t="s">
        <v>235</v>
      </c>
      <c r="M1159" t="s">
        <v>236</v>
      </c>
      <c r="N1159" t="s">
        <v>237</v>
      </c>
      <c r="O1159" s="27">
        <v>46062</v>
      </c>
    </row>
    <row r="1160" spans="2:15" hidden="1" x14ac:dyDescent="0.3">
      <c r="B1160">
        <v>2328302</v>
      </c>
      <c r="C1160" t="s">
        <v>231</v>
      </c>
      <c r="D1160">
        <v>22674</v>
      </c>
      <c r="E1160" t="s">
        <v>150</v>
      </c>
      <c r="F1160" t="s">
        <v>163</v>
      </c>
      <c r="G1160" s="28">
        <v>152</v>
      </c>
      <c r="H1160" s="32">
        <v>8.5500000000000007</v>
      </c>
      <c r="I1160" s="32">
        <v>2002.49</v>
      </c>
      <c r="J1160" t="s">
        <v>239</v>
      </c>
      <c r="K1160" t="s">
        <v>245</v>
      </c>
      <c r="L1160" t="s">
        <v>235</v>
      </c>
      <c r="M1160" t="s">
        <v>236</v>
      </c>
      <c r="N1160" t="s">
        <v>237</v>
      </c>
      <c r="O1160" s="27">
        <v>46055</v>
      </c>
    </row>
    <row r="1161" spans="2:15" hidden="1" x14ac:dyDescent="0.3">
      <c r="B1161">
        <v>3065087</v>
      </c>
      <c r="C1161" t="s">
        <v>231</v>
      </c>
      <c r="D1161">
        <v>22674</v>
      </c>
      <c r="E1161" t="s">
        <v>150</v>
      </c>
      <c r="F1161" t="s">
        <v>282</v>
      </c>
      <c r="G1161" s="28">
        <v>29</v>
      </c>
      <c r="H1161" s="32">
        <v>8.5500000000000007</v>
      </c>
      <c r="I1161" s="32">
        <v>1481.29</v>
      </c>
      <c r="J1161" t="s">
        <v>239</v>
      </c>
      <c r="K1161" t="s">
        <v>245</v>
      </c>
      <c r="L1161" t="s">
        <v>235</v>
      </c>
      <c r="M1161" t="s">
        <v>236</v>
      </c>
      <c r="N1161" t="s">
        <v>240</v>
      </c>
      <c r="O1161" s="27">
        <v>46063</v>
      </c>
    </row>
    <row r="1162" spans="2:15" hidden="1" x14ac:dyDescent="0.3">
      <c r="B1162">
        <v>5592125</v>
      </c>
      <c r="C1162" t="s">
        <v>231</v>
      </c>
      <c r="D1162">
        <v>38517</v>
      </c>
      <c r="E1162" t="s">
        <v>150</v>
      </c>
      <c r="F1162" t="s">
        <v>276</v>
      </c>
      <c r="G1162" s="28">
        <v>38</v>
      </c>
      <c r="H1162" s="32">
        <v>8.5399999999999991</v>
      </c>
      <c r="I1162" s="32">
        <v>1198.6099999999999</v>
      </c>
      <c r="J1162" t="s">
        <v>239</v>
      </c>
      <c r="K1162" t="s">
        <v>245</v>
      </c>
      <c r="L1162" t="s">
        <v>235</v>
      </c>
      <c r="M1162" t="s">
        <v>236</v>
      </c>
      <c r="N1162" t="s">
        <v>237</v>
      </c>
      <c r="O1162" s="27">
        <v>46076</v>
      </c>
    </row>
    <row r="1163" spans="2:15" hidden="1" x14ac:dyDescent="0.3">
      <c r="B1163">
        <v>7088256</v>
      </c>
      <c r="C1163" t="s">
        <v>231</v>
      </c>
      <c r="D1163">
        <v>96553</v>
      </c>
      <c r="E1163" t="s">
        <v>150</v>
      </c>
      <c r="F1163" t="s">
        <v>369</v>
      </c>
      <c r="G1163" s="28">
        <v>21</v>
      </c>
      <c r="H1163" s="32">
        <v>8.52</v>
      </c>
      <c r="I1163" s="32">
        <v>1157.28</v>
      </c>
      <c r="J1163" t="s">
        <v>239</v>
      </c>
      <c r="K1163" t="s">
        <v>245</v>
      </c>
      <c r="L1163" t="s">
        <v>235</v>
      </c>
      <c r="M1163" t="s">
        <v>236</v>
      </c>
      <c r="N1163" t="s">
        <v>240</v>
      </c>
      <c r="O1163" s="27">
        <v>46063</v>
      </c>
    </row>
    <row r="1164" spans="2:15" hidden="1" x14ac:dyDescent="0.3">
      <c r="B1164">
        <v>5592125</v>
      </c>
      <c r="C1164" t="s">
        <v>231</v>
      </c>
      <c r="D1164">
        <v>38517</v>
      </c>
      <c r="E1164" t="s">
        <v>150</v>
      </c>
      <c r="F1164" t="s">
        <v>274</v>
      </c>
      <c r="G1164" s="28">
        <v>72</v>
      </c>
      <c r="H1164" s="32">
        <v>8.51</v>
      </c>
      <c r="I1164" s="32">
        <v>1193.52</v>
      </c>
      <c r="J1164" t="s">
        <v>239</v>
      </c>
      <c r="K1164" t="s">
        <v>245</v>
      </c>
      <c r="L1164" t="s">
        <v>235</v>
      </c>
      <c r="M1164" t="s">
        <v>236</v>
      </c>
      <c r="N1164" t="s">
        <v>237</v>
      </c>
      <c r="O1164" s="27">
        <v>46076</v>
      </c>
    </row>
    <row r="1165" spans="2:15" hidden="1" x14ac:dyDescent="0.3">
      <c r="B1165">
        <v>11010432</v>
      </c>
      <c r="C1165" t="s">
        <v>231</v>
      </c>
      <c r="D1165">
        <v>25619</v>
      </c>
      <c r="E1165" t="s">
        <v>150</v>
      </c>
      <c r="F1165" t="s">
        <v>369</v>
      </c>
      <c r="G1165" s="28">
        <v>20</v>
      </c>
      <c r="H1165" s="32">
        <v>8.5</v>
      </c>
      <c r="I1165" s="32">
        <v>1102.0999999999999</v>
      </c>
      <c r="J1165" t="s">
        <v>239</v>
      </c>
      <c r="K1165" t="s">
        <v>245</v>
      </c>
      <c r="L1165" t="s">
        <v>235</v>
      </c>
      <c r="M1165" t="s">
        <v>236</v>
      </c>
      <c r="N1165" t="s">
        <v>240</v>
      </c>
      <c r="O1165" s="27">
        <v>46063</v>
      </c>
    </row>
    <row r="1166" spans="2:15" hidden="1" x14ac:dyDescent="0.3">
      <c r="B1166">
        <v>5592125</v>
      </c>
      <c r="C1166" t="s">
        <v>231</v>
      </c>
      <c r="D1166">
        <v>38517</v>
      </c>
      <c r="E1166" t="s">
        <v>150</v>
      </c>
      <c r="F1166" t="s">
        <v>263</v>
      </c>
      <c r="G1166" s="28">
        <v>81</v>
      </c>
      <c r="H1166" s="32">
        <v>8.5</v>
      </c>
      <c r="I1166" s="32">
        <v>1192.08</v>
      </c>
      <c r="J1166" t="s">
        <v>239</v>
      </c>
      <c r="K1166" t="s">
        <v>245</v>
      </c>
      <c r="L1166" t="s">
        <v>235</v>
      </c>
      <c r="M1166" t="s">
        <v>236</v>
      </c>
      <c r="N1166" t="s">
        <v>237</v>
      </c>
      <c r="O1166" s="27">
        <v>46076</v>
      </c>
    </row>
    <row r="1167" spans="2:15" hidden="1" x14ac:dyDescent="0.3">
      <c r="B1167">
        <v>4535206</v>
      </c>
      <c r="C1167" t="s">
        <v>231</v>
      </c>
      <c r="D1167">
        <v>68542</v>
      </c>
      <c r="E1167" t="s">
        <v>150</v>
      </c>
      <c r="F1167" t="s">
        <v>246</v>
      </c>
      <c r="G1167" s="28">
        <v>30</v>
      </c>
      <c r="H1167" s="32">
        <v>8.49</v>
      </c>
      <c r="I1167" s="32">
        <v>1108.43</v>
      </c>
      <c r="J1167" t="s">
        <v>239</v>
      </c>
      <c r="K1167" t="s">
        <v>245</v>
      </c>
      <c r="L1167" t="s">
        <v>235</v>
      </c>
      <c r="M1167" t="s">
        <v>236</v>
      </c>
      <c r="N1167" t="s">
        <v>237</v>
      </c>
      <c r="O1167" s="27">
        <v>46055</v>
      </c>
    </row>
    <row r="1168" spans="2:15" hidden="1" x14ac:dyDescent="0.3">
      <c r="B1168">
        <v>6859448</v>
      </c>
      <c r="C1168" t="s">
        <v>231</v>
      </c>
      <c r="D1168">
        <v>25619</v>
      </c>
      <c r="E1168" t="s">
        <v>150</v>
      </c>
      <c r="F1168" t="s">
        <v>246</v>
      </c>
      <c r="G1168" s="28">
        <v>31</v>
      </c>
      <c r="H1168" s="32">
        <v>8.49</v>
      </c>
      <c r="I1168" s="32">
        <v>1151.54</v>
      </c>
      <c r="J1168" t="s">
        <v>239</v>
      </c>
      <c r="K1168" t="s">
        <v>245</v>
      </c>
      <c r="L1168" t="s">
        <v>235</v>
      </c>
      <c r="M1168" t="s">
        <v>236</v>
      </c>
      <c r="N1168" t="s">
        <v>237</v>
      </c>
      <c r="O1168" s="27">
        <v>46063</v>
      </c>
    </row>
    <row r="1169" spans="2:15" hidden="1" x14ac:dyDescent="0.3">
      <c r="B1169">
        <v>9635202</v>
      </c>
      <c r="C1169" t="s">
        <v>231</v>
      </c>
      <c r="D1169">
        <v>71881</v>
      </c>
      <c r="E1169" t="s">
        <v>150</v>
      </c>
      <c r="F1169" t="s">
        <v>246</v>
      </c>
      <c r="G1169" s="28">
        <v>38</v>
      </c>
      <c r="H1169" s="32">
        <v>8.4700000000000006</v>
      </c>
      <c r="I1169" s="32">
        <v>1411.52</v>
      </c>
      <c r="J1169" t="s">
        <v>239</v>
      </c>
      <c r="K1169" t="s">
        <v>245</v>
      </c>
      <c r="L1169" t="s">
        <v>235</v>
      </c>
      <c r="M1169" t="s">
        <v>236</v>
      </c>
      <c r="N1169" t="s">
        <v>237</v>
      </c>
      <c r="O1169" s="27">
        <v>46063</v>
      </c>
    </row>
    <row r="1170" spans="2:15" hidden="1" x14ac:dyDescent="0.3">
      <c r="B1170">
        <v>3911170</v>
      </c>
      <c r="C1170" t="s">
        <v>231</v>
      </c>
      <c r="D1170">
        <v>21468</v>
      </c>
      <c r="E1170" t="s">
        <v>150</v>
      </c>
      <c r="F1170" t="s">
        <v>163</v>
      </c>
      <c r="G1170" s="28">
        <v>41</v>
      </c>
      <c r="H1170" s="32">
        <v>8.4499999999999993</v>
      </c>
      <c r="I1170" s="32">
        <v>572.42999999999995</v>
      </c>
      <c r="J1170" t="s">
        <v>239</v>
      </c>
      <c r="K1170" t="s">
        <v>245</v>
      </c>
      <c r="L1170" t="s">
        <v>235</v>
      </c>
      <c r="M1170" t="s">
        <v>236</v>
      </c>
      <c r="N1170" t="s">
        <v>237</v>
      </c>
      <c r="O1170" s="27">
        <v>46063</v>
      </c>
    </row>
    <row r="1171" spans="2:15" x14ac:dyDescent="0.3">
      <c r="B1171">
        <v>3105908</v>
      </c>
      <c r="C1171" t="s">
        <v>231</v>
      </c>
      <c r="D1171">
        <v>22103</v>
      </c>
      <c r="E1171" t="s">
        <v>150</v>
      </c>
      <c r="F1171" t="s">
        <v>369</v>
      </c>
      <c r="G1171" s="28">
        <v>21</v>
      </c>
      <c r="H1171" s="32">
        <v>8.4499999999999993</v>
      </c>
      <c r="I1171" s="32">
        <v>1157.28</v>
      </c>
      <c r="J1171" t="s">
        <v>239</v>
      </c>
      <c r="K1171" t="s">
        <v>245</v>
      </c>
      <c r="L1171" t="s">
        <v>235</v>
      </c>
      <c r="M1171" t="s">
        <v>236</v>
      </c>
      <c r="N1171" t="s">
        <v>240</v>
      </c>
      <c r="O1171" s="27">
        <v>46063</v>
      </c>
    </row>
    <row r="1172" spans="2:15" hidden="1" x14ac:dyDescent="0.3">
      <c r="B1172">
        <v>2403987</v>
      </c>
      <c r="C1172" t="s">
        <v>231</v>
      </c>
      <c r="D1172">
        <v>23648</v>
      </c>
      <c r="E1172" t="s">
        <v>150</v>
      </c>
      <c r="F1172" t="s">
        <v>282</v>
      </c>
      <c r="G1172" s="28">
        <v>28</v>
      </c>
      <c r="H1172" s="32">
        <v>8.4499999999999993</v>
      </c>
      <c r="I1172" s="32">
        <v>1430.17</v>
      </c>
      <c r="J1172" t="s">
        <v>239</v>
      </c>
      <c r="K1172" t="s">
        <v>245</v>
      </c>
      <c r="L1172" t="s">
        <v>235</v>
      </c>
      <c r="M1172" t="s">
        <v>236</v>
      </c>
      <c r="N1172" t="s">
        <v>240</v>
      </c>
      <c r="O1172" s="27">
        <v>46063</v>
      </c>
    </row>
    <row r="1173" spans="2:15" x14ac:dyDescent="0.3">
      <c r="B1173">
        <v>3105908</v>
      </c>
      <c r="C1173" t="s">
        <v>231</v>
      </c>
      <c r="D1173">
        <v>22103</v>
      </c>
      <c r="E1173" t="s">
        <v>150</v>
      </c>
      <c r="F1173" t="s">
        <v>163</v>
      </c>
      <c r="G1173" s="28">
        <v>39</v>
      </c>
      <c r="H1173" s="32">
        <v>8.42</v>
      </c>
      <c r="I1173" s="32">
        <v>544.51</v>
      </c>
      <c r="J1173" t="s">
        <v>239</v>
      </c>
      <c r="K1173" t="s">
        <v>245</v>
      </c>
      <c r="L1173" t="s">
        <v>235</v>
      </c>
      <c r="M1173" t="s">
        <v>236</v>
      </c>
      <c r="N1173" t="s">
        <v>237</v>
      </c>
      <c r="O1173" s="27">
        <v>46063</v>
      </c>
    </row>
    <row r="1174" spans="2:15" hidden="1" x14ac:dyDescent="0.3">
      <c r="B1174">
        <v>2255037</v>
      </c>
      <c r="C1174" t="s">
        <v>231</v>
      </c>
      <c r="D1174">
        <v>22674</v>
      </c>
      <c r="E1174" t="s">
        <v>150</v>
      </c>
      <c r="F1174" t="s">
        <v>282</v>
      </c>
      <c r="G1174" s="28">
        <v>28</v>
      </c>
      <c r="H1174" s="32">
        <v>8.42</v>
      </c>
      <c r="I1174" s="32">
        <v>1430.17</v>
      </c>
      <c r="J1174" t="s">
        <v>239</v>
      </c>
      <c r="K1174" t="s">
        <v>245</v>
      </c>
      <c r="L1174" t="s">
        <v>235</v>
      </c>
      <c r="M1174" t="s">
        <v>236</v>
      </c>
      <c r="N1174" t="s">
        <v>240</v>
      </c>
      <c r="O1174" s="27">
        <v>46063</v>
      </c>
    </row>
    <row r="1175" spans="2:15" hidden="1" x14ac:dyDescent="0.3">
      <c r="B1175">
        <v>4238598</v>
      </c>
      <c r="C1175" t="s">
        <v>231</v>
      </c>
      <c r="D1175">
        <v>38517</v>
      </c>
      <c r="E1175" t="s">
        <v>150</v>
      </c>
      <c r="F1175" t="s">
        <v>160</v>
      </c>
      <c r="G1175" s="28">
        <v>44</v>
      </c>
      <c r="H1175" s="32">
        <v>8.42</v>
      </c>
      <c r="I1175" s="32">
        <v>3833.34</v>
      </c>
      <c r="J1175" t="s">
        <v>239</v>
      </c>
      <c r="K1175" t="s">
        <v>245</v>
      </c>
      <c r="L1175" t="s">
        <v>235</v>
      </c>
      <c r="M1175" t="s">
        <v>236</v>
      </c>
      <c r="N1175" t="s">
        <v>237</v>
      </c>
      <c r="O1175" s="27">
        <v>46063</v>
      </c>
    </row>
    <row r="1176" spans="2:15" hidden="1" x14ac:dyDescent="0.3">
      <c r="B1176">
        <v>9303108</v>
      </c>
      <c r="C1176" t="s">
        <v>260</v>
      </c>
      <c r="D1176">
        <v>69493</v>
      </c>
      <c r="E1176" t="s">
        <v>150</v>
      </c>
      <c r="F1176" t="s">
        <v>276</v>
      </c>
      <c r="G1176" s="28">
        <v>49</v>
      </c>
      <c r="H1176" s="32">
        <v>8.42</v>
      </c>
      <c r="I1176" s="32">
        <v>1483.27</v>
      </c>
      <c r="J1176" t="s">
        <v>239</v>
      </c>
      <c r="K1176" t="s">
        <v>245</v>
      </c>
      <c r="L1176" t="s">
        <v>235</v>
      </c>
      <c r="M1176" t="s">
        <v>236</v>
      </c>
      <c r="N1176" t="s">
        <v>240</v>
      </c>
      <c r="O1176" s="27">
        <v>46055</v>
      </c>
    </row>
    <row r="1177" spans="2:15" hidden="1" x14ac:dyDescent="0.3">
      <c r="B1177">
        <v>5263260</v>
      </c>
      <c r="C1177" t="s">
        <v>231</v>
      </c>
      <c r="D1177">
        <v>23648</v>
      </c>
      <c r="E1177" t="s">
        <v>150</v>
      </c>
      <c r="F1177" t="s">
        <v>369</v>
      </c>
      <c r="G1177" s="28">
        <v>18</v>
      </c>
      <c r="H1177" s="32">
        <v>8.41</v>
      </c>
      <c r="I1177" s="32">
        <v>991.89</v>
      </c>
      <c r="J1177" t="s">
        <v>239</v>
      </c>
      <c r="K1177" t="s">
        <v>245</v>
      </c>
      <c r="L1177" t="s">
        <v>235</v>
      </c>
      <c r="M1177" t="s">
        <v>236</v>
      </c>
      <c r="N1177" t="s">
        <v>240</v>
      </c>
      <c r="O1177" s="27">
        <v>46063</v>
      </c>
    </row>
    <row r="1178" spans="2:15" hidden="1" x14ac:dyDescent="0.3">
      <c r="B1178">
        <v>6978173</v>
      </c>
      <c r="C1178" t="s">
        <v>231</v>
      </c>
      <c r="D1178">
        <v>38517</v>
      </c>
      <c r="E1178" t="s">
        <v>150</v>
      </c>
      <c r="F1178" t="s">
        <v>274</v>
      </c>
      <c r="G1178" s="28">
        <v>78</v>
      </c>
      <c r="H1178" s="32">
        <v>8.41</v>
      </c>
      <c r="I1178" s="32">
        <v>1145.5899999999999</v>
      </c>
      <c r="J1178" t="s">
        <v>239</v>
      </c>
      <c r="K1178" t="s">
        <v>245</v>
      </c>
      <c r="L1178" t="s">
        <v>235</v>
      </c>
      <c r="M1178" t="s">
        <v>236</v>
      </c>
      <c r="N1178" t="s">
        <v>237</v>
      </c>
      <c r="O1178" s="27">
        <v>46055</v>
      </c>
    </row>
    <row r="1179" spans="2:15" hidden="1" x14ac:dyDescent="0.3">
      <c r="B1179">
        <v>2143207</v>
      </c>
      <c r="C1179" t="s">
        <v>231</v>
      </c>
      <c r="D1179">
        <v>21468</v>
      </c>
      <c r="E1179" t="s">
        <v>150</v>
      </c>
      <c r="F1179" t="s">
        <v>272</v>
      </c>
      <c r="G1179" s="28">
        <v>200</v>
      </c>
      <c r="H1179" s="32">
        <v>8.41</v>
      </c>
      <c r="I1179" s="32">
        <v>1244</v>
      </c>
      <c r="J1179" t="s">
        <v>239</v>
      </c>
      <c r="K1179" t="s">
        <v>234</v>
      </c>
      <c r="L1179" t="s">
        <v>235</v>
      </c>
      <c r="M1179" t="s">
        <v>236</v>
      </c>
      <c r="N1179" t="s">
        <v>237</v>
      </c>
      <c r="O1179" s="27">
        <v>46057</v>
      </c>
    </row>
    <row r="1180" spans="2:15" hidden="1" x14ac:dyDescent="0.3">
      <c r="B1180">
        <v>4658833</v>
      </c>
      <c r="C1180" t="s">
        <v>260</v>
      </c>
      <c r="D1180">
        <v>38517</v>
      </c>
      <c r="E1180" t="s">
        <v>150</v>
      </c>
      <c r="F1180" t="s">
        <v>164</v>
      </c>
      <c r="G1180" s="28">
        <v>33</v>
      </c>
      <c r="H1180" s="32">
        <v>8.4</v>
      </c>
      <c r="I1180" s="32">
        <v>1512.62</v>
      </c>
      <c r="J1180" t="s">
        <v>239</v>
      </c>
      <c r="K1180" t="s">
        <v>245</v>
      </c>
      <c r="L1180" t="s">
        <v>235</v>
      </c>
      <c r="M1180" t="s">
        <v>236</v>
      </c>
      <c r="N1180" t="s">
        <v>237</v>
      </c>
      <c r="O1180" s="27">
        <v>46055</v>
      </c>
    </row>
    <row r="1181" spans="2:15" x14ac:dyDescent="0.3">
      <c r="B1181">
        <v>4745805</v>
      </c>
      <c r="C1181" t="s">
        <v>231</v>
      </c>
      <c r="D1181">
        <v>22103</v>
      </c>
      <c r="E1181" t="s">
        <v>150</v>
      </c>
      <c r="F1181" t="s">
        <v>164</v>
      </c>
      <c r="G1181" s="28">
        <v>42</v>
      </c>
      <c r="H1181" s="32">
        <v>8.39</v>
      </c>
      <c r="I1181" s="32">
        <v>2041.56</v>
      </c>
      <c r="J1181" t="s">
        <v>239</v>
      </c>
      <c r="K1181" t="s">
        <v>245</v>
      </c>
      <c r="L1181" t="s">
        <v>235</v>
      </c>
      <c r="M1181" t="s">
        <v>236</v>
      </c>
      <c r="N1181" t="s">
        <v>240</v>
      </c>
      <c r="O1181" s="27">
        <v>46063</v>
      </c>
    </row>
    <row r="1182" spans="2:15" hidden="1" x14ac:dyDescent="0.3">
      <c r="B1182">
        <v>5592125</v>
      </c>
      <c r="C1182" t="s">
        <v>231</v>
      </c>
      <c r="D1182">
        <v>38517</v>
      </c>
      <c r="E1182" t="s">
        <v>150</v>
      </c>
      <c r="F1182" t="s">
        <v>289</v>
      </c>
      <c r="G1182" s="28">
        <v>55</v>
      </c>
      <c r="H1182" s="32">
        <v>8.3800000000000008</v>
      </c>
      <c r="I1182" s="32">
        <v>1175.7</v>
      </c>
      <c r="J1182" t="s">
        <v>239</v>
      </c>
      <c r="K1182" t="s">
        <v>245</v>
      </c>
      <c r="L1182" t="s">
        <v>235</v>
      </c>
      <c r="M1182" t="s">
        <v>236</v>
      </c>
      <c r="N1182" t="s">
        <v>237</v>
      </c>
      <c r="O1182" s="27">
        <v>46076</v>
      </c>
    </row>
    <row r="1183" spans="2:15" hidden="1" x14ac:dyDescent="0.3">
      <c r="B1183">
        <v>3055824</v>
      </c>
      <c r="C1183" t="s">
        <v>231</v>
      </c>
      <c r="D1183">
        <v>96553</v>
      </c>
      <c r="E1183" t="s">
        <v>150</v>
      </c>
      <c r="F1183" t="s">
        <v>369</v>
      </c>
      <c r="G1183" s="28">
        <v>17</v>
      </c>
      <c r="H1183" s="32">
        <v>8.3800000000000008</v>
      </c>
      <c r="I1183" s="32">
        <v>936.85</v>
      </c>
      <c r="J1183" t="s">
        <v>239</v>
      </c>
      <c r="K1183" t="s">
        <v>245</v>
      </c>
      <c r="L1183" t="s">
        <v>235</v>
      </c>
      <c r="M1183" t="s">
        <v>236</v>
      </c>
      <c r="N1183" t="s">
        <v>240</v>
      </c>
      <c r="O1183" s="27">
        <v>46063</v>
      </c>
    </row>
    <row r="1184" spans="2:15" hidden="1" x14ac:dyDescent="0.3">
      <c r="B1184">
        <v>4744190</v>
      </c>
      <c r="C1184" t="s">
        <v>260</v>
      </c>
      <c r="D1184">
        <v>22674</v>
      </c>
      <c r="E1184" t="s">
        <v>150</v>
      </c>
      <c r="F1184" t="s">
        <v>369</v>
      </c>
      <c r="G1184" s="28">
        <v>17</v>
      </c>
      <c r="H1184" s="32">
        <v>8.3800000000000008</v>
      </c>
      <c r="I1184" s="32">
        <v>936.85</v>
      </c>
      <c r="J1184" t="s">
        <v>239</v>
      </c>
      <c r="K1184" t="s">
        <v>245</v>
      </c>
      <c r="L1184" t="s">
        <v>235</v>
      </c>
      <c r="M1184" t="s">
        <v>236</v>
      </c>
      <c r="N1184" t="s">
        <v>240</v>
      </c>
      <c r="O1184" s="27">
        <v>46063</v>
      </c>
    </row>
    <row r="1185" spans="2:15" hidden="1" x14ac:dyDescent="0.3">
      <c r="B1185">
        <v>4686193</v>
      </c>
      <c r="C1185" t="s">
        <v>231</v>
      </c>
      <c r="D1185">
        <v>21468</v>
      </c>
      <c r="E1185" t="s">
        <v>150</v>
      </c>
      <c r="F1185" t="s">
        <v>282</v>
      </c>
      <c r="G1185" s="28">
        <v>29</v>
      </c>
      <c r="H1185" s="32">
        <v>8.35</v>
      </c>
      <c r="I1185" s="32">
        <v>1481.29</v>
      </c>
      <c r="J1185" t="s">
        <v>239</v>
      </c>
      <c r="K1185" t="s">
        <v>245</v>
      </c>
      <c r="L1185" t="s">
        <v>235</v>
      </c>
      <c r="M1185" t="s">
        <v>236</v>
      </c>
      <c r="N1185" t="s">
        <v>240</v>
      </c>
      <c r="O1185" s="27">
        <v>46063</v>
      </c>
    </row>
    <row r="1186" spans="2:15" hidden="1" x14ac:dyDescent="0.3">
      <c r="B1186">
        <v>5567161</v>
      </c>
      <c r="C1186" t="s">
        <v>231</v>
      </c>
      <c r="D1186">
        <v>24415</v>
      </c>
      <c r="E1186" t="s">
        <v>150</v>
      </c>
      <c r="F1186" t="s">
        <v>360</v>
      </c>
      <c r="G1186" s="28">
        <v>40</v>
      </c>
      <c r="H1186" s="32">
        <v>8.35</v>
      </c>
      <c r="I1186" s="32">
        <v>1623.6</v>
      </c>
      <c r="J1186" t="s">
        <v>330</v>
      </c>
      <c r="K1186" t="s">
        <v>245</v>
      </c>
      <c r="L1186" t="s">
        <v>235</v>
      </c>
      <c r="M1186" t="s">
        <v>236</v>
      </c>
      <c r="N1186" t="s">
        <v>240</v>
      </c>
      <c r="O1186" s="27">
        <v>46063</v>
      </c>
    </row>
    <row r="1187" spans="2:15" hidden="1" x14ac:dyDescent="0.3">
      <c r="B1187">
        <v>3548394</v>
      </c>
      <c r="C1187" t="s">
        <v>260</v>
      </c>
      <c r="D1187">
        <v>25104</v>
      </c>
      <c r="E1187" t="s">
        <v>150</v>
      </c>
      <c r="F1187" t="s">
        <v>396</v>
      </c>
      <c r="G1187" s="28">
        <v>451</v>
      </c>
      <c r="H1187" s="32">
        <v>8.34</v>
      </c>
      <c r="I1187" s="32">
        <v>4082.38</v>
      </c>
      <c r="J1187" t="s">
        <v>267</v>
      </c>
      <c r="K1187" t="s">
        <v>245</v>
      </c>
      <c r="L1187" t="s">
        <v>235</v>
      </c>
      <c r="M1187" t="s">
        <v>236</v>
      </c>
      <c r="N1187" t="s">
        <v>240</v>
      </c>
      <c r="O1187" s="27">
        <v>46057</v>
      </c>
    </row>
    <row r="1188" spans="2:15" hidden="1" x14ac:dyDescent="0.3">
      <c r="B1188">
        <v>440722</v>
      </c>
      <c r="C1188" t="s">
        <v>231</v>
      </c>
      <c r="D1188">
        <v>21468</v>
      </c>
      <c r="E1188" t="s">
        <v>150</v>
      </c>
      <c r="F1188" t="s">
        <v>246</v>
      </c>
      <c r="G1188" s="28">
        <v>32</v>
      </c>
      <c r="H1188" s="32">
        <v>8.33</v>
      </c>
      <c r="I1188" s="32">
        <v>1182.43</v>
      </c>
      <c r="J1188" t="s">
        <v>239</v>
      </c>
      <c r="K1188" t="s">
        <v>245</v>
      </c>
      <c r="L1188" t="s">
        <v>235</v>
      </c>
      <c r="M1188" t="s">
        <v>236</v>
      </c>
      <c r="N1188" t="s">
        <v>237</v>
      </c>
      <c r="O1188" s="27">
        <v>46055</v>
      </c>
    </row>
    <row r="1189" spans="2:15" hidden="1" x14ac:dyDescent="0.3">
      <c r="B1189">
        <v>2033851</v>
      </c>
      <c r="C1189" t="s">
        <v>231</v>
      </c>
      <c r="D1189">
        <v>24415</v>
      </c>
      <c r="E1189" t="s">
        <v>150</v>
      </c>
      <c r="F1189" t="s">
        <v>361</v>
      </c>
      <c r="G1189" s="28">
        <v>37</v>
      </c>
      <c r="H1189" s="32">
        <v>8.32</v>
      </c>
      <c r="I1189" s="32">
        <v>1404.84</v>
      </c>
      <c r="J1189" t="s">
        <v>330</v>
      </c>
      <c r="K1189" t="s">
        <v>245</v>
      </c>
      <c r="L1189" t="s">
        <v>235</v>
      </c>
      <c r="M1189" t="s">
        <v>236</v>
      </c>
      <c r="N1189" t="s">
        <v>237</v>
      </c>
      <c r="O1189" s="27">
        <v>46072</v>
      </c>
    </row>
    <row r="1190" spans="2:15" hidden="1" x14ac:dyDescent="0.3">
      <c r="B1190">
        <v>750270</v>
      </c>
      <c r="C1190" t="s">
        <v>231</v>
      </c>
      <c r="D1190">
        <v>22674</v>
      </c>
      <c r="E1190" t="s">
        <v>150</v>
      </c>
      <c r="F1190" t="s">
        <v>379</v>
      </c>
      <c r="G1190" s="28">
        <v>96</v>
      </c>
      <c r="H1190" s="32">
        <v>8.3000000000000007</v>
      </c>
      <c r="I1190" s="32">
        <v>1412.16</v>
      </c>
      <c r="J1190" t="s">
        <v>330</v>
      </c>
      <c r="K1190" t="s">
        <v>234</v>
      </c>
      <c r="L1190" t="s">
        <v>235</v>
      </c>
      <c r="M1190" t="s">
        <v>236</v>
      </c>
      <c r="N1190" t="s">
        <v>237</v>
      </c>
      <c r="O1190" s="27">
        <v>46065</v>
      </c>
    </row>
    <row r="1191" spans="2:15" hidden="1" x14ac:dyDescent="0.3">
      <c r="B1191">
        <v>3255792</v>
      </c>
      <c r="C1191" t="s">
        <v>231</v>
      </c>
      <c r="D1191">
        <v>71881</v>
      </c>
      <c r="E1191" t="s">
        <v>150</v>
      </c>
      <c r="F1191" t="s">
        <v>282</v>
      </c>
      <c r="G1191" s="28">
        <v>12</v>
      </c>
      <c r="H1191" s="32">
        <v>8.24</v>
      </c>
      <c r="I1191" s="32">
        <v>610.33000000000004</v>
      </c>
      <c r="J1191" t="s">
        <v>239</v>
      </c>
      <c r="K1191" t="s">
        <v>245</v>
      </c>
      <c r="L1191" t="s">
        <v>235</v>
      </c>
      <c r="M1191" t="s">
        <v>236</v>
      </c>
      <c r="N1191" t="s">
        <v>240</v>
      </c>
      <c r="O1191" s="27">
        <v>46055</v>
      </c>
    </row>
    <row r="1192" spans="2:15" hidden="1" x14ac:dyDescent="0.3">
      <c r="B1192">
        <v>3247420</v>
      </c>
      <c r="C1192" t="s">
        <v>231</v>
      </c>
      <c r="D1192">
        <v>23410</v>
      </c>
      <c r="E1192" t="s">
        <v>150</v>
      </c>
      <c r="F1192" t="s">
        <v>163</v>
      </c>
      <c r="G1192" s="28">
        <v>39</v>
      </c>
      <c r="H1192" s="32">
        <v>8.23</v>
      </c>
      <c r="I1192" s="32">
        <v>544.51</v>
      </c>
      <c r="J1192" t="s">
        <v>239</v>
      </c>
      <c r="K1192" t="s">
        <v>245</v>
      </c>
      <c r="L1192" t="s">
        <v>235</v>
      </c>
      <c r="M1192" t="s">
        <v>236</v>
      </c>
      <c r="N1192" t="s">
        <v>237</v>
      </c>
      <c r="O1192" s="27">
        <v>46063</v>
      </c>
    </row>
    <row r="1193" spans="2:15" hidden="1" x14ac:dyDescent="0.3">
      <c r="B1193">
        <v>238658</v>
      </c>
      <c r="C1193" t="s">
        <v>231</v>
      </c>
      <c r="D1193">
        <v>21468</v>
      </c>
      <c r="E1193" t="s">
        <v>150</v>
      </c>
      <c r="F1193" t="s">
        <v>287</v>
      </c>
      <c r="G1193" s="28">
        <v>48</v>
      </c>
      <c r="H1193" s="32">
        <v>8.2200000000000006</v>
      </c>
      <c r="I1193" s="32">
        <v>1505.5</v>
      </c>
      <c r="J1193" t="s">
        <v>239</v>
      </c>
      <c r="K1193" t="s">
        <v>245</v>
      </c>
      <c r="L1193" t="s">
        <v>235</v>
      </c>
      <c r="M1193" t="s">
        <v>236</v>
      </c>
      <c r="N1193" t="s">
        <v>237</v>
      </c>
      <c r="O1193" s="27">
        <v>46063</v>
      </c>
    </row>
    <row r="1194" spans="2:15" hidden="1" x14ac:dyDescent="0.3">
      <c r="B1194">
        <v>16284979</v>
      </c>
      <c r="C1194" t="s">
        <v>231</v>
      </c>
      <c r="D1194">
        <v>25619</v>
      </c>
      <c r="E1194" t="s">
        <v>150</v>
      </c>
      <c r="F1194" t="s">
        <v>163</v>
      </c>
      <c r="G1194" s="28">
        <v>39</v>
      </c>
      <c r="H1194" s="32">
        <v>8.2200000000000006</v>
      </c>
      <c r="I1194" s="32">
        <v>544.51</v>
      </c>
      <c r="J1194" t="s">
        <v>239</v>
      </c>
      <c r="K1194" t="s">
        <v>245</v>
      </c>
      <c r="L1194" t="s">
        <v>235</v>
      </c>
      <c r="M1194" t="s">
        <v>236</v>
      </c>
      <c r="N1194" t="s">
        <v>237</v>
      </c>
      <c r="O1194" s="27">
        <v>46063</v>
      </c>
    </row>
    <row r="1195" spans="2:15" hidden="1" x14ac:dyDescent="0.3">
      <c r="B1195">
        <v>2987541</v>
      </c>
      <c r="C1195" t="s">
        <v>231</v>
      </c>
      <c r="D1195">
        <v>23648</v>
      </c>
      <c r="E1195" t="s">
        <v>150</v>
      </c>
      <c r="F1195" t="s">
        <v>282</v>
      </c>
      <c r="G1195" s="28">
        <v>27</v>
      </c>
      <c r="H1195" s="32">
        <v>8.19</v>
      </c>
      <c r="I1195" s="32">
        <v>1379.22</v>
      </c>
      <c r="J1195" t="s">
        <v>239</v>
      </c>
      <c r="K1195" t="s">
        <v>245</v>
      </c>
      <c r="L1195" t="s">
        <v>235</v>
      </c>
      <c r="M1195" t="s">
        <v>236</v>
      </c>
      <c r="N1195" t="s">
        <v>240</v>
      </c>
      <c r="O1195" s="27">
        <v>46063</v>
      </c>
    </row>
    <row r="1196" spans="2:15" hidden="1" x14ac:dyDescent="0.3">
      <c r="B1196">
        <v>5592125</v>
      </c>
      <c r="C1196" t="s">
        <v>231</v>
      </c>
      <c r="D1196">
        <v>38517</v>
      </c>
      <c r="E1196" t="s">
        <v>150</v>
      </c>
      <c r="F1196" t="s">
        <v>164</v>
      </c>
      <c r="G1196" s="28">
        <v>24</v>
      </c>
      <c r="H1196" s="32">
        <v>8.19</v>
      </c>
      <c r="I1196" s="32">
        <v>1149.96</v>
      </c>
      <c r="J1196" t="s">
        <v>239</v>
      </c>
      <c r="K1196" t="s">
        <v>245</v>
      </c>
      <c r="L1196" t="s">
        <v>235</v>
      </c>
      <c r="M1196" t="s">
        <v>236</v>
      </c>
      <c r="N1196" t="s">
        <v>237</v>
      </c>
      <c r="O1196" s="27">
        <v>46076</v>
      </c>
    </row>
    <row r="1197" spans="2:15" hidden="1" x14ac:dyDescent="0.3">
      <c r="B1197">
        <v>5592125</v>
      </c>
      <c r="C1197" t="s">
        <v>231</v>
      </c>
      <c r="D1197">
        <v>38517</v>
      </c>
      <c r="E1197" t="s">
        <v>150</v>
      </c>
      <c r="F1197" t="s">
        <v>277</v>
      </c>
      <c r="G1197" s="28">
        <v>28</v>
      </c>
      <c r="H1197" s="32">
        <v>8.18</v>
      </c>
      <c r="I1197" s="32">
        <v>1148.1099999999999</v>
      </c>
      <c r="J1197" t="s">
        <v>239</v>
      </c>
      <c r="K1197" t="s">
        <v>245</v>
      </c>
      <c r="L1197" t="s">
        <v>235</v>
      </c>
      <c r="M1197" t="s">
        <v>236</v>
      </c>
      <c r="N1197" t="s">
        <v>237</v>
      </c>
      <c r="O1197" s="27">
        <v>46076</v>
      </c>
    </row>
    <row r="1198" spans="2:15" hidden="1" x14ac:dyDescent="0.3">
      <c r="B1198">
        <v>3321439</v>
      </c>
      <c r="C1198" t="s">
        <v>231</v>
      </c>
      <c r="D1198">
        <v>22674</v>
      </c>
      <c r="E1198" t="s">
        <v>150</v>
      </c>
      <c r="F1198" t="s">
        <v>282</v>
      </c>
      <c r="G1198" s="28">
        <v>26</v>
      </c>
      <c r="H1198" s="32">
        <v>8.18</v>
      </c>
      <c r="I1198" s="32">
        <v>1328.14</v>
      </c>
      <c r="J1198" t="s">
        <v>239</v>
      </c>
      <c r="K1198" t="s">
        <v>245</v>
      </c>
      <c r="L1198" t="s">
        <v>235</v>
      </c>
      <c r="M1198" t="s">
        <v>236</v>
      </c>
      <c r="N1198" t="s">
        <v>240</v>
      </c>
      <c r="O1198" s="27">
        <v>46063</v>
      </c>
    </row>
    <row r="1199" spans="2:15" hidden="1" x14ac:dyDescent="0.3">
      <c r="B1199">
        <v>2411460</v>
      </c>
      <c r="C1199" t="s">
        <v>231</v>
      </c>
      <c r="D1199">
        <v>72444</v>
      </c>
      <c r="E1199" t="s">
        <v>150</v>
      </c>
      <c r="F1199" t="s">
        <v>443</v>
      </c>
      <c r="G1199" s="28">
        <v>153</v>
      </c>
      <c r="H1199" s="32">
        <v>8.17</v>
      </c>
      <c r="I1199" s="32">
        <v>1034.01</v>
      </c>
      <c r="J1199" t="s">
        <v>239</v>
      </c>
      <c r="K1199" t="s">
        <v>245</v>
      </c>
      <c r="L1199" t="s">
        <v>235</v>
      </c>
      <c r="M1199" t="s">
        <v>236</v>
      </c>
      <c r="N1199" t="s">
        <v>237</v>
      </c>
      <c r="O1199" s="27">
        <v>46055</v>
      </c>
    </row>
    <row r="1200" spans="2:15" hidden="1" x14ac:dyDescent="0.3">
      <c r="B1200">
        <v>18604718</v>
      </c>
      <c r="C1200" t="s">
        <v>260</v>
      </c>
      <c r="D1200">
        <v>21468</v>
      </c>
      <c r="E1200" t="s">
        <v>150</v>
      </c>
      <c r="F1200" t="s">
        <v>329</v>
      </c>
      <c r="G1200" s="28">
        <v>13</v>
      </c>
      <c r="H1200" s="32">
        <v>8.14</v>
      </c>
      <c r="I1200" s="32">
        <v>1112.8</v>
      </c>
      <c r="J1200" t="s">
        <v>330</v>
      </c>
      <c r="K1200" t="s">
        <v>234</v>
      </c>
      <c r="L1200" t="s">
        <v>235</v>
      </c>
      <c r="M1200" t="s">
        <v>236</v>
      </c>
      <c r="N1200" t="s">
        <v>237</v>
      </c>
      <c r="O1200" s="27">
        <v>46062</v>
      </c>
    </row>
    <row r="1201" spans="2:15" hidden="1" x14ac:dyDescent="0.3">
      <c r="B1201">
        <v>2013549</v>
      </c>
      <c r="C1201" t="s">
        <v>231</v>
      </c>
      <c r="D1201">
        <v>23648</v>
      </c>
      <c r="E1201" t="s">
        <v>150</v>
      </c>
      <c r="F1201" t="s">
        <v>382</v>
      </c>
      <c r="G1201" s="28">
        <v>12</v>
      </c>
      <c r="H1201" s="32">
        <v>8.1300000000000008</v>
      </c>
      <c r="I1201" s="32">
        <v>1583.16</v>
      </c>
      <c r="J1201" t="s">
        <v>256</v>
      </c>
      <c r="K1201" t="s">
        <v>234</v>
      </c>
      <c r="L1201" t="s">
        <v>235</v>
      </c>
      <c r="M1201" t="s">
        <v>236</v>
      </c>
      <c r="N1201" t="s">
        <v>240</v>
      </c>
      <c r="O1201" s="27">
        <v>46059</v>
      </c>
    </row>
    <row r="1202" spans="2:15" hidden="1" x14ac:dyDescent="0.3">
      <c r="B1202">
        <v>2562251</v>
      </c>
      <c r="C1202" t="s">
        <v>231</v>
      </c>
      <c r="D1202">
        <v>23648</v>
      </c>
      <c r="E1202" t="s">
        <v>150</v>
      </c>
      <c r="F1202" t="s">
        <v>163</v>
      </c>
      <c r="G1202" s="28">
        <v>37</v>
      </c>
      <c r="H1202" s="32">
        <v>8.1300000000000008</v>
      </c>
      <c r="I1202" s="32">
        <v>516.55999999999995</v>
      </c>
      <c r="J1202" t="s">
        <v>239</v>
      </c>
      <c r="K1202" t="s">
        <v>245</v>
      </c>
      <c r="L1202" t="s">
        <v>235</v>
      </c>
      <c r="M1202" t="s">
        <v>236</v>
      </c>
      <c r="N1202" t="s">
        <v>237</v>
      </c>
      <c r="O1202" s="27">
        <v>46063</v>
      </c>
    </row>
    <row r="1203" spans="2:15" hidden="1" x14ac:dyDescent="0.3">
      <c r="B1203">
        <v>2562251</v>
      </c>
      <c r="C1203" t="s">
        <v>231</v>
      </c>
      <c r="D1203">
        <v>23648</v>
      </c>
      <c r="E1203" t="s">
        <v>150</v>
      </c>
      <c r="F1203" t="s">
        <v>369</v>
      </c>
      <c r="G1203" s="28">
        <v>19</v>
      </c>
      <c r="H1203" s="32">
        <v>8.11</v>
      </c>
      <c r="I1203" s="32">
        <v>1047.07</v>
      </c>
      <c r="J1203" t="s">
        <v>239</v>
      </c>
      <c r="K1203" t="s">
        <v>245</v>
      </c>
      <c r="L1203" t="s">
        <v>235</v>
      </c>
      <c r="M1203" t="s">
        <v>236</v>
      </c>
      <c r="N1203" t="s">
        <v>240</v>
      </c>
      <c r="O1203" s="27">
        <v>46063</v>
      </c>
    </row>
    <row r="1204" spans="2:15" hidden="1" x14ac:dyDescent="0.3">
      <c r="B1204">
        <v>4382412</v>
      </c>
      <c r="C1204" t="s">
        <v>231</v>
      </c>
      <c r="D1204">
        <v>49894</v>
      </c>
      <c r="E1204" t="s">
        <v>150</v>
      </c>
      <c r="F1204" t="s">
        <v>246</v>
      </c>
      <c r="G1204" s="28">
        <v>29</v>
      </c>
      <c r="H1204" s="32">
        <v>8.11</v>
      </c>
      <c r="I1204" s="32">
        <v>1077.27</v>
      </c>
      <c r="J1204" t="s">
        <v>239</v>
      </c>
      <c r="K1204" t="s">
        <v>245</v>
      </c>
      <c r="L1204" t="s">
        <v>235</v>
      </c>
      <c r="M1204" t="s">
        <v>236</v>
      </c>
      <c r="N1204" t="s">
        <v>237</v>
      </c>
      <c r="O1204" s="27">
        <v>46063</v>
      </c>
    </row>
    <row r="1205" spans="2:15" hidden="1" x14ac:dyDescent="0.3">
      <c r="B1205">
        <v>3461330</v>
      </c>
      <c r="C1205" t="s">
        <v>260</v>
      </c>
      <c r="D1205">
        <v>21468</v>
      </c>
      <c r="E1205" t="s">
        <v>150</v>
      </c>
      <c r="F1205" t="s">
        <v>282</v>
      </c>
      <c r="G1205" s="28">
        <v>25</v>
      </c>
      <c r="H1205" s="32">
        <v>8.11</v>
      </c>
      <c r="I1205" s="32">
        <v>1277.0899999999999</v>
      </c>
      <c r="J1205" t="s">
        <v>239</v>
      </c>
      <c r="K1205" t="s">
        <v>245</v>
      </c>
      <c r="L1205" t="s">
        <v>235</v>
      </c>
      <c r="M1205" t="s">
        <v>236</v>
      </c>
      <c r="N1205" t="s">
        <v>240</v>
      </c>
      <c r="O1205" s="27">
        <v>46063</v>
      </c>
    </row>
    <row r="1206" spans="2:15" hidden="1" x14ac:dyDescent="0.3">
      <c r="B1206">
        <v>4658833</v>
      </c>
      <c r="C1206" t="s">
        <v>260</v>
      </c>
      <c r="D1206">
        <v>38517</v>
      </c>
      <c r="E1206" t="s">
        <v>150</v>
      </c>
      <c r="F1206" t="s">
        <v>246</v>
      </c>
      <c r="G1206" s="28">
        <v>24</v>
      </c>
      <c r="H1206" s="32">
        <v>8.11</v>
      </c>
      <c r="I1206" s="32">
        <v>891.5</v>
      </c>
      <c r="J1206" t="s">
        <v>239</v>
      </c>
      <c r="K1206" t="s">
        <v>245</v>
      </c>
      <c r="L1206" t="s">
        <v>235</v>
      </c>
      <c r="M1206" t="s">
        <v>236</v>
      </c>
      <c r="N1206" t="s">
        <v>237</v>
      </c>
      <c r="O1206" s="27">
        <v>46063</v>
      </c>
    </row>
    <row r="1207" spans="2:15" hidden="1" x14ac:dyDescent="0.3">
      <c r="B1207">
        <v>4216928</v>
      </c>
      <c r="C1207" t="s">
        <v>231</v>
      </c>
      <c r="D1207">
        <v>69519</v>
      </c>
      <c r="E1207" t="s">
        <v>150</v>
      </c>
      <c r="F1207" t="s">
        <v>298</v>
      </c>
      <c r="G1207" s="28">
        <v>21</v>
      </c>
      <c r="H1207" s="32">
        <v>8.1</v>
      </c>
      <c r="I1207" s="32">
        <v>365.65</v>
      </c>
      <c r="J1207" t="s">
        <v>239</v>
      </c>
      <c r="K1207" t="s">
        <v>245</v>
      </c>
      <c r="L1207" t="s">
        <v>235</v>
      </c>
      <c r="M1207" t="s">
        <v>236</v>
      </c>
      <c r="N1207" t="s">
        <v>237</v>
      </c>
      <c r="O1207" s="27">
        <v>46063</v>
      </c>
    </row>
    <row r="1208" spans="2:15" hidden="1" x14ac:dyDescent="0.3">
      <c r="B1208">
        <v>5592125</v>
      </c>
      <c r="C1208" t="s">
        <v>231</v>
      </c>
      <c r="D1208">
        <v>38517</v>
      </c>
      <c r="E1208" t="s">
        <v>150</v>
      </c>
      <c r="F1208" t="s">
        <v>160</v>
      </c>
      <c r="G1208" s="28">
        <v>13</v>
      </c>
      <c r="H1208" s="32">
        <v>8.1</v>
      </c>
      <c r="I1208" s="32">
        <v>1136.52</v>
      </c>
      <c r="J1208" t="s">
        <v>239</v>
      </c>
      <c r="K1208" t="s">
        <v>245</v>
      </c>
      <c r="L1208" t="s">
        <v>235</v>
      </c>
      <c r="M1208" t="s">
        <v>236</v>
      </c>
      <c r="N1208" t="s">
        <v>237</v>
      </c>
      <c r="O1208" s="27">
        <v>46076</v>
      </c>
    </row>
    <row r="1209" spans="2:15" hidden="1" x14ac:dyDescent="0.3">
      <c r="B1209">
        <v>3684655</v>
      </c>
      <c r="C1209" t="s">
        <v>260</v>
      </c>
      <c r="D1209">
        <v>38517</v>
      </c>
      <c r="E1209" t="s">
        <v>150</v>
      </c>
      <c r="F1209" t="s">
        <v>282</v>
      </c>
      <c r="G1209" s="28">
        <v>26</v>
      </c>
      <c r="H1209" s="32">
        <v>8.1</v>
      </c>
      <c r="I1209" s="32">
        <v>1328.03</v>
      </c>
      <c r="J1209" t="s">
        <v>239</v>
      </c>
      <c r="K1209" t="s">
        <v>245</v>
      </c>
      <c r="L1209" t="s">
        <v>235</v>
      </c>
      <c r="M1209" t="s">
        <v>236</v>
      </c>
      <c r="N1209" t="s">
        <v>240</v>
      </c>
      <c r="O1209" s="27">
        <v>46063</v>
      </c>
    </row>
    <row r="1210" spans="2:15" hidden="1" x14ac:dyDescent="0.3">
      <c r="B1210">
        <v>6978173</v>
      </c>
      <c r="C1210" t="s">
        <v>231</v>
      </c>
      <c r="D1210">
        <v>38517</v>
      </c>
      <c r="E1210" t="s">
        <v>150</v>
      </c>
      <c r="F1210" t="s">
        <v>263</v>
      </c>
      <c r="G1210" s="28">
        <v>80</v>
      </c>
      <c r="H1210" s="32">
        <v>8.08</v>
      </c>
      <c r="I1210" s="32">
        <v>1105.53</v>
      </c>
      <c r="J1210" t="s">
        <v>239</v>
      </c>
      <c r="K1210" t="s">
        <v>245</v>
      </c>
      <c r="L1210" t="s">
        <v>235</v>
      </c>
      <c r="M1210" t="s">
        <v>236</v>
      </c>
      <c r="N1210" t="s">
        <v>237</v>
      </c>
      <c r="O1210" s="27">
        <v>46055</v>
      </c>
    </row>
    <row r="1211" spans="2:15" hidden="1" x14ac:dyDescent="0.3">
      <c r="B1211">
        <v>3687422</v>
      </c>
      <c r="C1211" t="s">
        <v>260</v>
      </c>
      <c r="D1211">
        <v>68542</v>
      </c>
      <c r="E1211" t="s">
        <v>150</v>
      </c>
      <c r="F1211" t="s">
        <v>400</v>
      </c>
      <c r="G1211" s="28">
        <v>88</v>
      </c>
      <c r="H1211" s="32">
        <v>8.08</v>
      </c>
      <c r="I1211" s="32">
        <v>822.51</v>
      </c>
      <c r="J1211" t="s">
        <v>267</v>
      </c>
      <c r="K1211" t="s">
        <v>245</v>
      </c>
      <c r="L1211" t="s">
        <v>235</v>
      </c>
      <c r="M1211" t="s">
        <v>236</v>
      </c>
      <c r="N1211" t="s">
        <v>240</v>
      </c>
      <c r="O1211" s="27">
        <v>46057</v>
      </c>
    </row>
    <row r="1212" spans="2:15" hidden="1" x14ac:dyDescent="0.3">
      <c r="B1212">
        <v>15083827</v>
      </c>
      <c r="C1212" t="s">
        <v>260</v>
      </c>
      <c r="D1212">
        <v>69493</v>
      </c>
      <c r="E1212" t="s">
        <v>150</v>
      </c>
      <c r="F1212" t="s">
        <v>246</v>
      </c>
      <c r="G1212" s="28">
        <v>28</v>
      </c>
      <c r="H1212" s="32">
        <v>8.07</v>
      </c>
      <c r="I1212" s="32">
        <v>1040.07</v>
      </c>
      <c r="J1212" t="s">
        <v>239</v>
      </c>
      <c r="K1212" t="s">
        <v>245</v>
      </c>
      <c r="L1212" t="s">
        <v>235</v>
      </c>
      <c r="M1212" t="s">
        <v>236</v>
      </c>
      <c r="N1212" t="s">
        <v>237</v>
      </c>
      <c r="O1212" s="27">
        <v>46063</v>
      </c>
    </row>
    <row r="1213" spans="2:15" hidden="1" x14ac:dyDescent="0.3">
      <c r="B1213">
        <v>2328302</v>
      </c>
      <c r="C1213" t="s">
        <v>231</v>
      </c>
      <c r="D1213">
        <v>22674</v>
      </c>
      <c r="E1213" t="s">
        <v>150</v>
      </c>
      <c r="F1213" t="s">
        <v>298</v>
      </c>
      <c r="G1213" s="28">
        <v>115</v>
      </c>
      <c r="H1213" s="32">
        <v>8.06</v>
      </c>
      <c r="I1213" s="32">
        <v>1887.98</v>
      </c>
      <c r="J1213" t="s">
        <v>239</v>
      </c>
      <c r="K1213" t="s">
        <v>245</v>
      </c>
      <c r="L1213" t="s">
        <v>235</v>
      </c>
      <c r="M1213" t="s">
        <v>236</v>
      </c>
      <c r="N1213" t="s">
        <v>237</v>
      </c>
      <c r="O1213" s="27">
        <v>46055</v>
      </c>
    </row>
    <row r="1214" spans="2:15" hidden="1" x14ac:dyDescent="0.3">
      <c r="B1214">
        <v>2727175</v>
      </c>
      <c r="C1214" t="s">
        <v>231</v>
      </c>
      <c r="D1214">
        <v>23648</v>
      </c>
      <c r="E1214" t="s">
        <v>150</v>
      </c>
      <c r="F1214" t="s">
        <v>246</v>
      </c>
      <c r="G1214" s="28">
        <v>28</v>
      </c>
      <c r="H1214" s="32">
        <v>8.06</v>
      </c>
      <c r="I1214" s="32">
        <v>1040.0999999999999</v>
      </c>
      <c r="J1214" t="s">
        <v>239</v>
      </c>
      <c r="K1214" t="s">
        <v>245</v>
      </c>
      <c r="L1214" t="s">
        <v>235</v>
      </c>
      <c r="M1214" t="s">
        <v>236</v>
      </c>
      <c r="N1214" t="s">
        <v>237</v>
      </c>
      <c r="O1214" s="27">
        <v>46063</v>
      </c>
    </row>
    <row r="1215" spans="2:15" hidden="1" x14ac:dyDescent="0.3">
      <c r="B1215">
        <v>6978173</v>
      </c>
      <c r="C1215" t="s">
        <v>231</v>
      </c>
      <c r="D1215">
        <v>38517</v>
      </c>
      <c r="E1215" t="s">
        <v>150</v>
      </c>
      <c r="F1215" t="s">
        <v>160</v>
      </c>
      <c r="G1215" s="28">
        <v>13</v>
      </c>
      <c r="H1215" s="32">
        <v>8.06</v>
      </c>
      <c r="I1215" s="32">
        <v>1103.08</v>
      </c>
      <c r="J1215" t="s">
        <v>239</v>
      </c>
      <c r="K1215" t="s">
        <v>245</v>
      </c>
      <c r="L1215" t="s">
        <v>235</v>
      </c>
      <c r="M1215" t="s">
        <v>236</v>
      </c>
      <c r="N1215" t="s">
        <v>237</v>
      </c>
      <c r="O1215" s="27">
        <v>46055</v>
      </c>
    </row>
    <row r="1216" spans="2:15" hidden="1" x14ac:dyDescent="0.3">
      <c r="B1216">
        <v>4089266</v>
      </c>
      <c r="C1216" t="s">
        <v>260</v>
      </c>
      <c r="D1216">
        <v>22674</v>
      </c>
      <c r="E1216" t="s">
        <v>150</v>
      </c>
      <c r="F1216" t="s">
        <v>369</v>
      </c>
      <c r="G1216" s="28">
        <v>16</v>
      </c>
      <c r="H1216" s="32">
        <v>8.0500000000000007</v>
      </c>
      <c r="I1216" s="32">
        <v>881.66</v>
      </c>
      <c r="J1216" t="s">
        <v>239</v>
      </c>
      <c r="K1216" t="s">
        <v>245</v>
      </c>
      <c r="L1216" t="s">
        <v>235</v>
      </c>
      <c r="M1216" t="s">
        <v>236</v>
      </c>
      <c r="N1216" t="s">
        <v>240</v>
      </c>
      <c r="O1216" s="27">
        <v>46063</v>
      </c>
    </row>
    <row r="1217" spans="2:15" hidden="1" x14ac:dyDescent="0.3">
      <c r="B1217">
        <v>18702217</v>
      </c>
      <c r="C1217" t="s">
        <v>260</v>
      </c>
      <c r="D1217">
        <v>74304</v>
      </c>
      <c r="E1217" t="s">
        <v>150</v>
      </c>
      <c r="F1217" t="s">
        <v>380</v>
      </c>
      <c r="G1217" s="28">
        <v>85</v>
      </c>
      <c r="H1217" s="32">
        <v>8.0500000000000007</v>
      </c>
      <c r="I1217" s="32">
        <v>1520.65</v>
      </c>
      <c r="J1217" t="s">
        <v>330</v>
      </c>
      <c r="K1217" t="s">
        <v>234</v>
      </c>
      <c r="L1217" t="s">
        <v>235</v>
      </c>
      <c r="M1217" t="s">
        <v>236</v>
      </c>
      <c r="N1217" t="s">
        <v>237</v>
      </c>
      <c r="O1217" s="27">
        <v>46072</v>
      </c>
    </row>
    <row r="1218" spans="2:15" hidden="1" x14ac:dyDescent="0.3">
      <c r="B1218">
        <v>18805586</v>
      </c>
      <c r="C1218" t="s">
        <v>260</v>
      </c>
      <c r="D1218">
        <v>23410</v>
      </c>
      <c r="E1218" t="s">
        <v>150</v>
      </c>
      <c r="F1218" t="s">
        <v>246</v>
      </c>
      <c r="G1218" s="28">
        <v>28</v>
      </c>
      <c r="H1218" s="32">
        <v>8.0500000000000007</v>
      </c>
      <c r="I1218" s="32">
        <v>1040.07</v>
      </c>
      <c r="J1218" t="s">
        <v>239</v>
      </c>
      <c r="K1218" t="s">
        <v>245</v>
      </c>
      <c r="L1218" t="s">
        <v>235</v>
      </c>
      <c r="M1218" t="s">
        <v>236</v>
      </c>
      <c r="N1218" t="s">
        <v>237</v>
      </c>
      <c r="O1218" s="27">
        <v>46063</v>
      </c>
    </row>
    <row r="1219" spans="2:15" hidden="1" x14ac:dyDescent="0.3">
      <c r="B1219">
        <v>18604718</v>
      </c>
      <c r="C1219" t="s">
        <v>260</v>
      </c>
      <c r="D1219">
        <v>21468</v>
      </c>
      <c r="E1219" t="s">
        <v>150</v>
      </c>
      <c r="F1219" t="s">
        <v>361</v>
      </c>
      <c r="G1219" s="28">
        <v>30</v>
      </c>
      <c r="H1219" s="32">
        <v>8.0500000000000007</v>
      </c>
      <c r="I1219" s="32">
        <v>1100.4000000000001</v>
      </c>
      <c r="J1219" t="s">
        <v>330</v>
      </c>
      <c r="K1219" t="s">
        <v>234</v>
      </c>
      <c r="L1219" t="s">
        <v>235</v>
      </c>
      <c r="M1219" t="s">
        <v>236</v>
      </c>
      <c r="N1219" t="s">
        <v>237</v>
      </c>
      <c r="O1219" s="27">
        <v>46062</v>
      </c>
    </row>
    <row r="1220" spans="2:15" hidden="1" x14ac:dyDescent="0.3">
      <c r="B1220">
        <v>6978173</v>
      </c>
      <c r="C1220" t="s">
        <v>231</v>
      </c>
      <c r="D1220">
        <v>38517</v>
      </c>
      <c r="E1220" t="s">
        <v>150</v>
      </c>
      <c r="F1220" t="s">
        <v>164</v>
      </c>
      <c r="G1220" s="28">
        <v>24</v>
      </c>
      <c r="H1220" s="32">
        <v>8.0399999999999991</v>
      </c>
      <c r="I1220" s="32">
        <v>1099.92</v>
      </c>
      <c r="J1220" t="s">
        <v>239</v>
      </c>
      <c r="K1220" t="s">
        <v>245</v>
      </c>
      <c r="L1220" t="s">
        <v>235</v>
      </c>
      <c r="M1220" t="s">
        <v>236</v>
      </c>
      <c r="N1220" t="s">
        <v>237</v>
      </c>
      <c r="O1220" s="27">
        <v>46055</v>
      </c>
    </row>
    <row r="1221" spans="2:15" hidden="1" x14ac:dyDescent="0.3">
      <c r="B1221">
        <v>6859448</v>
      </c>
      <c r="C1221" t="s">
        <v>231</v>
      </c>
      <c r="D1221">
        <v>25619</v>
      </c>
      <c r="E1221" t="s">
        <v>150</v>
      </c>
      <c r="F1221" t="s">
        <v>282</v>
      </c>
      <c r="G1221" s="28">
        <v>25</v>
      </c>
      <c r="H1221" s="32">
        <v>8.0299999999999994</v>
      </c>
      <c r="I1221" s="32">
        <v>1277.0899999999999</v>
      </c>
      <c r="J1221" t="s">
        <v>239</v>
      </c>
      <c r="K1221" t="s">
        <v>245</v>
      </c>
      <c r="L1221" t="s">
        <v>235</v>
      </c>
      <c r="M1221" t="s">
        <v>236</v>
      </c>
      <c r="N1221" t="s">
        <v>240</v>
      </c>
      <c r="O1221" s="27">
        <v>46063</v>
      </c>
    </row>
    <row r="1222" spans="2:15" hidden="1" x14ac:dyDescent="0.3">
      <c r="B1222">
        <v>6978173</v>
      </c>
      <c r="C1222" t="s">
        <v>231</v>
      </c>
      <c r="D1222">
        <v>38517</v>
      </c>
      <c r="E1222" t="s">
        <v>150</v>
      </c>
      <c r="F1222" t="s">
        <v>272</v>
      </c>
      <c r="G1222" s="28">
        <v>168</v>
      </c>
      <c r="H1222" s="32">
        <v>8.0299999999999994</v>
      </c>
      <c r="I1222" s="32">
        <v>1098.5</v>
      </c>
      <c r="J1222" t="s">
        <v>239</v>
      </c>
      <c r="K1222" t="s">
        <v>245</v>
      </c>
      <c r="L1222" t="s">
        <v>235</v>
      </c>
      <c r="M1222" t="s">
        <v>236</v>
      </c>
      <c r="N1222" t="s">
        <v>237</v>
      </c>
      <c r="O1222" s="27">
        <v>46055</v>
      </c>
    </row>
    <row r="1223" spans="2:15" hidden="1" x14ac:dyDescent="0.3">
      <c r="B1223">
        <v>4951803</v>
      </c>
      <c r="C1223" t="s">
        <v>231</v>
      </c>
      <c r="D1223">
        <v>38517</v>
      </c>
      <c r="E1223" t="s">
        <v>150</v>
      </c>
      <c r="F1223" t="s">
        <v>274</v>
      </c>
      <c r="G1223" s="28">
        <v>72</v>
      </c>
      <c r="H1223" s="32">
        <v>8.02</v>
      </c>
      <c r="I1223" s="32">
        <v>1057.47</v>
      </c>
      <c r="J1223" t="s">
        <v>239</v>
      </c>
      <c r="K1223" t="s">
        <v>245</v>
      </c>
      <c r="L1223" t="s">
        <v>235</v>
      </c>
      <c r="M1223" t="s">
        <v>236</v>
      </c>
      <c r="N1223" t="s">
        <v>237</v>
      </c>
      <c r="O1223" s="27">
        <v>46055</v>
      </c>
    </row>
    <row r="1224" spans="2:15" hidden="1" x14ac:dyDescent="0.3">
      <c r="B1224">
        <v>3461330</v>
      </c>
      <c r="C1224" t="s">
        <v>260</v>
      </c>
      <c r="D1224">
        <v>21468</v>
      </c>
      <c r="E1224" t="s">
        <v>150</v>
      </c>
      <c r="F1224" t="s">
        <v>246</v>
      </c>
      <c r="G1224" s="28">
        <v>29</v>
      </c>
      <c r="H1224" s="32">
        <v>8.02</v>
      </c>
      <c r="I1224" s="32">
        <v>1077.27</v>
      </c>
      <c r="J1224" t="s">
        <v>239</v>
      </c>
      <c r="K1224" t="s">
        <v>245</v>
      </c>
      <c r="L1224" t="s">
        <v>235</v>
      </c>
      <c r="M1224" t="s">
        <v>236</v>
      </c>
      <c r="N1224" t="s">
        <v>237</v>
      </c>
      <c r="O1224" s="27">
        <v>46063</v>
      </c>
    </row>
    <row r="1225" spans="2:15" hidden="1" x14ac:dyDescent="0.3">
      <c r="B1225">
        <v>6978173</v>
      </c>
      <c r="C1225" t="s">
        <v>231</v>
      </c>
      <c r="D1225">
        <v>38517</v>
      </c>
      <c r="E1225" t="s">
        <v>150</v>
      </c>
      <c r="F1225" t="s">
        <v>289</v>
      </c>
      <c r="G1225" s="28">
        <v>51</v>
      </c>
      <c r="H1225" s="32">
        <v>8.01</v>
      </c>
      <c r="I1225" s="32">
        <v>1095.78</v>
      </c>
      <c r="J1225" t="s">
        <v>239</v>
      </c>
      <c r="K1225" t="s">
        <v>245</v>
      </c>
      <c r="L1225" t="s">
        <v>235</v>
      </c>
      <c r="M1225" t="s">
        <v>236</v>
      </c>
      <c r="N1225" t="s">
        <v>237</v>
      </c>
      <c r="O1225" s="27">
        <v>46055</v>
      </c>
    </row>
    <row r="1226" spans="2:15" hidden="1" x14ac:dyDescent="0.3">
      <c r="B1226">
        <v>18604718</v>
      </c>
      <c r="C1226" t="s">
        <v>260</v>
      </c>
      <c r="D1226">
        <v>21468</v>
      </c>
      <c r="E1226" t="s">
        <v>150</v>
      </c>
      <c r="F1226" t="s">
        <v>345</v>
      </c>
      <c r="G1226" s="28">
        <v>23</v>
      </c>
      <c r="H1226" s="32">
        <v>8.01</v>
      </c>
      <c r="I1226" s="32">
        <v>1094.57</v>
      </c>
      <c r="J1226" t="s">
        <v>330</v>
      </c>
      <c r="K1226" t="s">
        <v>234</v>
      </c>
      <c r="L1226" t="s">
        <v>235</v>
      </c>
      <c r="M1226" t="s">
        <v>236</v>
      </c>
      <c r="N1226" t="s">
        <v>237</v>
      </c>
      <c r="O1226" s="27">
        <v>46062</v>
      </c>
    </row>
    <row r="1227" spans="2:15" hidden="1" x14ac:dyDescent="0.3">
      <c r="B1227">
        <v>16284979</v>
      </c>
      <c r="C1227" t="s">
        <v>231</v>
      </c>
      <c r="D1227">
        <v>25619</v>
      </c>
      <c r="E1227" t="s">
        <v>150</v>
      </c>
      <c r="F1227" t="s">
        <v>246</v>
      </c>
      <c r="G1227" s="28">
        <v>26</v>
      </c>
      <c r="H1227" s="32">
        <v>8</v>
      </c>
      <c r="I1227" s="32">
        <v>965.82</v>
      </c>
      <c r="J1227" t="s">
        <v>239</v>
      </c>
      <c r="K1227" t="s">
        <v>245</v>
      </c>
      <c r="L1227" t="s">
        <v>235</v>
      </c>
      <c r="M1227" t="s">
        <v>236</v>
      </c>
      <c r="N1227" t="s">
        <v>237</v>
      </c>
      <c r="O1227" s="27">
        <v>46063</v>
      </c>
    </row>
    <row r="1228" spans="2:15" hidden="1" x14ac:dyDescent="0.3">
      <c r="B1228">
        <v>5555592</v>
      </c>
      <c r="C1228" t="s">
        <v>231</v>
      </c>
      <c r="D1228">
        <v>38517</v>
      </c>
      <c r="E1228" t="s">
        <v>150</v>
      </c>
      <c r="F1228" t="s">
        <v>246</v>
      </c>
      <c r="G1228" s="28">
        <v>22</v>
      </c>
      <c r="H1228" s="32">
        <v>8</v>
      </c>
      <c r="I1228" s="32">
        <v>812.92</v>
      </c>
      <c r="J1228" t="s">
        <v>239</v>
      </c>
      <c r="K1228" t="s">
        <v>245</v>
      </c>
      <c r="L1228" t="s">
        <v>235</v>
      </c>
      <c r="M1228" t="s">
        <v>236</v>
      </c>
      <c r="N1228" t="s">
        <v>237</v>
      </c>
      <c r="O1228" s="27">
        <v>46055</v>
      </c>
    </row>
    <row r="1229" spans="2:15" hidden="1" x14ac:dyDescent="0.3">
      <c r="B1229">
        <v>7088256</v>
      </c>
      <c r="C1229" t="s">
        <v>231</v>
      </c>
      <c r="D1229">
        <v>96553</v>
      </c>
      <c r="E1229" t="s">
        <v>150</v>
      </c>
      <c r="F1229" t="s">
        <v>163</v>
      </c>
      <c r="G1229" s="28">
        <v>37</v>
      </c>
      <c r="H1229" s="32">
        <v>7.99</v>
      </c>
      <c r="I1229" s="32">
        <v>516.55999999999995</v>
      </c>
      <c r="J1229" t="s">
        <v>239</v>
      </c>
      <c r="K1229" t="s">
        <v>245</v>
      </c>
      <c r="L1229" t="s">
        <v>235</v>
      </c>
      <c r="M1229" t="s">
        <v>236</v>
      </c>
      <c r="N1229" t="s">
        <v>237</v>
      </c>
      <c r="O1229" s="27">
        <v>46063</v>
      </c>
    </row>
    <row r="1230" spans="2:15" hidden="1" x14ac:dyDescent="0.3">
      <c r="B1230">
        <v>18604718</v>
      </c>
      <c r="C1230" t="s">
        <v>260</v>
      </c>
      <c r="D1230">
        <v>21468</v>
      </c>
      <c r="E1230" t="s">
        <v>150</v>
      </c>
      <c r="F1230" t="s">
        <v>384</v>
      </c>
      <c r="G1230" s="28">
        <v>53</v>
      </c>
      <c r="H1230" s="32">
        <v>7.99</v>
      </c>
      <c r="I1230" s="32">
        <v>1093.3900000000001</v>
      </c>
      <c r="J1230" t="s">
        <v>330</v>
      </c>
      <c r="K1230" t="s">
        <v>234</v>
      </c>
      <c r="L1230" t="s">
        <v>235</v>
      </c>
      <c r="M1230" t="s">
        <v>236</v>
      </c>
      <c r="N1230" t="s">
        <v>237</v>
      </c>
      <c r="O1230" s="27">
        <v>46062</v>
      </c>
    </row>
    <row r="1231" spans="2:15" hidden="1" x14ac:dyDescent="0.3">
      <c r="B1231">
        <v>2033851</v>
      </c>
      <c r="C1231" t="s">
        <v>231</v>
      </c>
      <c r="D1231">
        <v>24415</v>
      </c>
      <c r="E1231" t="s">
        <v>150</v>
      </c>
      <c r="F1231" t="s">
        <v>398</v>
      </c>
      <c r="G1231" s="28">
        <v>23</v>
      </c>
      <c r="H1231" s="32">
        <v>7.98</v>
      </c>
      <c r="I1231" s="32">
        <v>1347.33</v>
      </c>
      <c r="J1231" t="s">
        <v>239</v>
      </c>
      <c r="K1231" t="s">
        <v>245</v>
      </c>
      <c r="L1231" t="s">
        <v>235</v>
      </c>
      <c r="M1231" t="s">
        <v>236</v>
      </c>
      <c r="N1231" t="s">
        <v>237</v>
      </c>
      <c r="O1231" s="27">
        <v>46072</v>
      </c>
    </row>
    <row r="1232" spans="2:15" hidden="1" x14ac:dyDescent="0.3">
      <c r="B1232">
        <v>6978173</v>
      </c>
      <c r="C1232" t="s">
        <v>231</v>
      </c>
      <c r="D1232">
        <v>38517</v>
      </c>
      <c r="E1232" t="s">
        <v>150</v>
      </c>
      <c r="F1232" t="s">
        <v>276</v>
      </c>
      <c r="G1232" s="28">
        <v>36</v>
      </c>
      <c r="H1232" s="32">
        <v>7.96</v>
      </c>
      <c r="I1232" s="32">
        <v>1089.96</v>
      </c>
      <c r="J1232" t="s">
        <v>239</v>
      </c>
      <c r="K1232" t="s">
        <v>245</v>
      </c>
      <c r="L1232" t="s">
        <v>235</v>
      </c>
      <c r="M1232" t="s">
        <v>236</v>
      </c>
      <c r="N1232" t="s">
        <v>237</v>
      </c>
      <c r="O1232" s="27">
        <v>46055</v>
      </c>
    </row>
    <row r="1233" spans="2:15" hidden="1" x14ac:dyDescent="0.3">
      <c r="B1233">
        <v>18604718</v>
      </c>
      <c r="C1233" t="s">
        <v>260</v>
      </c>
      <c r="D1233">
        <v>21468</v>
      </c>
      <c r="E1233" t="s">
        <v>150</v>
      </c>
      <c r="F1233" t="s">
        <v>381</v>
      </c>
      <c r="G1233" s="28">
        <v>70</v>
      </c>
      <c r="H1233" s="32">
        <v>7.96</v>
      </c>
      <c r="I1233" s="32">
        <v>1089.2</v>
      </c>
      <c r="J1233" t="s">
        <v>330</v>
      </c>
      <c r="K1233" t="s">
        <v>234</v>
      </c>
      <c r="L1233" t="s">
        <v>235</v>
      </c>
      <c r="M1233" t="s">
        <v>236</v>
      </c>
      <c r="N1233" t="s">
        <v>237</v>
      </c>
      <c r="O1233" s="27">
        <v>46062</v>
      </c>
    </row>
    <row r="1234" spans="2:15" hidden="1" x14ac:dyDescent="0.3">
      <c r="B1234">
        <v>18604718</v>
      </c>
      <c r="C1234" t="s">
        <v>260</v>
      </c>
      <c r="D1234">
        <v>21468</v>
      </c>
      <c r="E1234" t="s">
        <v>150</v>
      </c>
      <c r="F1234" t="s">
        <v>379</v>
      </c>
      <c r="G1234" s="28">
        <v>76</v>
      </c>
      <c r="H1234" s="32">
        <v>7.96</v>
      </c>
      <c r="I1234" s="32">
        <v>1089.08</v>
      </c>
      <c r="J1234" t="s">
        <v>330</v>
      </c>
      <c r="K1234" t="s">
        <v>234</v>
      </c>
      <c r="L1234" t="s">
        <v>235</v>
      </c>
      <c r="M1234" t="s">
        <v>236</v>
      </c>
      <c r="N1234" t="s">
        <v>237</v>
      </c>
      <c r="O1234" s="27">
        <v>46062</v>
      </c>
    </row>
    <row r="1235" spans="2:15" hidden="1" x14ac:dyDescent="0.3">
      <c r="B1235">
        <v>6978173</v>
      </c>
      <c r="C1235" t="s">
        <v>231</v>
      </c>
      <c r="D1235">
        <v>38517</v>
      </c>
      <c r="E1235" t="s">
        <v>150</v>
      </c>
      <c r="F1235" t="s">
        <v>277</v>
      </c>
      <c r="G1235" s="28">
        <v>30</v>
      </c>
      <c r="H1235" s="32">
        <v>7.95</v>
      </c>
      <c r="I1235" s="32">
        <v>1088.56</v>
      </c>
      <c r="J1235" t="s">
        <v>239</v>
      </c>
      <c r="K1235" t="s">
        <v>245</v>
      </c>
      <c r="L1235" t="s">
        <v>235</v>
      </c>
      <c r="M1235" t="s">
        <v>236</v>
      </c>
      <c r="N1235" t="s">
        <v>237</v>
      </c>
      <c r="O1235" s="27">
        <v>46055</v>
      </c>
    </row>
    <row r="1236" spans="2:15" hidden="1" x14ac:dyDescent="0.3">
      <c r="B1236">
        <v>4535206</v>
      </c>
      <c r="C1236" t="s">
        <v>231</v>
      </c>
      <c r="D1236">
        <v>68542</v>
      </c>
      <c r="E1236" t="s">
        <v>150</v>
      </c>
      <c r="F1236" t="s">
        <v>353</v>
      </c>
      <c r="G1236" s="28">
        <v>86</v>
      </c>
      <c r="H1236" s="32">
        <v>7.94</v>
      </c>
      <c r="I1236" s="32">
        <v>798.73</v>
      </c>
      <c r="J1236" t="s">
        <v>267</v>
      </c>
      <c r="K1236" t="s">
        <v>245</v>
      </c>
      <c r="L1236" t="s">
        <v>235</v>
      </c>
      <c r="M1236" t="s">
        <v>236</v>
      </c>
      <c r="N1236" t="s">
        <v>237</v>
      </c>
      <c r="O1236" s="27">
        <v>46057</v>
      </c>
    </row>
    <row r="1237" spans="2:15" hidden="1" x14ac:dyDescent="0.3">
      <c r="B1237">
        <v>310157</v>
      </c>
      <c r="C1237" t="s">
        <v>231</v>
      </c>
      <c r="D1237">
        <v>68542</v>
      </c>
      <c r="E1237" t="s">
        <v>150</v>
      </c>
      <c r="F1237" t="s">
        <v>339</v>
      </c>
      <c r="G1237" s="28">
        <v>75</v>
      </c>
      <c r="H1237" s="32">
        <v>7.92</v>
      </c>
      <c r="I1237" s="32">
        <v>5831.95</v>
      </c>
      <c r="J1237" t="s">
        <v>267</v>
      </c>
      <c r="K1237" t="s">
        <v>245</v>
      </c>
      <c r="L1237" t="s">
        <v>235</v>
      </c>
      <c r="M1237" t="s">
        <v>236</v>
      </c>
      <c r="N1237" t="s">
        <v>237</v>
      </c>
      <c r="O1237" s="27">
        <v>46057</v>
      </c>
    </row>
    <row r="1238" spans="2:15" hidden="1" x14ac:dyDescent="0.3">
      <c r="B1238">
        <v>18604718</v>
      </c>
      <c r="C1238" t="s">
        <v>260</v>
      </c>
      <c r="D1238">
        <v>21468</v>
      </c>
      <c r="E1238" t="s">
        <v>150</v>
      </c>
      <c r="F1238" t="s">
        <v>377</v>
      </c>
      <c r="G1238" s="28">
        <v>35</v>
      </c>
      <c r="H1238" s="32">
        <v>7.91</v>
      </c>
      <c r="I1238" s="32">
        <v>1081.8499999999999</v>
      </c>
      <c r="J1238" t="s">
        <v>330</v>
      </c>
      <c r="K1238" t="s">
        <v>234</v>
      </c>
      <c r="L1238" t="s">
        <v>235</v>
      </c>
      <c r="M1238" t="s">
        <v>236</v>
      </c>
      <c r="N1238" t="s">
        <v>237</v>
      </c>
      <c r="O1238" s="27">
        <v>46062</v>
      </c>
    </row>
    <row r="1239" spans="2:15" hidden="1" x14ac:dyDescent="0.3">
      <c r="B1239">
        <v>18604718</v>
      </c>
      <c r="C1239" t="s">
        <v>260</v>
      </c>
      <c r="D1239">
        <v>21468</v>
      </c>
      <c r="E1239" t="s">
        <v>150</v>
      </c>
      <c r="F1239" t="s">
        <v>380</v>
      </c>
      <c r="G1239" s="28">
        <v>59</v>
      </c>
      <c r="H1239" s="32">
        <v>7.9</v>
      </c>
      <c r="I1239" s="32">
        <v>1080.29</v>
      </c>
      <c r="J1239" t="s">
        <v>330</v>
      </c>
      <c r="K1239" t="s">
        <v>234</v>
      </c>
      <c r="L1239" t="s">
        <v>235</v>
      </c>
      <c r="M1239" t="s">
        <v>236</v>
      </c>
      <c r="N1239" t="s">
        <v>237</v>
      </c>
      <c r="O1239" s="27">
        <v>46062</v>
      </c>
    </row>
    <row r="1240" spans="2:15" hidden="1" x14ac:dyDescent="0.3">
      <c r="B1240">
        <v>4382412</v>
      </c>
      <c r="C1240" t="s">
        <v>231</v>
      </c>
      <c r="D1240">
        <v>49894</v>
      </c>
      <c r="E1240" t="s">
        <v>150</v>
      </c>
      <c r="F1240" t="s">
        <v>282</v>
      </c>
      <c r="G1240" s="28">
        <v>24</v>
      </c>
      <c r="H1240" s="32">
        <v>7.88</v>
      </c>
      <c r="I1240" s="32">
        <v>1225.8800000000001</v>
      </c>
      <c r="J1240" t="s">
        <v>239</v>
      </c>
      <c r="K1240" t="s">
        <v>245</v>
      </c>
      <c r="L1240" t="s">
        <v>235</v>
      </c>
      <c r="M1240" t="s">
        <v>236</v>
      </c>
      <c r="N1240" t="s">
        <v>240</v>
      </c>
      <c r="O1240" s="27">
        <v>46063</v>
      </c>
    </row>
    <row r="1241" spans="2:15" hidden="1" x14ac:dyDescent="0.3">
      <c r="B1241">
        <v>18731282</v>
      </c>
      <c r="C1241" t="s">
        <v>231</v>
      </c>
      <c r="D1241">
        <v>40901</v>
      </c>
      <c r="E1241" t="s">
        <v>150</v>
      </c>
      <c r="F1241" t="s">
        <v>246</v>
      </c>
      <c r="G1241" s="28">
        <v>27</v>
      </c>
      <c r="H1241" s="32">
        <v>7.88</v>
      </c>
      <c r="I1241" s="32">
        <v>1003.03</v>
      </c>
      <c r="J1241" t="s">
        <v>239</v>
      </c>
      <c r="K1241" t="s">
        <v>245</v>
      </c>
      <c r="L1241" t="s">
        <v>235</v>
      </c>
      <c r="M1241" t="s">
        <v>236</v>
      </c>
      <c r="N1241" t="s">
        <v>237</v>
      </c>
      <c r="O1241" s="27">
        <v>46063</v>
      </c>
    </row>
    <row r="1242" spans="2:15" hidden="1" x14ac:dyDescent="0.3">
      <c r="B1242">
        <v>6978173</v>
      </c>
      <c r="C1242" t="s">
        <v>231</v>
      </c>
      <c r="D1242">
        <v>38517</v>
      </c>
      <c r="E1242" t="s">
        <v>150</v>
      </c>
      <c r="F1242" t="s">
        <v>246</v>
      </c>
      <c r="G1242" s="28">
        <v>29</v>
      </c>
      <c r="H1242" s="32">
        <v>7.83</v>
      </c>
      <c r="I1242" s="32">
        <v>1071.51</v>
      </c>
      <c r="J1242" t="s">
        <v>239</v>
      </c>
      <c r="K1242" t="s">
        <v>245</v>
      </c>
      <c r="L1242" t="s">
        <v>235</v>
      </c>
      <c r="M1242" t="s">
        <v>236</v>
      </c>
      <c r="N1242" t="s">
        <v>237</v>
      </c>
      <c r="O1242" s="27">
        <v>46055</v>
      </c>
    </row>
    <row r="1243" spans="2:15" hidden="1" x14ac:dyDescent="0.3">
      <c r="B1243">
        <v>17005725</v>
      </c>
      <c r="C1243" t="s">
        <v>260</v>
      </c>
      <c r="D1243">
        <v>22674</v>
      </c>
      <c r="E1243" t="s">
        <v>150</v>
      </c>
      <c r="F1243" t="s">
        <v>246</v>
      </c>
      <c r="G1243" s="28">
        <v>27</v>
      </c>
      <c r="H1243" s="32">
        <v>7.83</v>
      </c>
      <c r="I1243" s="32">
        <v>1003.03</v>
      </c>
      <c r="J1243" t="s">
        <v>239</v>
      </c>
      <c r="K1243" t="s">
        <v>245</v>
      </c>
      <c r="L1243" t="s">
        <v>235</v>
      </c>
      <c r="M1243" t="s">
        <v>236</v>
      </c>
      <c r="N1243" t="s">
        <v>237</v>
      </c>
      <c r="O1243" s="27">
        <v>46063</v>
      </c>
    </row>
    <row r="1244" spans="2:15" hidden="1" x14ac:dyDescent="0.3">
      <c r="B1244">
        <v>2727175</v>
      </c>
      <c r="C1244" t="s">
        <v>231</v>
      </c>
      <c r="D1244">
        <v>23648</v>
      </c>
      <c r="E1244" t="s">
        <v>150</v>
      </c>
      <c r="F1244" t="s">
        <v>282</v>
      </c>
      <c r="G1244" s="28">
        <v>23</v>
      </c>
      <c r="H1244" s="32">
        <v>7.82</v>
      </c>
      <c r="I1244" s="32">
        <v>1174.8</v>
      </c>
      <c r="J1244" t="s">
        <v>239</v>
      </c>
      <c r="K1244" t="s">
        <v>245</v>
      </c>
      <c r="L1244" t="s">
        <v>235</v>
      </c>
      <c r="M1244" t="s">
        <v>236</v>
      </c>
      <c r="N1244" t="s">
        <v>240</v>
      </c>
      <c r="O1244" s="27">
        <v>46063</v>
      </c>
    </row>
    <row r="1245" spans="2:15" hidden="1" x14ac:dyDescent="0.3">
      <c r="B1245">
        <v>5362471</v>
      </c>
      <c r="C1245" t="s">
        <v>260</v>
      </c>
      <c r="D1245">
        <v>22674</v>
      </c>
      <c r="E1245" t="s">
        <v>150</v>
      </c>
      <c r="F1245" t="s">
        <v>287</v>
      </c>
      <c r="G1245" s="28">
        <v>38</v>
      </c>
      <c r="H1245" s="32">
        <v>7.82</v>
      </c>
      <c r="I1245" s="32">
        <v>1186.93</v>
      </c>
      <c r="J1245" t="s">
        <v>239</v>
      </c>
      <c r="K1245" t="s">
        <v>245</v>
      </c>
      <c r="L1245" t="s">
        <v>235</v>
      </c>
      <c r="M1245" t="s">
        <v>236</v>
      </c>
      <c r="N1245" t="s">
        <v>237</v>
      </c>
      <c r="O1245" s="27">
        <v>46072</v>
      </c>
    </row>
    <row r="1246" spans="2:15" hidden="1" x14ac:dyDescent="0.3">
      <c r="B1246">
        <v>3914788</v>
      </c>
      <c r="C1246" t="s">
        <v>260</v>
      </c>
      <c r="D1246">
        <v>21468</v>
      </c>
      <c r="E1246" t="s">
        <v>150</v>
      </c>
      <c r="F1246" t="s">
        <v>369</v>
      </c>
      <c r="G1246" s="28">
        <v>14</v>
      </c>
      <c r="H1246" s="32">
        <v>7.79</v>
      </c>
      <c r="I1246" s="32">
        <v>771.42</v>
      </c>
      <c r="J1246" t="s">
        <v>239</v>
      </c>
      <c r="K1246" t="s">
        <v>245</v>
      </c>
      <c r="L1246" t="s">
        <v>235</v>
      </c>
      <c r="M1246" t="s">
        <v>236</v>
      </c>
      <c r="N1246" t="s">
        <v>240</v>
      </c>
      <c r="O1246" s="27">
        <v>46063</v>
      </c>
    </row>
    <row r="1247" spans="2:15" hidden="1" x14ac:dyDescent="0.3">
      <c r="B1247">
        <v>2735150</v>
      </c>
      <c r="C1247" t="s">
        <v>231</v>
      </c>
      <c r="D1247">
        <v>49894</v>
      </c>
      <c r="E1247" t="s">
        <v>150</v>
      </c>
      <c r="F1247" t="s">
        <v>287</v>
      </c>
      <c r="G1247" s="28">
        <v>45</v>
      </c>
      <c r="H1247" s="32">
        <v>7.77</v>
      </c>
      <c r="I1247" s="32">
        <v>1411.22</v>
      </c>
      <c r="J1247" t="s">
        <v>239</v>
      </c>
      <c r="K1247" t="s">
        <v>245</v>
      </c>
      <c r="L1247" t="s">
        <v>235</v>
      </c>
      <c r="M1247" t="s">
        <v>236</v>
      </c>
      <c r="N1247" t="s">
        <v>237</v>
      </c>
      <c r="O1247" s="27">
        <v>46063</v>
      </c>
    </row>
    <row r="1248" spans="2:15" hidden="1" x14ac:dyDescent="0.3">
      <c r="B1248">
        <v>18604718</v>
      </c>
      <c r="C1248" t="s">
        <v>260</v>
      </c>
      <c r="D1248">
        <v>21468</v>
      </c>
      <c r="E1248" t="s">
        <v>150</v>
      </c>
      <c r="F1248" t="s">
        <v>363</v>
      </c>
      <c r="G1248" s="28">
        <v>28</v>
      </c>
      <c r="H1248" s="32">
        <v>7.77</v>
      </c>
      <c r="I1248" s="32">
        <v>1062.8699999999999</v>
      </c>
      <c r="J1248" t="s">
        <v>330</v>
      </c>
      <c r="K1248" t="s">
        <v>234</v>
      </c>
      <c r="L1248" t="s">
        <v>235</v>
      </c>
      <c r="M1248" t="s">
        <v>236</v>
      </c>
      <c r="N1248" t="s">
        <v>237</v>
      </c>
      <c r="O1248" s="27">
        <v>46062</v>
      </c>
    </row>
    <row r="1249" spans="2:15" hidden="1" x14ac:dyDescent="0.3">
      <c r="B1249">
        <v>5664804</v>
      </c>
      <c r="C1249" t="s">
        <v>231</v>
      </c>
      <c r="D1249">
        <v>69493</v>
      </c>
      <c r="E1249" t="s">
        <v>150</v>
      </c>
      <c r="F1249" t="s">
        <v>246</v>
      </c>
      <c r="G1249" s="28">
        <v>21</v>
      </c>
      <c r="H1249" s="32">
        <v>7.75</v>
      </c>
      <c r="I1249" s="32">
        <v>775.96</v>
      </c>
      <c r="J1249" t="s">
        <v>239</v>
      </c>
      <c r="K1249" t="s">
        <v>245</v>
      </c>
      <c r="L1249" t="s">
        <v>235</v>
      </c>
      <c r="M1249" t="s">
        <v>236</v>
      </c>
      <c r="N1249" t="s">
        <v>237</v>
      </c>
      <c r="O1249" s="27">
        <v>46055</v>
      </c>
    </row>
    <row r="1250" spans="2:15" hidden="1" x14ac:dyDescent="0.3">
      <c r="B1250">
        <v>54685</v>
      </c>
      <c r="C1250" t="s">
        <v>260</v>
      </c>
      <c r="D1250">
        <v>22674</v>
      </c>
      <c r="E1250" t="s">
        <v>150</v>
      </c>
      <c r="F1250" t="s">
        <v>381</v>
      </c>
      <c r="G1250" s="28">
        <v>84</v>
      </c>
      <c r="H1250" s="32">
        <v>7.75</v>
      </c>
      <c r="I1250" s="32">
        <v>1338.83</v>
      </c>
      <c r="J1250" t="s">
        <v>330</v>
      </c>
      <c r="K1250" t="s">
        <v>234</v>
      </c>
      <c r="L1250" t="s">
        <v>235</v>
      </c>
      <c r="M1250" t="s">
        <v>236</v>
      </c>
      <c r="N1250" t="s">
        <v>237</v>
      </c>
      <c r="O1250" s="27">
        <v>46063</v>
      </c>
    </row>
    <row r="1251" spans="2:15" hidden="1" x14ac:dyDescent="0.3">
      <c r="B1251">
        <v>5377617</v>
      </c>
      <c r="C1251" t="s">
        <v>231</v>
      </c>
      <c r="D1251">
        <v>21559</v>
      </c>
      <c r="E1251" t="s">
        <v>150</v>
      </c>
      <c r="F1251" t="s">
        <v>369</v>
      </c>
      <c r="G1251" s="28">
        <v>13</v>
      </c>
      <c r="H1251" s="32">
        <v>7.74</v>
      </c>
      <c r="I1251" s="32">
        <v>716.32</v>
      </c>
      <c r="J1251" t="s">
        <v>239</v>
      </c>
      <c r="K1251" t="s">
        <v>245</v>
      </c>
      <c r="L1251" t="s">
        <v>235</v>
      </c>
      <c r="M1251" t="s">
        <v>236</v>
      </c>
      <c r="N1251" t="s">
        <v>240</v>
      </c>
      <c r="O1251" s="27">
        <v>46063</v>
      </c>
    </row>
    <row r="1252" spans="2:15" hidden="1" x14ac:dyDescent="0.3">
      <c r="B1252">
        <v>2013549</v>
      </c>
      <c r="C1252" t="s">
        <v>231</v>
      </c>
      <c r="D1252">
        <v>23648</v>
      </c>
      <c r="E1252" t="s">
        <v>150</v>
      </c>
      <c r="F1252" t="s">
        <v>380</v>
      </c>
      <c r="G1252" s="28">
        <v>83</v>
      </c>
      <c r="H1252" s="32">
        <v>7.74</v>
      </c>
      <c r="I1252" s="32">
        <v>1506.45</v>
      </c>
      <c r="J1252" t="s">
        <v>330</v>
      </c>
      <c r="K1252" t="s">
        <v>234</v>
      </c>
      <c r="L1252" t="s">
        <v>235</v>
      </c>
      <c r="M1252" t="s">
        <v>236</v>
      </c>
      <c r="N1252" t="s">
        <v>237</v>
      </c>
      <c r="O1252" s="27">
        <v>46059</v>
      </c>
    </row>
    <row r="1253" spans="2:15" hidden="1" x14ac:dyDescent="0.3">
      <c r="B1253">
        <v>2411460</v>
      </c>
      <c r="C1253" t="s">
        <v>231</v>
      </c>
      <c r="D1253">
        <v>72444</v>
      </c>
      <c r="E1253" t="s">
        <v>150</v>
      </c>
      <c r="F1253" t="s">
        <v>444</v>
      </c>
      <c r="G1253" s="28">
        <v>59</v>
      </c>
      <c r="H1253" s="32">
        <v>7.74</v>
      </c>
      <c r="I1253" s="32">
        <v>993.95</v>
      </c>
      <c r="J1253" t="s">
        <v>239</v>
      </c>
      <c r="K1253" t="s">
        <v>245</v>
      </c>
      <c r="L1253" t="s">
        <v>235</v>
      </c>
      <c r="M1253" t="s">
        <v>236</v>
      </c>
      <c r="N1253" t="s">
        <v>237</v>
      </c>
      <c r="O1253" s="27">
        <v>46055</v>
      </c>
    </row>
    <row r="1254" spans="2:15" hidden="1" x14ac:dyDescent="0.3">
      <c r="B1254">
        <v>5362471</v>
      </c>
      <c r="C1254" t="s">
        <v>260</v>
      </c>
      <c r="D1254">
        <v>22674</v>
      </c>
      <c r="E1254" t="s">
        <v>150</v>
      </c>
      <c r="F1254" t="s">
        <v>369</v>
      </c>
      <c r="G1254" s="28">
        <v>14</v>
      </c>
      <c r="H1254" s="32">
        <v>7.73</v>
      </c>
      <c r="I1254" s="32">
        <v>771.42</v>
      </c>
      <c r="J1254" t="s">
        <v>239</v>
      </c>
      <c r="K1254" t="s">
        <v>245</v>
      </c>
      <c r="L1254" t="s">
        <v>235</v>
      </c>
      <c r="M1254" t="s">
        <v>236</v>
      </c>
      <c r="N1254" t="s">
        <v>240</v>
      </c>
      <c r="O1254" s="27">
        <v>46063</v>
      </c>
    </row>
    <row r="1255" spans="2:15" hidden="1" x14ac:dyDescent="0.3">
      <c r="B1255">
        <v>8781959</v>
      </c>
      <c r="C1255" t="s">
        <v>231</v>
      </c>
      <c r="D1255">
        <v>72444</v>
      </c>
      <c r="E1255" t="s">
        <v>150</v>
      </c>
      <c r="F1255" t="s">
        <v>287</v>
      </c>
      <c r="G1255" s="28">
        <v>34</v>
      </c>
      <c r="H1255" s="32">
        <v>7.72</v>
      </c>
      <c r="I1255" s="32">
        <v>1066.3399999999999</v>
      </c>
      <c r="J1255" t="s">
        <v>239</v>
      </c>
      <c r="K1255" t="s">
        <v>245</v>
      </c>
      <c r="L1255" t="s">
        <v>235</v>
      </c>
      <c r="M1255" t="s">
        <v>236</v>
      </c>
      <c r="N1255" t="s">
        <v>240</v>
      </c>
      <c r="O1255" s="27">
        <v>46063</v>
      </c>
    </row>
    <row r="1256" spans="2:15" hidden="1" x14ac:dyDescent="0.3">
      <c r="B1256">
        <v>8218280</v>
      </c>
      <c r="C1256" t="s">
        <v>260</v>
      </c>
      <c r="D1256">
        <v>21559</v>
      </c>
      <c r="E1256" t="s">
        <v>150</v>
      </c>
      <c r="F1256" t="s">
        <v>386</v>
      </c>
      <c r="G1256" s="28">
        <v>5</v>
      </c>
      <c r="H1256" s="32">
        <v>7.72</v>
      </c>
      <c r="I1256" s="32">
        <v>489.41</v>
      </c>
      <c r="J1256" t="s">
        <v>267</v>
      </c>
      <c r="K1256" t="s">
        <v>245</v>
      </c>
      <c r="L1256" t="s">
        <v>235</v>
      </c>
      <c r="M1256" t="s">
        <v>236</v>
      </c>
      <c r="N1256" t="s">
        <v>240</v>
      </c>
      <c r="O1256" s="27">
        <v>46062</v>
      </c>
    </row>
    <row r="1257" spans="2:15" hidden="1" x14ac:dyDescent="0.3">
      <c r="B1257">
        <v>8142187</v>
      </c>
      <c r="C1257" t="s">
        <v>260</v>
      </c>
      <c r="D1257">
        <v>21468</v>
      </c>
      <c r="E1257" t="s">
        <v>150</v>
      </c>
      <c r="F1257" t="s">
        <v>369</v>
      </c>
      <c r="G1257" s="28">
        <v>14</v>
      </c>
      <c r="H1257" s="32">
        <v>7.7</v>
      </c>
      <c r="I1257" s="32">
        <v>771.43</v>
      </c>
      <c r="J1257" t="s">
        <v>239</v>
      </c>
      <c r="K1257" t="s">
        <v>245</v>
      </c>
      <c r="L1257" t="s">
        <v>235</v>
      </c>
      <c r="M1257" t="s">
        <v>236</v>
      </c>
      <c r="N1257" t="s">
        <v>240</v>
      </c>
      <c r="O1257" s="27">
        <v>46063</v>
      </c>
    </row>
    <row r="1258" spans="2:15" hidden="1" x14ac:dyDescent="0.3">
      <c r="B1258">
        <v>4951803</v>
      </c>
      <c r="C1258" t="s">
        <v>231</v>
      </c>
      <c r="D1258">
        <v>38517</v>
      </c>
      <c r="E1258" t="s">
        <v>150</v>
      </c>
      <c r="F1258" t="s">
        <v>272</v>
      </c>
      <c r="G1258" s="28">
        <v>156</v>
      </c>
      <c r="H1258" s="32">
        <v>7.69</v>
      </c>
      <c r="I1258" s="32">
        <v>1020.04</v>
      </c>
      <c r="J1258" t="s">
        <v>239</v>
      </c>
      <c r="K1258" t="s">
        <v>245</v>
      </c>
      <c r="L1258" t="s">
        <v>235</v>
      </c>
      <c r="M1258" t="s">
        <v>236</v>
      </c>
      <c r="N1258" t="s">
        <v>237</v>
      </c>
      <c r="O1258" s="27">
        <v>46055</v>
      </c>
    </row>
    <row r="1259" spans="2:15" hidden="1" x14ac:dyDescent="0.3">
      <c r="B1259">
        <v>4375042</v>
      </c>
      <c r="C1259" t="s">
        <v>231</v>
      </c>
      <c r="D1259">
        <v>25619</v>
      </c>
      <c r="E1259" t="s">
        <v>150</v>
      </c>
      <c r="F1259" t="s">
        <v>161</v>
      </c>
      <c r="G1259" s="28">
        <v>50</v>
      </c>
      <c r="H1259" s="32">
        <v>7.68</v>
      </c>
      <c r="I1259" s="32">
        <v>1358.97</v>
      </c>
      <c r="J1259" t="s">
        <v>239</v>
      </c>
      <c r="K1259" t="s">
        <v>245</v>
      </c>
      <c r="L1259" t="s">
        <v>235</v>
      </c>
      <c r="M1259" t="s">
        <v>236</v>
      </c>
      <c r="N1259" t="s">
        <v>237</v>
      </c>
      <c r="O1259" s="27">
        <v>46072</v>
      </c>
    </row>
    <row r="1260" spans="2:15" x14ac:dyDescent="0.3">
      <c r="B1260">
        <v>17711901</v>
      </c>
      <c r="C1260" t="s">
        <v>260</v>
      </c>
      <c r="D1260">
        <v>22103</v>
      </c>
      <c r="E1260" t="s">
        <v>150</v>
      </c>
      <c r="F1260" t="s">
        <v>369</v>
      </c>
      <c r="G1260" s="28">
        <v>16</v>
      </c>
      <c r="H1260" s="32">
        <v>7.68</v>
      </c>
      <c r="I1260" s="32">
        <v>881.66</v>
      </c>
      <c r="J1260" t="s">
        <v>239</v>
      </c>
      <c r="K1260" t="s">
        <v>245</v>
      </c>
      <c r="L1260" t="s">
        <v>235</v>
      </c>
      <c r="M1260" t="s">
        <v>236</v>
      </c>
      <c r="N1260" t="s">
        <v>240</v>
      </c>
      <c r="O1260" s="27">
        <v>46063</v>
      </c>
    </row>
    <row r="1261" spans="2:15" hidden="1" x14ac:dyDescent="0.3">
      <c r="B1261">
        <v>2278263</v>
      </c>
      <c r="C1261" t="s">
        <v>231</v>
      </c>
      <c r="D1261">
        <v>22674</v>
      </c>
      <c r="E1261" t="s">
        <v>150</v>
      </c>
      <c r="F1261" t="s">
        <v>287</v>
      </c>
      <c r="G1261" s="28">
        <v>44</v>
      </c>
      <c r="H1261" s="32">
        <v>7.67</v>
      </c>
      <c r="I1261" s="32">
        <v>1380.08</v>
      </c>
      <c r="J1261" t="s">
        <v>239</v>
      </c>
      <c r="K1261" t="s">
        <v>245</v>
      </c>
      <c r="L1261" t="s">
        <v>235</v>
      </c>
      <c r="M1261" t="s">
        <v>236</v>
      </c>
      <c r="N1261" t="s">
        <v>237</v>
      </c>
      <c r="O1261" s="27">
        <v>46063</v>
      </c>
    </row>
    <row r="1262" spans="2:15" hidden="1" x14ac:dyDescent="0.3">
      <c r="B1262">
        <v>4535206</v>
      </c>
      <c r="C1262" t="s">
        <v>231</v>
      </c>
      <c r="D1262">
        <v>68542</v>
      </c>
      <c r="E1262" t="s">
        <v>150</v>
      </c>
      <c r="F1262" t="s">
        <v>331</v>
      </c>
      <c r="G1262" s="28">
        <v>83</v>
      </c>
      <c r="H1262" s="32">
        <v>7.67</v>
      </c>
      <c r="I1262" s="32">
        <v>805.94</v>
      </c>
      <c r="J1262" t="s">
        <v>267</v>
      </c>
      <c r="K1262" t="s">
        <v>245</v>
      </c>
      <c r="L1262" t="s">
        <v>235</v>
      </c>
      <c r="M1262" t="s">
        <v>236</v>
      </c>
      <c r="N1262" t="s">
        <v>240</v>
      </c>
      <c r="O1262" s="27">
        <v>46057</v>
      </c>
    </row>
    <row r="1263" spans="2:15" hidden="1" x14ac:dyDescent="0.3">
      <c r="B1263">
        <v>3247420</v>
      </c>
      <c r="C1263" t="s">
        <v>231</v>
      </c>
      <c r="D1263">
        <v>23410</v>
      </c>
      <c r="E1263" t="s">
        <v>150</v>
      </c>
      <c r="F1263" t="s">
        <v>246</v>
      </c>
      <c r="G1263" s="28">
        <v>25</v>
      </c>
      <c r="H1263" s="32">
        <v>7.67</v>
      </c>
      <c r="I1263" s="32">
        <v>928.61</v>
      </c>
      <c r="J1263" t="s">
        <v>239</v>
      </c>
      <c r="K1263" t="s">
        <v>245</v>
      </c>
      <c r="L1263" t="s">
        <v>235</v>
      </c>
      <c r="M1263" t="s">
        <v>236</v>
      </c>
      <c r="N1263" t="s">
        <v>237</v>
      </c>
      <c r="O1263" s="27">
        <v>46063</v>
      </c>
    </row>
    <row r="1264" spans="2:15" hidden="1" x14ac:dyDescent="0.3">
      <c r="B1264">
        <v>2579681</v>
      </c>
      <c r="C1264" t="s">
        <v>231</v>
      </c>
      <c r="D1264">
        <v>25619</v>
      </c>
      <c r="E1264" t="s">
        <v>150</v>
      </c>
      <c r="F1264" t="s">
        <v>287</v>
      </c>
      <c r="G1264" s="28">
        <v>44</v>
      </c>
      <c r="H1264" s="32">
        <v>7.66</v>
      </c>
      <c r="I1264" s="32">
        <v>1380.08</v>
      </c>
      <c r="J1264" t="s">
        <v>239</v>
      </c>
      <c r="K1264" t="s">
        <v>245</v>
      </c>
      <c r="L1264" t="s">
        <v>235</v>
      </c>
      <c r="M1264" t="s">
        <v>236</v>
      </c>
      <c r="N1264" t="s">
        <v>237</v>
      </c>
      <c r="O1264" s="27">
        <v>46063</v>
      </c>
    </row>
    <row r="1265" spans="2:15" hidden="1" x14ac:dyDescent="0.3">
      <c r="B1265">
        <v>4951803</v>
      </c>
      <c r="C1265" t="s">
        <v>231</v>
      </c>
      <c r="D1265">
        <v>38517</v>
      </c>
      <c r="E1265" t="s">
        <v>150</v>
      </c>
      <c r="F1265" t="s">
        <v>277</v>
      </c>
      <c r="G1265" s="28">
        <v>28</v>
      </c>
      <c r="H1265" s="32">
        <v>7.66</v>
      </c>
      <c r="I1265" s="32">
        <v>1015.99</v>
      </c>
      <c r="J1265" t="s">
        <v>239</v>
      </c>
      <c r="K1265" t="s">
        <v>245</v>
      </c>
      <c r="L1265" t="s">
        <v>235</v>
      </c>
      <c r="M1265" t="s">
        <v>236</v>
      </c>
      <c r="N1265" t="s">
        <v>237</v>
      </c>
      <c r="O1265" s="27">
        <v>46055</v>
      </c>
    </row>
    <row r="1266" spans="2:15" hidden="1" x14ac:dyDescent="0.3">
      <c r="B1266">
        <v>3911170</v>
      </c>
      <c r="C1266" t="s">
        <v>231</v>
      </c>
      <c r="D1266">
        <v>21468</v>
      </c>
      <c r="E1266" t="s">
        <v>150</v>
      </c>
      <c r="F1266" t="s">
        <v>246</v>
      </c>
      <c r="G1266" s="28">
        <v>26</v>
      </c>
      <c r="H1266" s="32">
        <v>7.66</v>
      </c>
      <c r="I1266" s="32">
        <v>965.82</v>
      </c>
      <c r="J1266" t="s">
        <v>239</v>
      </c>
      <c r="K1266" t="s">
        <v>245</v>
      </c>
      <c r="L1266" t="s">
        <v>235</v>
      </c>
      <c r="M1266" t="s">
        <v>236</v>
      </c>
      <c r="N1266" t="s">
        <v>237</v>
      </c>
      <c r="O1266" s="27">
        <v>46063</v>
      </c>
    </row>
    <row r="1267" spans="2:15" hidden="1" x14ac:dyDescent="0.3">
      <c r="B1267">
        <v>2411460</v>
      </c>
      <c r="C1267" t="s">
        <v>231</v>
      </c>
      <c r="D1267">
        <v>72444</v>
      </c>
      <c r="E1267" t="s">
        <v>150</v>
      </c>
      <c r="F1267" t="s">
        <v>369</v>
      </c>
      <c r="G1267" s="28">
        <v>19</v>
      </c>
      <c r="H1267" s="32">
        <v>7.65</v>
      </c>
      <c r="I1267" s="32">
        <v>982.04</v>
      </c>
      <c r="J1267" t="s">
        <v>239</v>
      </c>
      <c r="K1267" t="s">
        <v>245</v>
      </c>
      <c r="L1267" t="s">
        <v>235</v>
      </c>
      <c r="M1267" t="s">
        <v>236</v>
      </c>
      <c r="N1267" t="s">
        <v>240</v>
      </c>
      <c r="O1267" s="27">
        <v>46055</v>
      </c>
    </row>
    <row r="1268" spans="2:15" hidden="1" x14ac:dyDescent="0.3">
      <c r="B1268">
        <v>5370675</v>
      </c>
      <c r="C1268" t="s">
        <v>260</v>
      </c>
      <c r="D1268">
        <v>71881</v>
      </c>
      <c r="E1268" t="s">
        <v>150</v>
      </c>
      <c r="F1268" t="s">
        <v>369</v>
      </c>
      <c r="G1268" s="28">
        <v>14</v>
      </c>
      <c r="H1268" s="32">
        <v>7.64</v>
      </c>
      <c r="I1268" s="32">
        <v>771.42</v>
      </c>
      <c r="J1268" t="s">
        <v>239</v>
      </c>
      <c r="K1268" t="s">
        <v>245</v>
      </c>
      <c r="L1268" t="s">
        <v>235</v>
      </c>
      <c r="M1268" t="s">
        <v>236</v>
      </c>
      <c r="N1268" t="s">
        <v>240</v>
      </c>
      <c r="O1268" s="27">
        <v>46063</v>
      </c>
    </row>
    <row r="1269" spans="2:15" hidden="1" x14ac:dyDescent="0.3">
      <c r="B1269">
        <v>2051406</v>
      </c>
      <c r="C1269" t="s">
        <v>231</v>
      </c>
      <c r="D1269">
        <v>25104</v>
      </c>
      <c r="E1269" t="s">
        <v>150</v>
      </c>
      <c r="F1269" t="s">
        <v>369</v>
      </c>
      <c r="G1269" s="28">
        <v>13</v>
      </c>
      <c r="H1269" s="32">
        <v>7.63</v>
      </c>
      <c r="I1269" s="32">
        <v>671.92</v>
      </c>
      <c r="J1269" t="s">
        <v>239</v>
      </c>
      <c r="K1269" t="s">
        <v>245</v>
      </c>
      <c r="L1269" t="s">
        <v>235</v>
      </c>
      <c r="M1269" t="s">
        <v>236</v>
      </c>
      <c r="N1269" t="s">
        <v>240</v>
      </c>
      <c r="O1269" s="27">
        <v>46055</v>
      </c>
    </row>
    <row r="1270" spans="2:15" hidden="1" x14ac:dyDescent="0.3">
      <c r="B1270">
        <v>4868551</v>
      </c>
      <c r="C1270" t="s">
        <v>231</v>
      </c>
      <c r="D1270">
        <v>22674</v>
      </c>
      <c r="E1270" t="s">
        <v>150</v>
      </c>
      <c r="F1270" t="s">
        <v>369</v>
      </c>
      <c r="G1270" s="28">
        <v>14</v>
      </c>
      <c r="H1270" s="32">
        <v>7.63</v>
      </c>
      <c r="I1270" s="32">
        <v>771.42</v>
      </c>
      <c r="J1270" t="s">
        <v>239</v>
      </c>
      <c r="K1270" t="s">
        <v>245</v>
      </c>
      <c r="L1270" t="s">
        <v>235</v>
      </c>
      <c r="M1270" t="s">
        <v>236</v>
      </c>
      <c r="N1270" t="s">
        <v>240</v>
      </c>
      <c r="O1270" s="27">
        <v>46063</v>
      </c>
    </row>
    <row r="1271" spans="2:15" hidden="1" x14ac:dyDescent="0.3">
      <c r="B1271">
        <v>357627</v>
      </c>
      <c r="C1271" t="s">
        <v>231</v>
      </c>
      <c r="D1271">
        <v>72444</v>
      </c>
      <c r="E1271" t="s">
        <v>150</v>
      </c>
      <c r="F1271" t="s">
        <v>246</v>
      </c>
      <c r="G1271" s="28">
        <v>35</v>
      </c>
      <c r="H1271" s="32">
        <v>7.63</v>
      </c>
      <c r="I1271" s="32">
        <v>1293.04</v>
      </c>
      <c r="J1271" t="s">
        <v>239</v>
      </c>
      <c r="K1271" t="s">
        <v>245</v>
      </c>
      <c r="L1271" t="s">
        <v>235</v>
      </c>
      <c r="M1271" t="s">
        <v>236</v>
      </c>
      <c r="N1271" t="s">
        <v>240</v>
      </c>
      <c r="O1271" s="27">
        <v>46055</v>
      </c>
    </row>
    <row r="1272" spans="2:15" hidden="1" x14ac:dyDescent="0.3">
      <c r="B1272">
        <v>74468</v>
      </c>
      <c r="C1272" t="s">
        <v>260</v>
      </c>
      <c r="D1272">
        <v>69519</v>
      </c>
      <c r="E1272" t="s">
        <v>150</v>
      </c>
      <c r="F1272" t="s">
        <v>325</v>
      </c>
      <c r="G1272" s="28">
        <v>92</v>
      </c>
      <c r="H1272" s="32">
        <v>7.63</v>
      </c>
      <c r="I1272" s="32">
        <v>796.94</v>
      </c>
      <c r="J1272" t="s">
        <v>267</v>
      </c>
      <c r="K1272" t="s">
        <v>245</v>
      </c>
      <c r="L1272" t="s">
        <v>235</v>
      </c>
      <c r="M1272" t="s">
        <v>236</v>
      </c>
      <c r="N1272" t="s">
        <v>240</v>
      </c>
      <c r="O1272" s="27">
        <v>46063</v>
      </c>
    </row>
    <row r="1273" spans="2:15" hidden="1" x14ac:dyDescent="0.3">
      <c r="B1273">
        <v>14471054</v>
      </c>
      <c r="C1273" t="s">
        <v>260</v>
      </c>
      <c r="D1273">
        <v>72444</v>
      </c>
      <c r="E1273" t="s">
        <v>150</v>
      </c>
      <c r="F1273" t="s">
        <v>282</v>
      </c>
      <c r="G1273" s="28">
        <v>11</v>
      </c>
      <c r="H1273" s="32">
        <v>7.62</v>
      </c>
      <c r="I1273" s="32">
        <v>559.47</v>
      </c>
      <c r="J1273" t="s">
        <v>239</v>
      </c>
      <c r="K1273" t="s">
        <v>245</v>
      </c>
      <c r="L1273" t="s">
        <v>235</v>
      </c>
      <c r="M1273" t="s">
        <v>236</v>
      </c>
      <c r="N1273" t="s">
        <v>240</v>
      </c>
      <c r="O1273" s="27">
        <v>46055</v>
      </c>
    </row>
    <row r="1274" spans="2:15" hidden="1" x14ac:dyDescent="0.3">
      <c r="B1274">
        <v>4951803</v>
      </c>
      <c r="C1274" t="s">
        <v>231</v>
      </c>
      <c r="D1274">
        <v>38517</v>
      </c>
      <c r="E1274" t="s">
        <v>150</v>
      </c>
      <c r="F1274" t="s">
        <v>271</v>
      </c>
      <c r="G1274" s="28">
        <v>57</v>
      </c>
      <c r="H1274" s="32">
        <v>7.59</v>
      </c>
      <c r="I1274" s="32">
        <v>1006.41</v>
      </c>
      <c r="J1274" t="s">
        <v>239</v>
      </c>
      <c r="K1274" t="s">
        <v>245</v>
      </c>
      <c r="L1274" t="s">
        <v>235</v>
      </c>
      <c r="M1274" t="s">
        <v>236</v>
      </c>
      <c r="N1274" t="s">
        <v>237</v>
      </c>
      <c r="O1274" s="27">
        <v>46055</v>
      </c>
    </row>
    <row r="1275" spans="2:15" hidden="1" x14ac:dyDescent="0.3">
      <c r="B1275">
        <v>750270</v>
      </c>
      <c r="C1275" t="s">
        <v>231</v>
      </c>
      <c r="D1275">
        <v>22674</v>
      </c>
      <c r="E1275" t="s">
        <v>150</v>
      </c>
      <c r="F1275" t="s">
        <v>381</v>
      </c>
      <c r="G1275" s="28">
        <v>81</v>
      </c>
      <c r="H1275" s="32">
        <v>7.58</v>
      </c>
      <c r="I1275" s="32">
        <v>1289.99</v>
      </c>
      <c r="J1275" t="s">
        <v>330</v>
      </c>
      <c r="K1275" t="s">
        <v>234</v>
      </c>
      <c r="L1275" t="s">
        <v>235</v>
      </c>
      <c r="M1275" t="s">
        <v>236</v>
      </c>
      <c r="N1275" t="s">
        <v>237</v>
      </c>
      <c r="O1275" s="27">
        <v>46065</v>
      </c>
    </row>
    <row r="1276" spans="2:15" hidden="1" x14ac:dyDescent="0.3">
      <c r="B1276">
        <v>74468</v>
      </c>
      <c r="C1276" t="s">
        <v>260</v>
      </c>
      <c r="D1276">
        <v>69519</v>
      </c>
      <c r="E1276" t="s">
        <v>150</v>
      </c>
      <c r="F1276" t="s">
        <v>339</v>
      </c>
      <c r="G1276" s="28">
        <v>51</v>
      </c>
      <c r="H1276" s="32">
        <v>7.56</v>
      </c>
      <c r="I1276" s="32">
        <v>4061.37</v>
      </c>
      <c r="J1276" t="s">
        <v>267</v>
      </c>
      <c r="K1276" t="s">
        <v>245</v>
      </c>
      <c r="L1276" t="s">
        <v>235</v>
      </c>
      <c r="M1276" t="s">
        <v>236</v>
      </c>
      <c r="N1276" t="s">
        <v>237</v>
      </c>
      <c r="O1276" s="27">
        <v>46063</v>
      </c>
    </row>
    <row r="1277" spans="2:15" hidden="1" x14ac:dyDescent="0.3">
      <c r="B1277">
        <v>17005725</v>
      </c>
      <c r="C1277" t="s">
        <v>260</v>
      </c>
      <c r="D1277">
        <v>22674</v>
      </c>
      <c r="E1277" t="s">
        <v>150</v>
      </c>
      <c r="F1277" t="s">
        <v>282</v>
      </c>
      <c r="G1277" s="28">
        <v>22</v>
      </c>
      <c r="H1277" s="32">
        <v>7.55</v>
      </c>
      <c r="I1277" s="32">
        <v>1123.7</v>
      </c>
      <c r="J1277" t="s">
        <v>239</v>
      </c>
      <c r="K1277" t="s">
        <v>245</v>
      </c>
      <c r="L1277" t="s">
        <v>235</v>
      </c>
      <c r="M1277" t="s">
        <v>236</v>
      </c>
      <c r="N1277" t="s">
        <v>240</v>
      </c>
      <c r="O1277" s="27">
        <v>46063</v>
      </c>
    </row>
    <row r="1278" spans="2:15" hidden="1" x14ac:dyDescent="0.3">
      <c r="B1278">
        <v>2033851</v>
      </c>
      <c r="C1278" t="s">
        <v>231</v>
      </c>
      <c r="D1278">
        <v>24415</v>
      </c>
      <c r="E1278" t="s">
        <v>150</v>
      </c>
      <c r="F1278" t="s">
        <v>358</v>
      </c>
      <c r="G1278" s="28">
        <v>31</v>
      </c>
      <c r="H1278" s="32">
        <v>7.54</v>
      </c>
      <c r="I1278" s="32">
        <v>1273.9100000000001</v>
      </c>
      <c r="J1278" t="s">
        <v>330</v>
      </c>
      <c r="K1278" t="s">
        <v>245</v>
      </c>
      <c r="L1278" t="s">
        <v>235</v>
      </c>
      <c r="M1278" t="s">
        <v>236</v>
      </c>
      <c r="N1278" t="s">
        <v>237</v>
      </c>
      <c r="O1278" s="27">
        <v>46072</v>
      </c>
    </row>
    <row r="1279" spans="2:15" hidden="1" x14ac:dyDescent="0.3">
      <c r="B1279">
        <v>310157</v>
      </c>
      <c r="C1279" t="s">
        <v>231</v>
      </c>
      <c r="D1279">
        <v>68542</v>
      </c>
      <c r="E1279" t="s">
        <v>150</v>
      </c>
      <c r="F1279" t="s">
        <v>373</v>
      </c>
      <c r="G1279" s="28">
        <v>82</v>
      </c>
      <c r="H1279" s="32">
        <v>7.54</v>
      </c>
      <c r="I1279" s="32">
        <v>809.39</v>
      </c>
      <c r="J1279" t="s">
        <v>267</v>
      </c>
      <c r="K1279" t="s">
        <v>245</v>
      </c>
      <c r="L1279" t="s">
        <v>235</v>
      </c>
      <c r="M1279" t="s">
        <v>236</v>
      </c>
      <c r="N1279" t="s">
        <v>237</v>
      </c>
      <c r="O1279" s="27">
        <v>46057</v>
      </c>
    </row>
    <row r="1280" spans="2:15" hidden="1" x14ac:dyDescent="0.3">
      <c r="B1280">
        <v>3255792</v>
      </c>
      <c r="C1280" t="s">
        <v>231</v>
      </c>
      <c r="D1280">
        <v>71881</v>
      </c>
      <c r="E1280" t="s">
        <v>150</v>
      </c>
      <c r="F1280" t="s">
        <v>298</v>
      </c>
      <c r="G1280" s="28">
        <v>34</v>
      </c>
      <c r="H1280" s="32">
        <v>7.53</v>
      </c>
      <c r="I1280" s="32">
        <v>558.17999999999995</v>
      </c>
      <c r="J1280" t="s">
        <v>239</v>
      </c>
      <c r="K1280" t="s">
        <v>245</v>
      </c>
      <c r="L1280" t="s">
        <v>235</v>
      </c>
      <c r="M1280" t="s">
        <v>236</v>
      </c>
      <c r="N1280" t="s">
        <v>237</v>
      </c>
      <c r="O1280" s="27">
        <v>46055</v>
      </c>
    </row>
    <row r="1281" spans="2:15" hidden="1" x14ac:dyDescent="0.3">
      <c r="B1281">
        <v>4951803</v>
      </c>
      <c r="C1281" t="s">
        <v>231</v>
      </c>
      <c r="D1281">
        <v>38517</v>
      </c>
      <c r="E1281" t="s">
        <v>150</v>
      </c>
      <c r="F1281" t="s">
        <v>276</v>
      </c>
      <c r="G1281" s="28">
        <v>33</v>
      </c>
      <c r="H1281" s="32">
        <v>7.53</v>
      </c>
      <c r="I1281" s="32">
        <v>999.13</v>
      </c>
      <c r="J1281" t="s">
        <v>239</v>
      </c>
      <c r="K1281" t="s">
        <v>245</v>
      </c>
      <c r="L1281" t="s">
        <v>235</v>
      </c>
      <c r="M1281" t="s">
        <v>236</v>
      </c>
      <c r="N1281" t="s">
        <v>237</v>
      </c>
      <c r="O1281" s="27">
        <v>46055</v>
      </c>
    </row>
    <row r="1282" spans="2:15" hidden="1" x14ac:dyDescent="0.3">
      <c r="B1282">
        <v>4089266</v>
      </c>
      <c r="C1282" t="s">
        <v>260</v>
      </c>
      <c r="D1282">
        <v>22674</v>
      </c>
      <c r="E1282" t="s">
        <v>150</v>
      </c>
      <c r="F1282" t="s">
        <v>287</v>
      </c>
      <c r="G1282" s="28">
        <v>36</v>
      </c>
      <c r="H1282" s="32">
        <v>7.53</v>
      </c>
      <c r="I1282" s="32">
        <v>1124.57</v>
      </c>
      <c r="J1282" t="s">
        <v>239</v>
      </c>
      <c r="K1282" t="s">
        <v>245</v>
      </c>
      <c r="L1282" t="s">
        <v>235</v>
      </c>
      <c r="M1282" t="s">
        <v>236</v>
      </c>
      <c r="N1282" t="s">
        <v>237</v>
      </c>
      <c r="O1282" s="27">
        <v>46072</v>
      </c>
    </row>
    <row r="1283" spans="2:15" hidden="1" x14ac:dyDescent="0.3">
      <c r="B1283">
        <v>4072213</v>
      </c>
      <c r="C1283" t="s">
        <v>231</v>
      </c>
      <c r="D1283">
        <v>22674</v>
      </c>
      <c r="E1283" t="s">
        <v>150</v>
      </c>
      <c r="F1283" t="s">
        <v>369</v>
      </c>
      <c r="G1283" s="28">
        <v>14</v>
      </c>
      <c r="H1283" s="32">
        <v>7.52</v>
      </c>
      <c r="I1283" s="32">
        <v>771.42</v>
      </c>
      <c r="J1283" t="s">
        <v>239</v>
      </c>
      <c r="K1283" t="s">
        <v>245</v>
      </c>
      <c r="L1283" t="s">
        <v>235</v>
      </c>
      <c r="M1283" t="s">
        <v>236</v>
      </c>
      <c r="N1283" t="s">
        <v>240</v>
      </c>
      <c r="O1283" s="27">
        <v>46063</v>
      </c>
    </row>
    <row r="1284" spans="2:15" hidden="1" x14ac:dyDescent="0.3">
      <c r="B1284">
        <v>8781959</v>
      </c>
      <c r="C1284" t="s">
        <v>231</v>
      </c>
      <c r="D1284">
        <v>72444</v>
      </c>
      <c r="E1284" t="s">
        <v>150</v>
      </c>
      <c r="F1284" t="s">
        <v>164</v>
      </c>
      <c r="G1284" s="28">
        <v>17</v>
      </c>
      <c r="H1284" s="32">
        <v>7.52</v>
      </c>
      <c r="I1284" s="32">
        <v>779.16</v>
      </c>
      <c r="J1284" t="s">
        <v>239</v>
      </c>
      <c r="K1284" t="s">
        <v>245</v>
      </c>
      <c r="L1284" t="s">
        <v>235</v>
      </c>
      <c r="M1284" t="s">
        <v>236</v>
      </c>
      <c r="N1284" t="s">
        <v>240</v>
      </c>
      <c r="O1284" s="27">
        <v>46055</v>
      </c>
    </row>
    <row r="1285" spans="2:15" hidden="1" x14ac:dyDescent="0.3">
      <c r="B1285">
        <v>575946</v>
      </c>
      <c r="C1285" t="s">
        <v>231</v>
      </c>
      <c r="D1285">
        <v>25619</v>
      </c>
      <c r="E1285" t="s">
        <v>150</v>
      </c>
      <c r="F1285" t="s">
        <v>276</v>
      </c>
      <c r="G1285" s="28">
        <v>41</v>
      </c>
      <c r="H1285" s="32">
        <v>7.49</v>
      </c>
      <c r="I1285" s="32">
        <v>1241.1099999999999</v>
      </c>
      <c r="J1285" t="s">
        <v>239</v>
      </c>
      <c r="K1285" t="s">
        <v>245</v>
      </c>
      <c r="L1285" t="s">
        <v>235</v>
      </c>
      <c r="M1285" t="s">
        <v>236</v>
      </c>
      <c r="N1285" t="s">
        <v>240</v>
      </c>
      <c r="O1285" s="27">
        <v>46055</v>
      </c>
    </row>
    <row r="1286" spans="2:15" hidden="1" x14ac:dyDescent="0.3">
      <c r="B1286">
        <v>15083827</v>
      </c>
      <c r="C1286" t="s">
        <v>260</v>
      </c>
      <c r="D1286">
        <v>69493</v>
      </c>
      <c r="E1286" t="s">
        <v>150</v>
      </c>
      <c r="F1286" t="s">
        <v>282</v>
      </c>
      <c r="G1286" s="28">
        <v>22</v>
      </c>
      <c r="H1286" s="32">
        <v>7.48</v>
      </c>
      <c r="I1286" s="32">
        <v>1123.7</v>
      </c>
      <c r="J1286" t="s">
        <v>239</v>
      </c>
      <c r="K1286" t="s">
        <v>245</v>
      </c>
      <c r="L1286" t="s">
        <v>235</v>
      </c>
      <c r="M1286" t="s">
        <v>236</v>
      </c>
      <c r="N1286" t="s">
        <v>240</v>
      </c>
      <c r="O1286" s="27">
        <v>46063</v>
      </c>
    </row>
    <row r="1287" spans="2:15" hidden="1" x14ac:dyDescent="0.3">
      <c r="B1287">
        <v>11010432</v>
      </c>
      <c r="C1287" t="s">
        <v>231</v>
      </c>
      <c r="D1287">
        <v>25619</v>
      </c>
      <c r="E1287" t="s">
        <v>150</v>
      </c>
      <c r="F1287" t="s">
        <v>163</v>
      </c>
      <c r="G1287" s="28">
        <v>34</v>
      </c>
      <c r="H1287" s="32">
        <v>7.47</v>
      </c>
      <c r="I1287" s="32">
        <v>474.67</v>
      </c>
      <c r="J1287" t="s">
        <v>239</v>
      </c>
      <c r="K1287" t="s">
        <v>245</v>
      </c>
      <c r="L1287" t="s">
        <v>235</v>
      </c>
      <c r="M1287" t="s">
        <v>236</v>
      </c>
      <c r="N1287" t="s">
        <v>237</v>
      </c>
      <c r="O1287" s="27">
        <v>46063</v>
      </c>
    </row>
    <row r="1288" spans="2:15" hidden="1" x14ac:dyDescent="0.3">
      <c r="B1288">
        <v>18731282</v>
      </c>
      <c r="C1288" t="s">
        <v>231</v>
      </c>
      <c r="D1288">
        <v>40901</v>
      </c>
      <c r="E1288" t="s">
        <v>150</v>
      </c>
      <c r="F1288" t="s">
        <v>422</v>
      </c>
      <c r="G1288" s="28">
        <v>76</v>
      </c>
      <c r="H1288" s="32">
        <v>7.47</v>
      </c>
      <c r="I1288" s="32">
        <v>1374.22</v>
      </c>
      <c r="J1288" t="s">
        <v>239</v>
      </c>
      <c r="K1288" t="s">
        <v>245</v>
      </c>
      <c r="L1288" t="s">
        <v>235</v>
      </c>
      <c r="M1288" t="s">
        <v>236</v>
      </c>
      <c r="N1288" t="s">
        <v>240</v>
      </c>
      <c r="O1288" s="27">
        <v>46055</v>
      </c>
    </row>
    <row r="1289" spans="2:15" hidden="1" x14ac:dyDescent="0.3">
      <c r="B1289">
        <v>4535206</v>
      </c>
      <c r="C1289" t="s">
        <v>231</v>
      </c>
      <c r="D1289">
        <v>68542</v>
      </c>
      <c r="E1289" t="s">
        <v>150</v>
      </c>
      <c r="F1289" t="s">
        <v>263</v>
      </c>
      <c r="G1289" s="28">
        <v>36</v>
      </c>
      <c r="H1289" s="32">
        <v>7.46</v>
      </c>
      <c r="I1289" s="32">
        <v>497.64</v>
      </c>
      <c r="J1289" t="s">
        <v>239</v>
      </c>
      <c r="K1289" t="s">
        <v>245</v>
      </c>
      <c r="L1289" t="s">
        <v>235</v>
      </c>
      <c r="M1289" t="s">
        <v>236</v>
      </c>
      <c r="N1289" t="s">
        <v>240</v>
      </c>
      <c r="O1289" s="27">
        <v>46055</v>
      </c>
    </row>
    <row r="1290" spans="2:15" hidden="1" x14ac:dyDescent="0.3">
      <c r="B1290">
        <v>3548394</v>
      </c>
      <c r="C1290" t="s">
        <v>260</v>
      </c>
      <c r="D1290">
        <v>25104</v>
      </c>
      <c r="E1290" t="s">
        <v>150</v>
      </c>
      <c r="F1290" t="s">
        <v>301</v>
      </c>
      <c r="G1290" s="28">
        <v>108</v>
      </c>
      <c r="H1290" s="32">
        <v>7.46</v>
      </c>
      <c r="I1290" s="32">
        <v>874.18</v>
      </c>
      <c r="J1290" t="s">
        <v>267</v>
      </c>
      <c r="K1290" t="s">
        <v>245</v>
      </c>
      <c r="L1290" t="s">
        <v>235</v>
      </c>
      <c r="M1290" t="s">
        <v>236</v>
      </c>
      <c r="N1290" t="s">
        <v>237</v>
      </c>
      <c r="O1290" s="27">
        <v>46057</v>
      </c>
    </row>
    <row r="1291" spans="2:15" hidden="1" x14ac:dyDescent="0.3">
      <c r="B1291">
        <v>18805586</v>
      </c>
      <c r="C1291" t="s">
        <v>260</v>
      </c>
      <c r="D1291">
        <v>23410</v>
      </c>
      <c r="E1291" t="s">
        <v>150</v>
      </c>
      <c r="F1291" t="s">
        <v>282</v>
      </c>
      <c r="G1291" s="28">
        <v>22</v>
      </c>
      <c r="H1291" s="32">
        <v>7.46</v>
      </c>
      <c r="I1291" s="32">
        <v>1123.7</v>
      </c>
      <c r="J1291" t="s">
        <v>239</v>
      </c>
      <c r="K1291" t="s">
        <v>245</v>
      </c>
      <c r="L1291" t="s">
        <v>235</v>
      </c>
      <c r="M1291" t="s">
        <v>236</v>
      </c>
      <c r="N1291" t="s">
        <v>240</v>
      </c>
      <c r="O1291" s="27">
        <v>46063</v>
      </c>
    </row>
    <row r="1292" spans="2:15" hidden="1" x14ac:dyDescent="0.3">
      <c r="B1292">
        <v>4951803</v>
      </c>
      <c r="C1292" t="s">
        <v>231</v>
      </c>
      <c r="D1292">
        <v>38517</v>
      </c>
      <c r="E1292" t="s">
        <v>150</v>
      </c>
      <c r="F1292" t="s">
        <v>289</v>
      </c>
      <c r="G1292" s="28">
        <v>46</v>
      </c>
      <c r="H1292" s="32">
        <v>7.45</v>
      </c>
      <c r="I1292" s="32">
        <v>988.35</v>
      </c>
      <c r="J1292" t="s">
        <v>239</v>
      </c>
      <c r="K1292" t="s">
        <v>245</v>
      </c>
      <c r="L1292" t="s">
        <v>235</v>
      </c>
      <c r="M1292" t="s">
        <v>236</v>
      </c>
      <c r="N1292" t="s">
        <v>237</v>
      </c>
      <c r="O1292" s="27">
        <v>46055</v>
      </c>
    </row>
    <row r="1293" spans="2:15" hidden="1" x14ac:dyDescent="0.3">
      <c r="B1293">
        <v>5751194</v>
      </c>
      <c r="C1293" t="s">
        <v>260</v>
      </c>
      <c r="D1293">
        <v>25104</v>
      </c>
      <c r="E1293" t="s">
        <v>150</v>
      </c>
      <c r="F1293" t="s">
        <v>329</v>
      </c>
      <c r="G1293" s="28">
        <v>20</v>
      </c>
      <c r="H1293" s="32">
        <v>7.42</v>
      </c>
      <c r="I1293" s="32">
        <v>1782.78</v>
      </c>
      <c r="J1293" t="s">
        <v>330</v>
      </c>
      <c r="K1293" t="s">
        <v>234</v>
      </c>
      <c r="L1293" t="s">
        <v>235</v>
      </c>
      <c r="M1293" t="s">
        <v>236</v>
      </c>
      <c r="N1293" t="s">
        <v>240</v>
      </c>
      <c r="O1293" s="27">
        <v>46064</v>
      </c>
    </row>
    <row r="1294" spans="2:15" hidden="1" x14ac:dyDescent="0.3">
      <c r="B1294">
        <v>15389148</v>
      </c>
      <c r="C1294" t="s">
        <v>260</v>
      </c>
      <c r="D1294">
        <v>40901</v>
      </c>
      <c r="E1294" t="s">
        <v>150</v>
      </c>
      <c r="F1294" t="s">
        <v>289</v>
      </c>
      <c r="G1294" s="28">
        <v>20</v>
      </c>
      <c r="H1294" s="32">
        <v>7.39</v>
      </c>
      <c r="I1294" s="32">
        <v>429.72</v>
      </c>
      <c r="J1294" t="s">
        <v>239</v>
      </c>
      <c r="K1294" t="s">
        <v>245</v>
      </c>
      <c r="L1294" t="s">
        <v>235</v>
      </c>
      <c r="M1294" t="s">
        <v>236</v>
      </c>
      <c r="N1294" t="s">
        <v>237</v>
      </c>
      <c r="O1294" s="27">
        <v>46055</v>
      </c>
    </row>
    <row r="1295" spans="2:15" hidden="1" x14ac:dyDescent="0.3">
      <c r="B1295">
        <v>366105</v>
      </c>
      <c r="C1295" t="s">
        <v>231</v>
      </c>
      <c r="D1295">
        <v>69519</v>
      </c>
      <c r="E1295" t="s">
        <v>150</v>
      </c>
      <c r="F1295" t="s">
        <v>371</v>
      </c>
      <c r="G1295" s="28">
        <v>95</v>
      </c>
      <c r="H1295" s="32">
        <v>7.38</v>
      </c>
      <c r="I1295" s="32">
        <v>881.72</v>
      </c>
      <c r="J1295" t="s">
        <v>267</v>
      </c>
      <c r="K1295" t="s">
        <v>245</v>
      </c>
      <c r="L1295" t="s">
        <v>235</v>
      </c>
      <c r="M1295" t="s">
        <v>236</v>
      </c>
      <c r="N1295" t="s">
        <v>240</v>
      </c>
      <c r="O1295" s="27">
        <v>46063</v>
      </c>
    </row>
    <row r="1296" spans="2:15" hidden="1" x14ac:dyDescent="0.3">
      <c r="B1296">
        <v>2538267</v>
      </c>
      <c r="C1296" t="s">
        <v>231</v>
      </c>
      <c r="D1296">
        <v>69579</v>
      </c>
      <c r="E1296" t="s">
        <v>150</v>
      </c>
      <c r="F1296" t="s">
        <v>277</v>
      </c>
      <c r="G1296" s="28">
        <v>37</v>
      </c>
      <c r="H1296" s="32">
        <v>7.36</v>
      </c>
      <c r="I1296" s="32">
        <v>1342.55</v>
      </c>
      <c r="J1296" t="s">
        <v>239</v>
      </c>
      <c r="K1296" t="s">
        <v>245</v>
      </c>
      <c r="L1296" t="s">
        <v>235</v>
      </c>
      <c r="M1296" t="s">
        <v>236</v>
      </c>
      <c r="N1296" t="s">
        <v>237</v>
      </c>
      <c r="O1296" s="27">
        <v>46055</v>
      </c>
    </row>
    <row r="1297" spans="2:15" hidden="1" x14ac:dyDescent="0.3">
      <c r="B1297">
        <v>3270381</v>
      </c>
      <c r="C1297" t="s">
        <v>260</v>
      </c>
      <c r="D1297">
        <v>21559</v>
      </c>
      <c r="E1297" t="s">
        <v>150</v>
      </c>
      <c r="F1297" t="s">
        <v>386</v>
      </c>
      <c r="G1297" s="28">
        <v>9</v>
      </c>
      <c r="H1297" s="32">
        <v>7.36</v>
      </c>
      <c r="I1297" s="32">
        <v>884.28</v>
      </c>
      <c r="J1297" t="s">
        <v>267</v>
      </c>
      <c r="K1297" t="s">
        <v>245</v>
      </c>
      <c r="L1297" t="s">
        <v>235</v>
      </c>
      <c r="M1297" t="s">
        <v>236</v>
      </c>
      <c r="N1297" t="s">
        <v>237</v>
      </c>
      <c r="O1297" s="27">
        <v>46057</v>
      </c>
    </row>
    <row r="1298" spans="2:15" hidden="1" x14ac:dyDescent="0.3">
      <c r="B1298">
        <v>6978173</v>
      </c>
      <c r="C1298" t="s">
        <v>231</v>
      </c>
      <c r="D1298">
        <v>38517</v>
      </c>
      <c r="E1298" t="s">
        <v>150</v>
      </c>
      <c r="F1298" t="s">
        <v>271</v>
      </c>
      <c r="G1298" s="28">
        <v>57</v>
      </c>
      <c r="H1298" s="32">
        <v>7.35</v>
      </c>
      <c r="I1298" s="32">
        <v>1006.41</v>
      </c>
      <c r="J1298" t="s">
        <v>239</v>
      </c>
      <c r="K1298" t="s">
        <v>245</v>
      </c>
      <c r="L1298" t="s">
        <v>235</v>
      </c>
      <c r="M1298" t="s">
        <v>236</v>
      </c>
      <c r="N1298" t="s">
        <v>237</v>
      </c>
      <c r="O1298" s="27">
        <v>46055</v>
      </c>
    </row>
    <row r="1299" spans="2:15" hidden="1" x14ac:dyDescent="0.3">
      <c r="B1299">
        <v>293951</v>
      </c>
      <c r="C1299" t="s">
        <v>231</v>
      </c>
      <c r="D1299">
        <v>25619</v>
      </c>
      <c r="E1299" t="s">
        <v>150</v>
      </c>
      <c r="F1299" t="s">
        <v>246</v>
      </c>
      <c r="G1299" s="28">
        <v>23</v>
      </c>
      <c r="H1299" s="32">
        <v>7.35</v>
      </c>
      <c r="I1299" s="32">
        <v>854.38</v>
      </c>
      <c r="J1299" t="s">
        <v>239</v>
      </c>
      <c r="K1299" t="s">
        <v>245</v>
      </c>
      <c r="L1299" t="s">
        <v>235</v>
      </c>
      <c r="M1299" t="s">
        <v>236</v>
      </c>
      <c r="N1299" t="s">
        <v>237</v>
      </c>
      <c r="O1299" s="27">
        <v>46063</v>
      </c>
    </row>
    <row r="1300" spans="2:15" hidden="1" x14ac:dyDescent="0.3">
      <c r="B1300">
        <v>3911170</v>
      </c>
      <c r="C1300" t="s">
        <v>231</v>
      </c>
      <c r="D1300">
        <v>21468</v>
      </c>
      <c r="E1300" t="s">
        <v>150</v>
      </c>
      <c r="F1300" t="s">
        <v>282</v>
      </c>
      <c r="G1300" s="28">
        <v>21</v>
      </c>
      <c r="H1300" s="32">
        <v>7.34</v>
      </c>
      <c r="I1300" s="32">
        <v>1072.6300000000001</v>
      </c>
      <c r="J1300" t="s">
        <v>239</v>
      </c>
      <c r="K1300" t="s">
        <v>245</v>
      </c>
      <c r="L1300" t="s">
        <v>235</v>
      </c>
      <c r="M1300" t="s">
        <v>236</v>
      </c>
      <c r="N1300" t="s">
        <v>240</v>
      </c>
      <c r="O1300" s="27">
        <v>46063</v>
      </c>
    </row>
    <row r="1301" spans="2:15" hidden="1" x14ac:dyDescent="0.3">
      <c r="B1301">
        <v>18797810</v>
      </c>
      <c r="C1301" t="s">
        <v>231</v>
      </c>
      <c r="D1301">
        <v>74304</v>
      </c>
      <c r="E1301" t="s">
        <v>150</v>
      </c>
      <c r="F1301" t="s">
        <v>164</v>
      </c>
      <c r="G1301" s="28">
        <v>35</v>
      </c>
      <c r="H1301" s="32">
        <v>7.31</v>
      </c>
      <c r="I1301" s="32">
        <v>1701.35</v>
      </c>
      <c r="J1301" t="s">
        <v>239</v>
      </c>
      <c r="K1301" t="s">
        <v>245</v>
      </c>
      <c r="L1301" t="s">
        <v>235</v>
      </c>
      <c r="M1301" t="s">
        <v>236</v>
      </c>
      <c r="N1301" t="s">
        <v>240</v>
      </c>
      <c r="O1301" s="27">
        <v>46063</v>
      </c>
    </row>
    <row r="1302" spans="2:15" x14ac:dyDescent="0.3">
      <c r="B1302">
        <v>3105908</v>
      </c>
      <c r="C1302" t="s">
        <v>231</v>
      </c>
      <c r="D1302">
        <v>22103</v>
      </c>
      <c r="E1302" t="s">
        <v>150</v>
      </c>
      <c r="F1302" t="s">
        <v>282</v>
      </c>
      <c r="G1302" s="28">
        <v>19</v>
      </c>
      <c r="H1302" s="32">
        <v>7.3</v>
      </c>
      <c r="I1302" s="32">
        <v>970.46</v>
      </c>
      <c r="J1302" t="s">
        <v>239</v>
      </c>
      <c r="K1302" t="s">
        <v>245</v>
      </c>
      <c r="L1302" t="s">
        <v>235</v>
      </c>
      <c r="M1302" t="s">
        <v>236</v>
      </c>
      <c r="N1302" t="s">
        <v>240</v>
      </c>
      <c r="O1302" s="27">
        <v>46063</v>
      </c>
    </row>
    <row r="1303" spans="2:15" hidden="1" x14ac:dyDescent="0.3">
      <c r="B1303">
        <v>8218280</v>
      </c>
      <c r="C1303" t="s">
        <v>260</v>
      </c>
      <c r="D1303">
        <v>21559</v>
      </c>
      <c r="E1303" t="s">
        <v>150</v>
      </c>
      <c r="F1303" t="s">
        <v>298</v>
      </c>
      <c r="G1303" s="28">
        <v>15</v>
      </c>
      <c r="H1303" s="32">
        <v>7.3</v>
      </c>
      <c r="I1303" s="32">
        <v>261.17</v>
      </c>
      <c r="J1303" t="s">
        <v>239</v>
      </c>
      <c r="K1303" t="s">
        <v>245</v>
      </c>
      <c r="L1303" t="s">
        <v>235</v>
      </c>
      <c r="M1303" t="s">
        <v>236</v>
      </c>
      <c r="N1303" t="s">
        <v>237</v>
      </c>
      <c r="O1303" s="27">
        <v>46063</v>
      </c>
    </row>
    <row r="1304" spans="2:15" hidden="1" x14ac:dyDescent="0.3">
      <c r="B1304">
        <v>4951803</v>
      </c>
      <c r="C1304" t="s">
        <v>231</v>
      </c>
      <c r="D1304">
        <v>38517</v>
      </c>
      <c r="E1304" t="s">
        <v>150</v>
      </c>
      <c r="F1304" t="s">
        <v>263</v>
      </c>
      <c r="G1304" s="28">
        <v>70</v>
      </c>
      <c r="H1304" s="32">
        <v>7.29</v>
      </c>
      <c r="I1304" s="32">
        <v>967.34</v>
      </c>
      <c r="J1304" t="s">
        <v>239</v>
      </c>
      <c r="K1304" t="s">
        <v>245</v>
      </c>
      <c r="L1304" t="s">
        <v>235</v>
      </c>
      <c r="M1304" t="s">
        <v>236</v>
      </c>
      <c r="N1304" t="s">
        <v>237</v>
      </c>
      <c r="O1304" s="27">
        <v>46055</v>
      </c>
    </row>
    <row r="1305" spans="2:15" hidden="1" x14ac:dyDescent="0.3">
      <c r="B1305">
        <v>2802178</v>
      </c>
      <c r="C1305" t="s">
        <v>260</v>
      </c>
      <c r="D1305">
        <v>72444</v>
      </c>
      <c r="E1305" t="s">
        <v>150</v>
      </c>
      <c r="F1305" t="s">
        <v>369</v>
      </c>
      <c r="G1305" s="28">
        <v>9</v>
      </c>
      <c r="H1305" s="32">
        <v>7.29</v>
      </c>
      <c r="I1305" s="32">
        <v>465.18</v>
      </c>
      <c r="J1305" t="s">
        <v>239</v>
      </c>
      <c r="K1305" t="s">
        <v>245</v>
      </c>
      <c r="L1305" t="s">
        <v>235</v>
      </c>
      <c r="M1305" t="s">
        <v>236</v>
      </c>
      <c r="N1305" t="s">
        <v>240</v>
      </c>
      <c r="O1305" s="27">
        <v>46055</v>
      </c>
    </row>
    <row r="1306" spans="2:15" hidden="1" x14ac:dyDescent="0.3">
      <c r="B1306">
        <v>3413995</v>
      </c>
      <c r="C1306" t="s">
        <v>231</v>
      </c>
      <c r="D1306">
        <v>22674</v>
      </c>
      <c r="E1306" t="s">
        <v>150</v>
      </c>
      <c r="F1306" t="s">
        <v>298</v>
      </c>
      <c r="G1306" s="28">
        <v>32</v>
      </c>
      <c r="H1306" s="32">
        <v>7.26</v>
      </c>
      <c r="I1306" s="32">
        <v>525.35</v>
      </c>
      <c r="J1306" t="s">
        <v>239</v>
      </c>
      <c r="K1306" t="s">
        <v>245</v>
      </c>
      <c r="L1306" t="s">
        <v>235</v>
      </c>
      <c r="M1306" t="s">
        <v>236</v>
      </c>
      <c r="N1306" t="s">
        <v>237</v>
      </c>
      <c r="O1306" s="27">
        <v>46055</v>
      </c>
    </row>
    <row r="1307" spans="2:15" hidden="1" x14ac:dyDescent="0.3">
      <c r="B1307">
        <v>8781959</v>
      </c>
      <c r="C1307" t="s">
        <v>231</v>
      </c>
      <c r="D1307">
        <v>72444</v>
      </c>
      <c r="E1307" t="s">
        <v>150</v>
      </c>
      <c r="F1307" t="s">
        <v>282</v>
      </c>
      <c r="G1307" s="28">
        <v>27</v>
      </c>
      <c r="H1307" s="32">
        <v>7.26</v>
      </c>
      <c r="I1307" s="32">
        <v>1379.22</v>
      </c>
      <c r="J1307" t="s">
        <v>239</v>
      </c>
      <c r="K1307" t="s">
        <v>245</v>
      </c>
      <c r="L1307" t="s">
        <v>235</v>
      </c>
      <c r="M1307" t="s">
        <v>236</v>
      </c>
      <c r="N1307" t="s">
        <v>240</v>
      </c>
      <c r="O1307" s="27">
        <v>46063</v>
      </c>
    </row>
    <row r="1308" spans="2:15" hidden="1" x14ac:dyDescent="0.3">
      <c r="B1308">
        <v>4842372</v>
      </c>
      <c r="C1308" t="s">
        <v>260</v>
      </c>
      <c r="D1308">
        <v>23648</v>
      </c>
      <c r="E1308" t="s">
        <v>150</v>
      </c>
      <c r="F1308" t="s">
        <v>298</v>
      </c>
      <c r="G1308" s="28">
        <v>32</v>
      </c>
      <c r="H1308" s="32">
        <v>7.26</v>
      </c>
      <c r="I1308" s="32">
        <v>525.35</v>
      </c>
      <c r="J1308" t="s">
        <v>239</v>
      </c>
      <c r="K1308" t="s">
        <v>245</v>
      </c>
      <c r="L1308" t="s">
        <v>235</v>
      </c>
      <c r="M1308" t="s">
        <v>236</v>
      </c>
      <c r="N1308" t="s">
        <v>237</v>
      </c>
      <c r="O1308" s="27">
        <v>46055</v>
      </c>
    </row>
    <row r="1309" spans="2:15" hidden="1" x14ac:dyDescent="0.3">
      <c r="B1309">
        <v>4333412</v>
      </c>
      <c r="C1309" t="s">
        <v>231</v>
      </c>
      <c r="D1309">
        <v>69579</v>
      </c>
      <c r="E1309" t="s">
        <v>150</v>
      </c>
      <c r="F1309" t="s">
        <v>298</v>
      </c>
      <c r="G1309" s="28">
        <v>18</v>
      </c>
      <c r="H1309" s="32">
        <v>7.25</v>
      </c>
      <c r="I1309" s="32">
        <v>313.44</v>
      </c>
      <c r="J1309" t="s">
        <v>239</v>
      </c>
      <c r="K1309" t="s">
        <v>245</v>
      </c>
      <c r="L1309" t="s">
        <v>235</v>
      </c>
      <c r="M1309" t="s">
        <v>236</v>
      </c>
      <c r="N1309" t="s">
        <v>237</v>
      </c>
      <c r="O1309" s="27">
        <v>46063</v>
      </c>
    </row>
    <row r="1310" spans="2:15" hidden="1" x14ac:dyDescent="0.3">
      <c r="B1310">
        <v>18731282</v>
      </c>
      <c r="C1310" t="s">
        <v>231</v>
      </c>
      <c r="D1310">
        <v>40901</v>
      </c>
      <c r="E1310" t="s">
        <v>150</v>
      </c>
      <c r="F1310" t="s">
        <v>282</v>
      </c>
      <c r="G1310" s="28">
        <v>21</v>
      </c>
      <c r="H1310" s="32">
        <v>7.25</v>
      </c>
      <c r="I1310" s="32">
        <v>1072.6300000000001</v>
      </c>
      <c r="J1310" t="s">
        <v>239</v>
      </c>
      <c r="K1310" t="s">
        <v>245</v>
      </c>
      <c r="L1310" t="s">
        <v>235</v>
      </c>
      <c r="M1310" t="s">
        <v>236</v>
      </c>
      <c r="N1310" t="s">
        <v>240</v>
      </c>
      <c r="O1310" s="27">
        <v>46063</v>
      </c>
    </row>
    <row r="1311" spans="2:15" hidden="1" x14ac:dyDescent="0.3">
      <c r="B1311">
        <v>4951803</v>
      </c>
      <c r="C1311" t="s">
        <v>231</v>
      </c>
      <c r="D1311">
        <v>38517</v>
      </c>
      <c r="E1311" t="s">
        <v>150</v>
      </c>
      <c r="F1311" t="s">
        <v>164</v>
      </c>
      <c r="G1311" s="28">
        <v>21</v>
      </c>
      <c r="H1311" s="32">
        <v>7.25</v>
      </c>
      <c r="I1311" s="32">
        <v>962.43</v>
      </c>
      <c r="J1311" t="s">
        <v>239</v>
      </c>
      <c r="K1311" t="s">
        <v>245</v>
      </c>
      <c r="L1311" t="s">
        <v>235</v>
      </c>
      <c r="M1311" t="s">
        <v>236</v>
      </c>
      <c r="N1311" t="s">
        <v>237</v>
      </c>
      <c r="O1311" s="27">
        <v>46055</v>
      </c>
    </row>
    <row r="1312" spans="2:15" hidden="1" x14ac:dyDescent="0.3">
      <c r="B1312">
        <v>2412490</v>
      </c>
      <c r="C1312" t="s">
        <v>231</v>
      </c>
      <c r="D1312">
        <v>71881</v>
      </c>
      <c r="E1312" t="s">
        <v>150</v>
      </c>
      <c r="F1312" t="s">
        <v>361</v>
      </c>
      <c r="G1312" s="28">
        <v>22</v>
      </c>
      <c r="H1312" s="32">
        <v>7.25</v>
      </c>
      <c r="I1312" s="32">
        <v>823.24</v>
      </c>
      <c r="J1312" t="s">
        <v>330</v>
      </c>
      <c r="K1312" t="s">
        <v>234</v>
      </c>
      <c r="L1312" t="s">
        <v>235</v>
      </c>
      <c r="M1312" t="s">
        <v>236</v>
      </c>
      <c r="N1312" t="s">
        <v>237</v>
      </c>
      <c r="O1312" s="27">
        <v>46057</v>
      </c>
    </row>
    <row r="1313" spans="2:15" hidden="1" x14ac:dyDescent="0.3">
      <c r="B1313">
        <v>4951803</v>
      </c>
      <c r="C1313" t="s">
        <v>231</v>
      </c>
      <c r="D1313">
        <v>38517</v>
      </c>
      <c r="E1313" t="s">
        <v>150</v>
      </c>
      <c r="F1313" t="s">
        <v>246</v>
      </c>
      <c r="G1313" s="28">
        <v>26</v>
      </c>
      <c r="H1313" s="32">
        <v>7.24</v>
      </c>
      <c r="I1313" s="32">
        <v>960.66</v>
      </c>
      <c r="J1313" t="s">
        <v>239</v>
      </c>
      <c r="K1313" t="s">
        <v>245</v>
      </c>
      <c r="L1313" t="s">
        <v>235</v>
      </c>
      <c r="M1313" t="s">
        <v>236</v>
      </c>
      <c r="N1313" t="s">
        <v>237</v>
      </c>
      <c r="O1313" s="27">
        <v>46055</v>
      </c>
    </row>
    <row r="1314" spans="2:15" hidden="1" x14ac:dyDescent="0.3">
      <c r="B1314">
        <v>2191869</v>
      </c>
      <c r="C1314" t="s">
        <v>260</v>
      </c>
      <c r="D1314">
        <v>49894</v>
      </c>
      <c r="E1314" t="s">
        <v>150</v>
      </c>
      <c r="F1314" t="s">
        <v>423</v>
      </c>
      <c r="G1314" s="28">
        <v>43</v>
      </c>
      <c r="H1314" s="32">
        <v>7.22</v>
      </c>
      <c r="I1314" s="32">
        <v>1305.1400000000001</v>
      </c>
      <c r="J1314" t="s">
        <v>330</v>
      </c>
      <c r="K1314" t="s">
        <v>245</v>
      </c>
      <c r="L1314" t="s">
        <v>235</v>
      </c>
      <c r="M1314" t="s">
        <v>236</v>
      </c>
      <c r="N1314" t="s">
        <v>237</v>
      </c>
      <c r="O1314" s="27">
        <v>46056</v>
      </c>
    </row>
    <row r="1315" spans="2:15" hidden="1" x14ac:dyDescent="0.3">
      <c r="B1315">
        <v>16951176</v>
      </c>
      <c r="C1315" t="s">
        <v>231</v>
      </c>
      <c r="D1315">
        <v>49894</v>
      </c>
      <c r="E1315" t="s">
        <v>150</v>
      </c>
      <c r="F1315" t="s">
        <v>423</v>
      </c>
      <c r="G1315" s="28">
        <v>53</v>
      </c>
      <c r="H1315" s="32">
        <v>7.21</v>
      </c>
      <c r="I1315" s="32">
        <v>1608.68</v>
      </c>
      <c r="J1315" t="s">
        <v>330</v>
      </c>
      <c r="K1315" t="s">
        <v>245</v>
      </c>
      <c r="L1315" t="s">
        <v>235</v>
      </c>
      <c r="M1315" t="s">
        <v>236</v>
      </c>
      <c r="N1315" t="s">
        <v>237</v>
      </c>
      <c r="O1315" s="27">
        <v>46056</v>
      </c>
    </row>
    <row r="1316" spans="2:15" hidden="1" x14ac:dyDescent="0.3">
      <c r="B1316">
        <v>12629468</v>
      </c>
      <c r="C1316" t="s">
        <v>260</v>
      </c>
      <c r="D1316">
        <v>40901</v>
      </c>
      <c r="E1316" t="s">
        <v>150</v>
      </c>
      <c r="F1316" t="s">
        <v>298</v>
      </c>
      <c r="G1316" s="28">
        <v>18</v>
      </c>
      <c r="H1316" s="32">
        <v>7.21</v>
      </c>
      <c r="I1316" s="32">
        <v>313.44</v>
      </c>
      <c r="J1316" t="s">
        <v>239</v>
      </c>
      <c r="K1316" t="s">
        <v>245</v>
      </c>
      <c r="L1316" t="s">
        <v>235</v>
      </c>
      <c r="M1316" t="s">
        <v>236</v>
      </c>
      <c r="N1316" t="s">
        <v>237</v>
      </c>
      <c r="O1316" s="27">
        <v>46063</v>
      </c>
    </row>
    <row r="1317" spans="2:15" hidden="1" x14ac:dyDescent="0.3">
      <c r="B1317">
        <v>2190399</v>
      </c>
      <c r="C1317" t="s">
        <v>231</v>
      </c>
      <c r="D1317">
        <v>68542</v>
      </c>
      <c r="E1317" t="s">
        <v>150</v>
      </c>
      <c r="F1317" t="s">
        <v>258</v>
      </c>
      <c r="G1317" s="28">
        <v>38</v>
      </c>
      <c r="H1317" s="32">
        <v>7.18</v>
      </c>
      <c r="I1317" s="32">
        <v>410.92</v>
      </c>
      <c r="J1317" t="s">
        <v>239</v>
      </c>
      <c r="K1317" t="s">
        <v>245</v>
      </c>
      <c r="L1317" t="s">
        <v>235</v>
      </c>
      <c r="M1317" t="s">
        <v>236</v>
      </c>
      <c r="N1317" t="s">
        <v>240</v>
      </c>
      <c r="O1317" s="27">
        <v>46055</v>
      </c>
    </row>
    <row r="1318" spans="2:15" x14ac:dyDescent="0.3">
      <c r="B1318">
        <v>79379</v>
      </c>
      <c r="C1318" t="s">
        <v>260</v>
      </c>
      <c r="D1318">
        <v>22103</v>
      </c>
      <c r="E1318" t="s">
        <v>150</v>
      </c>
      <c r="F1318" t="s">
        <v>298</v>
      </c>
      <c r="G1318" s="28">
        <v>18</v>
      </c>
      <c r="H1318" s="32">
        <v>7.14</v>
      </c>
      <c r="I1318" s="32">
        <v>313.44</v>
      </c>
      <c r="J1318" t="s">
        <v>239</v>
      </c>
      <c r="K1318" t="s">
        <v>245</v>
      </c>
      <c r="L1318" t="s">
        <v>235</v>
      </c>
      <c r="M1318" t="s">
        <v>236</v>
      </c>
      <c r="N1318" t="s">
        <v>237</v>
      </c>
      <c r="O1318" s="27">
        <v>46063</v>
      </c>
    </row>
    <row r="1319" spans="2:15" hidden="1" x14ac:dyDescent="0.3">
      <c r="B1319">
        <v>293951</v>
      </c>
      <c r="C1319" t="s">
        <v>231</v>
      </c>
      <c r="D1319">
        <v>25619</v>
      </c>
      <c r="E1319" t="s">
        <v>150</v>
      </c>
      <c r="F1319" t="s">
        <v>163</v>
      </c>
      <c r="G1319" s="28">
        <v>33</v>
      </c>
      <c r="H1319" s="32">
        <v>7.13</v>
      </c>
      <c r="I1319" s="32">
        <v>460.73</v>
      </c>
      <c r="J1319" t="s">
        <v>239</v>
      </c>
      <c r="K1319" t="s">
        <v>245</v>
      </c>
      <c r="L1319" t="s">
        <v>235</v>
      </c>
      <c r="M1319" t="s">
        <v>236</v>
      </c>
      <c r="N1319" t="s">
        <v>237</v>
      </c>
      <c r="O1319" s="27">
        <v>46063</v>
      </c>
    </row>
    <row r="1320" spans="2:15" hidden="1" x14ac:dyDescent="0.3">
      <c r="B1320">
        <v>4375042</v>
      </c>
      <c r="C1320" t="s">
        <v>231</v>
      </c>
      <c r="D1320">
        <v>25619</v>
      </c>
      <c r="E1320" t="s">
        <v>150</v>
      </c>
      <c r="F1320" t="s">
        <v>338</v>
      </c>
      <c r="G1320" s="28">
        <v>22</v>
      </c>
      <c r="H1320" s="32">
        <v>7.12</v>
      </c>
      <c r="I1320" s="32">
        <v>1434.1</v>
      </c>
      <c r="J1320" t="s">
        <v>239</v>
      </c>
      <c r="K1320" t="s">
        <v>245</v>
      </c>
      <c r="L1320" t="s">
        <v>235</v>
      </c>
      <c r="M1320" t="s">
        <v>236</v>
      </c>
      <c r="N1320" t="s">
        <v>237</v>
      </c>
      <c r="O1320" s="27">
        <v>46072</v>
      </c>
    </row>
    <row r="1321" spans="2:15" hidden="1" x14ac:dyDescent="0.3">
      <c r="B1321">
        <v>3055824</v>
      </c>
      <c r="C1321" t="s">
        <v>231</v>
      </c>
      <c r="D1321">
        <v>96553</v>
      </c>
      <c r="E1321" t="s">
        <v>150</v>
      </c>
      <c r="F1321" t="s">
        <v>163</v>
      </c>
      <c r="G1321" s="28">
        <v>30</v>
      </c>
      <c r="H1321" s="32">
        <v>7.11</v>
      </c>
      <c r="I1321" s="32">
        <v>418.83</v>
      </c>
      <c r="J1321" t="s">
        <v>239</v>
      </c>
      <c r="K1321" t="s">
        <v>245</v>
      </c>
      <c r="L1321" t="s">
        <v>235</v>
      </c>
      <c r="M1321" t="s">
        <v>236</v>
      </c>
      <c r="N1321" t="s">
        <v>237</v>
      </c>
      <c r="O1321" s="27">
        <v>46063</v>
      </c>
    </row>
    <row r="1322" spans="2:15" hidden="1" x14ac:dyDescent="0.3">
      <c r="B1322">
        <v>2190399</v>
      </c>
      <c r="C1322" t="s">
        <v>231</v>
      </c>
      <c r="D1322">
        <v>68542</v>
      </c>
      <c r="E1322" t="s">
        <v>150</v>
      </c>
      <c r="F1322" t="s">
        <v>289</v>
      </c>
      <c r="G1322" s="28">
        <v>19</v>
      </c>
      <c r="H1322" s="32">
        <v>7.1</v>
      </c>
      <c r="I1322" s="32">
        <v>408.23</v>
      </c>
      <c r="J1322" t="s">
        <v>239</v>
      </c>
      <c r="K1322" t="s">
        <v>245</v>
      </c>
      <c r="L1322" t="s">
        <v>235</v>
      </c>
      <c r="M1322" t="s">
        <v>236</v>
      </c>
      <c r="N1322" t="s">
        <v>237</v>
      </c>
      <c r="O1322" s="27">
        <v>46055</v>
      </c>
    </row>
    <row r="1323" spans="2:15" hidden="1" x14ac:dyDescent="0.3">
      <c r="B1323">
        <v>7088256</v>
      </c>
      <c r="C1323" t="s">
        <v>231</v>
      </c>
      <c r="D1323">
        <v>96553</v>
      </c>
      <c r="E1323" t="s">
        <v>150</v>
      </c>
      <c r="F1323" t="s">
        <v>246</v>
      </c>
      <c r="G1323" s="28">
        <v>22</v>
      </c>
      <c r="H1323" s="32">
        <v>7.1</v>
      </c>
      <c r="I1323" s="32">
        <v>817.29</v>
      </c>
      <c r="J1323" t="s">
        <v>239</v>
      </c>
      <c r="K1323" t="s">
        <v>245</v>
      </c>
      <c r="L1323" t="s">
        <v>235</v>
      </c>
      <c r="M1323" t="s">
        <v>236</v>
      </c>
      <c r="N1323" t="s">
        <v>237</v>
      </c>
      <c r="O1323" s="27">
        <v>46063</v>
      </c>
    </row>
    <row r="1324" spans="2:15" hidden="1" x14ac:dyDescent="0.3">
      <c r="B1324">
        <v>18731282</v>
      </c>
      <c r="C1324" t="s">
        <v>231</v>
      </c>
      <c r="D1324">
        <v>40901</v>
      </c>
      <c r="E1324" t="s">
        <v>150</v>
      </c>
      <c r="F1324" t="s">
        <v>412</v>
      </c>
      <c r="G1324" s="28">
        <v>46</v>
      </c>
      <c r="H1324" s="32">
        <v>7.08</v>
      </c>
      <c r="I1324" s="32">
        <v>1301.67</v>
      </c>
      <c r="J1324" t="s">
        <v>239</v>
      </c>
      <c r="K1324" t="s">
        <v>245</v>
      </c>
      <c r="L1324" t="s">
        <v>235</v>
      </c>
      <c r="M1324" t="s">
        <v>236</v>
      </c>
      <c r="N1324" t="s">
        <v>240</v>
      </c>
      <c r="O1324" s="27">
        <v>46055</v>
      </c>
    </row>
    <row r="1325" spans="2:15" hidden="1" x14ac:dyDescent="0.3">
      <c r="B1325">
        <v>17920388</v>
      </c>
      <c r="C1325" t="s">
        <v>231</v>
      </c>
      <c r="D1325">
        <v>40901</v>
      </c>
      <c r="E1325" t="s">
        <v>150</v>
      </c>
      <c r="F1325" t="s">
        <v>298</v>
      </c>
      <c r="G1325" s="28">
        <v>18</v>
      </c>
      <c r="H1325" s="32">
        <v>7.07</v>
      </c>
      <c r="I1325" s="32">
        <v>313.44</v>
      </c>
      <c r="J1325" t="s">
        <v>239</v>
      </c>
      <c r="K1325" t="s">
        <v>245</v>
      </c>
      <c r="L1325" t="s">
        <v>235</v>
      </c>
      <c r="M1325" t="s">
        <v>236</v>
      </c>
      <c r="N1325" t="s">
        <v>237</v>
      </c>
      <c r="O1325" s="27">
        <v>46063</v>
      </c>
    </row>
    <row r="1326" spans="2:15" hidden="1" x14ac:dyDescent="0.3">
      <c r="B1326">
        <v>8781959</v>
      </c>
      <c r="C1326" t="s">
        <v>231</v>
      </c>
      <c r="D1326">
        <v>72444</v>
      </c>
      <c r="E1326" t="s">
        <v>150</v>
      </c>
      <c r="F1326" t="s">
        <v>163</v>
      </c>
      <c r="G1326" s="28">
        <v>56</v>
      </c>
      <c r="H1326" s="32">
        <v>7.07</v>
      </c>
      <c r="I1326" s="32">
        <v>737.76</v>
      </c>
      <c r="J1326" t="s">
        <v>239</v>
      </c>
      <c r="K1326" t="s">
        <v>245</v>
      </c>
      <c r="L1326" t="s">
        <v>235</v>
      </c>
      <c r="M1326" t="s">
        <v>236</v>
      </c>
      <c r="N1326" t="s">
        <v>237</v>
      </c>
      <c r="O1326" s="27">
        <v>46055</v>
      </c>
    </row>
    <row r="1327" spans="2:15" hidden="1" x14ac:dyDescent="0.3">
      <c r="B1327">
        <v>2973255</v>
      </c>
      <c r="C1327" t="s">
        <v>260</v>
      </c>
      <c r="D1327">
        <v>69519</v>
      </c>
      <c r="E1327" t="s">
        <v>150</v>
      </c>
      <c r="F1327" t="s">
        <v>371</v>
      </c>
      <c r="G1327" s="28">
        <v>92</v>
      </c>
      <c r="H1327" s="32">
        <v>7.07</v>
      </c>
      <c r="I1327" s="32">
        <v>853.89</v>
      </c>
      <c r="J1327" t="s">
        <v>267</v>
      </c>
      <c r="K1327" t="s">
        <v>245</v>
      </c>
      <c r="L1327" t="s">
        <v>235</v>
      </c>
      <c r="M1327" t="s">
        <v>236</v>
      </c>
      <c r="N1327" t="s">
        <v>240</v>
      </c>
      <c r="O1327" s="27">
        <v>46063</v>
      </c>
    </row>
    <row r="1328" spans="2:15" hidden="1" x14ac:dyDescent="0.3">
      <c r="B1328">
        <v>6304689</v>
      </c>
      <c r="C1328" t="s">
        <v>231</v>
      </c>
      <c r="D1328">
        <v>25619</v>
      </c>
      <c r="E1328" t="s">
        <v>150</v>
      </c>
      <c r="F1328" t="s">
        <v>163</v>
      </c>
      <c r="G1328" s="28">
        <v>20</v>
      </c>
      <c r="H1328" s="32">
        <v>7.06</v>
      </c>
      <c r="I1328" s="32">
        <v>279.22000000000003</v>
      </c>
      <c r="J1328" t="s">
        <v>239</v>
      </c>
      <c r="K1328" t="s">
        <v>245</v>
      </c>
      <c r="L1328" t="s">
        <v>235</v>
      </c>
      <c r="M1328" t="s">
        <v>236</v>
      </c>
      <c r="N1328" t="s">
        <v>237</v>
      </c>
      <c r="O1328" s="27">
        <v>46063</v>
      </c>
    </row>
    <row r="1329" spans="2:15" hidden="1" x14ac:dyDescent="0.3">
      <c r="B1329">
        <v>6468519</v>
      </c>
      <c r="C1329" t="s">
        <v>231</v>
      </c>
      <c r="D1329">
        <v>72444</v>
      </c>
      <c r="E1329" t="s">
        <v>150</v>
      </c>
      <c r="F1329" t="s">
        <v>277</v>
      </c>
      <c r="G1329" s="28">
        <v>29</v>
      </c>
      <c r="H1329" s="32">
        <v>7.06</v>
      </c>
      <c r="I1329" s="32">
        <v>1054.33</v>
      </c>
      <c r="J1329" t="s">
        <v>239</v>
      </c>
      <c r="K1329" t="s">
        <v>245</v>
      </c>
      <c r="L1329" t="s">
        <v>235</v>
      </c>
      <c r="M1329" t="s">
        <v>236</v>
      </c>
      <c r="N1329" t="s">
        <v>237</v>
      </c>
      <c r="O1329" s="27">
        <v>46055</v>
      </c>
    </row>
    <row r="1330" spans="2:15" hidden="1" x14ac:dyDescent="0.3">
      <c r="B1330">
        <v>3322497</v>
      </c>
      <c r="C1330" t="s">
        <v>231</v>
      </c>
      <c r="D1330">
        <v>40901</v>
      </c>
      <c r="E1330" t="s">
        <v>150</v>
      </c>
      <c r="F1330" t="s">
        <v>306</v>
      </c>
      <c r="G1330" s="28">
        <v>88</v>
      </c>
      <c r="H1330" s="32">
        <v>7.05</v>
      </c>
      <c r="I1330" s="32">
        <v>787.22</v>
      </c>
      <c r="J1330" t="s">
        <v>267</v>
      </c>
      <c r="K1330" t="s">
        <v>245</v>
      </c>
      <c r="L1330" t="s">
        <v>235</v>
      </c>
      <c r="M1330" t="s">
        <v>236</v>
      </c>
      <c r="N1330" t="s">
        <v>240</v>
      </c>
      <c r="O1330" s="27">
        <v>46055</v>
      </c>
    </row>
    <row r="1331" spans="2:15" hidden="1" x14ac:dyDescent="0.3">
      <c r="B1331">
        <v>4951803</v>
      </c>
      <c r="C1331" t="s">
        <v>231</v>
      </c>
      <c r="D1331">
        <v>38517</v>
      </c>
      <c r="E1331" t="s">
        <v>150</v>
      </c>
      <c r="F1331" t="s">
        <v>160</v>
      </c>
      <c r="G1331" s="28">
        <v>11</v>
      </c>
      <c r="H1331" s="32">
        <v>7.04</v>
      </c>
      <c r="I1331" s="32">
        <v>933.38</v>
      </c>
      <c r="J1331" t="s">
        <v>239</v>
      </c>
      <c r="K1331" t="s">
        <v>245</v>
      </c>
      <c r="L1331" t="s">
        <v>235</v>
      </c>
      <c r="M1331" t="s">
        <v>236</v>
      </c>
      <c r="N1331" t="s">
        <v>237</v>
      </c>
      <c r="O1331" s="27">
        <v>46055</v>
      </c>
    </row>
    <row r="1332" spans="2:15" hidden="1" x14ac:dyDescent="0.3">
      <c r="B1332">
        <v>3413995</v>
      </c>
      <c r="C1332" t="s">
        <v>231</v>
      </c>
      <c r="D1332">
        <v>22674</v>
      </c>
      <c r="E1332" t="s">
        <v>150</v>
      </c>
      <c r="F1332" t="s">
        <v>282</v>
      </c>
      <c r="G1332" s="28">
        <v>10</v>
      </c>
      <c r="H1332" s="32">
        <v>7.03</v>
      </c>
      <c r="I1332" s="32">
        <v>508.61</v>
      </c>
      <c r="J1332" t="s">
        <v>239</v>
      </c>
      <c r="K1332" t="s">
        <v>245</v>
      </c>
      <c r="L1332" t="s">
        <v>235</v>
      </c>
      <c r="M1332" t="s">
        <v>236</v>
      </c>
      <c r="N1332" t="s">
        <v>240</v>
      </c>
      <c r="O1332" s="27">
        <v>46055</v>
      </c>
    </row>
    <row r="1333" spans="2:15" hidden="1" x14ac:dyDescent="0.3">
      <c r="B1333">
        <v>2033851</v>
      </c>
      <c r="C1333" t="s">
        <v>231</v>
      </c>
      <c r="D1333">
        <v>24415</v>
      </c>
      <c r="E1333" t="s">
        <v>150</v>
      </c>
      <c r="F1333" t="s">
        <v>262</v>
      </c>
      <c r="G1333" s="28">
        <v>9</v>
      </c>
      <c r="H1333" s="32">
        <v>7.03</v>
      </c>
      <c r="I1333" s="32">
        <v>1187.6300000000001</v>
      </c>
      <c r="J1333" t="s">
        <v>256</v>
      </c>
      <c r="K1333" t="s">
        <v>245</v>
      </c>
      <c r="L1333" t="s">
        <v>235</v>
      </c>
      <c r="M1333" t="s">
        <v>236</v>
      </c>
      <c r="N1333" t="s">
        <v>237</v>
      </c>
      <c r="O1333" s="27">
        <v>46072</v>
      </c>
    </row>
    <row r="1334" spans="2:15" hidden="1" x14ac:dyDescent="0.3">
      <c r="B1334">
        <v>4842372</v>
      </c>
      <c r="C1334" t="s">
        <v>260</v>
      </c>
      <c r="D1334">
        <v>23648</v>
      </c>
      <c r="E1334" t="s">
        <v>150</v>
      </c>
      <c r="F1334" t="s">
        <v>282</v>
      </c>
      <c r="G1334" s="28">
        <v>10</v>
      </c>
      <c r="H1334" s="32">
        <v>7.03</v>
      </c>
      <c r="I1334" s="32">
        <v>508.61</v>
      </c>
      <c r="J1334" t="s">
        <v>239</v>
      </c>
      <c r="K1334" t="s">
        <v>245</v>
      </c>
      <c r="L1334" t="s">
        <v>235</v>
      </c>
      <c r="M1334" t="s">
        <v>236</v>
      </c>
      <c r="N1334" t="s">
        <v>240</v>
      </c>
      <c r="O1334" s="27">
        <v>46055</v>
      </c>
    </row>
    <row r="1335" spans="2:15" hidden="1" x14ac:dyDescent="0.3">
      <c r="B1335">
        <v>15389148</v>
      </c>
      <c r="C1335" t="s">
        <v>260</v>
      </c>
      <c r="D1335">
        <v>40901</v>
      </c>
      <c r="E1335" t="s">
        <v>150</v>
      </c>
      <c r="F1335" t="s">
        <v>258</v>
      </c>
      <c r="G1335" s="28">
        <v>38</v>
      </c>
      <c r="H1335" s="32">
        <v>7.03</v>
      </c>
      <c r="I1335" s="32">
        <v>410.92</v>
      </c>
      <c r="J1335" t="s">
        <v>239</v>
      </c>
      <c r="K1335" t="s">
        <v>245</v>
      </c>
      <c r="L1335" t="s">
        <v>235</v>
      </c>
      <c r="M1335" t="s">
        <v>236</v>
      </c>
      <c r="N1335" t="s">
        <v>240</v>
      </c>
      <c r="O1335" s="27">
        <v>46055</v>
      </c>
    </row>
    <row r="1336" spans="2:15" x14ac:dyDescent="0.3">
      <c r="B1336">
        <v>17711901</v>
      </c>
      <c r="C1336" t="s">
        <v>260</v>
      </c>
      <c r="D1336">
        <v>22103</v>
      </c>
      <c r="E1336" t="s">
        <v>150</v>
      </c>
      <c r="F1336" t="s">
        <v>163</v>
      </c>
      <c r="G1336" s="28">
        <v>30</v>
      </c>
      <c r="H1336" s="32">
        <v>7.01</v>
      </c>
      <c r="I1336" s="32">
        <v>418.83</v>
      </c>
      <c r="J1336" t="s">
        <v>239</v>
      </c>
      <c r="K1336" t="s">
        <v>245</v>
      </c>
      <c r="L1336" t="s">
        <v>235</v>
      </c>
      <c r="M1336" t="s">
        <v>236</v>
      </c>
      <c r="N1336" t="s">
        <v>237</v>
      </c>
      <c r="O1336" s="27">
        <v>46063</v>
      </c>
    </row>
    <row r="1337" spans="2:15" hidden="1" x14ac:dyDescent="0.3">
      <c r="B1337">
        <v>3274546</v>
      </c>
      <c r="C1337" t="s">
        <v>260</v>
      </c>
      <c r="D1337">
        <v>22674</v>
      </c>
      <c r="E1337" t="s">
        <v>150</v>
      </c>
      <c r="F1337" t="s">
        <v>160</v>
      </c>
      <c r="G1337" s="28">
        <v>29</v>
      </c>
      <c r="H1337" s="32">
        <v>7.01</v>
      </c>
      <c r="I1337" s="32">
        <v>2526.3200000000002</v>
      </c>
      <c r="J1337" t="s">
        <v>239</v>
      </c>
      <c r="K1337" t="s">
        <v>245</v>
      </c>
      <c r="L1337" t="s">
        <v>235</v>
      </c>
      <c r="M1337" t="s">
        <v>236</v>
      </c>
      <c r="N1337" t="s">
        <v>237</v>
      </c>
      <c r="O1337" s="27">
        <v>46063</v>
      </c>
    </row>
    <row r="1338" spans="2:15" hidden="1" x14ac:dyDescent="0.3">
      <c r="B1338">
        <v>8841219</v>
      </c>
      <c r="C1338" t="s">
        <v>231</v>
      </c>
      <c r="D1338">
        <v>21468</v>
      </c>
      <c r="E1338" t="s">
        <v>150</v>
      </c>
      <c r="F1338" t="s">
        <v>298</v>
      </c>
      <c r="G1338" s="28">
        <v>17</v>
      </c>
      <c r="H1338" s="32">
        <v>7</v>
      </c>
      <c r="I1338" s="32">
        <v>296</v>
      </c>
      <c r="J1338" t="s">
        <v>239</v>
      </c>
      <c r="K1338" t="s">
        <v>245</v>
      </c>
      <c r="L1338" t="s">
        <v>235</v>
      </c>
      <c r="M1338" t="s">
        <v>236</v>
      </c>
      <c r="N1338" t="s">
        <v>237</v>
      </c>
      <c r="O1338" s="27">
        <v>46063</v>
      </c>
    </row>
    <row r="1339" spans="2:15" hidden="1" x14ac:dyDescent="0.3">
      <c r="B1339">
        <v>245239</v>
      </c>
      <c r="C1339" t="s">
        <v>231</v>
      </c>
      <c r="D1339">
        <v>21468</v>
      </c>
      <c r="E1339" t="s">
        <v>150</v>
      </c>
      <c r="F1339" t="s">
        <v>246</v>
      </c>
      <c r="G1339" s="28">
        <v>18</v>
      </c>
      <c r="H1339" s="32">
        <v>6.98</v>
      </c>
      <c r="I1339" s="32">
        <v>665.11</v>
      </c>
      <c r="J1339" t="s">
        <v>239</v>
      </c>
      <c r="K1339" t="s">
        <v>245</v>
      </c>
      <c r="L1339" t="s">
        <v>235</v>
      </c>
      <c r="M1339" t="s">
        <v>236</v>
      </c>
      <c r="N1339" t="s">
        <v>237</v>
      </c>
      <c r="O1339" s="27">
        <v>46055</v>
      </c>
    </row>
    <row r="1340" spans="2:15" hidden="1" x14ac:dyDescent="0.3">
      <c r="B1340">
        <v>7088256</v>
      </c>
      <c r="C1340" t="s">
        <v>231</v>
      </c>
      <c r="D1340">
        <v>96553</v>
      </c>
      <c r="E1340" t="s">
        <v>150</v>
      </c>
      <c r="F1340" t="s">
        <v>282</v>
      </c>
      <c r="G1340" s="28">
        <v>18</v>
      </c>
      <c r="H1340" s="32">
        <v>6.97</v>
      </c>
      <c r="I1340" s="32">
        <v>919.44</v>
      </c>
      <c r="J1340" t="s">
        <v>239</v>
      </c>
      <c r="K1340" t="s">
        <v>245</v>
      </c>
      <c r="L1340" t="s">
        <v>235</v>
      </c>
      <c r="M1340" t="s">
        <v>236</v>
      </c>
      <c r="N1340" t="s">
        <v>240</v>
      </c>
      <c r="O1340" s="27">
        <v>46063</v>
      </c>
    </row>
    <row r="1341" spans="2:15" hidden="1" x14ac:dyDescent="0.3">
      <c r="B1341">
        <v>3247420</v>
      </c>
      <c r="C1341" t="s">
        <v>231</v>
      </c>
      <c r="D1341">
        <v>23410</v>
      </c>
      <c r="E1341" t="s">
        <v>150</v>
      </c>
      <c r="F1341" t="s">
        <v>282</v>
      </c>
      <c r="G1341" s="28">
        <v>19</v>
      </c>
      <c r="H1341" s="32">
        <v>6.96</v>
      </c>
      <c r="I1341" s="32">
        <v>970.46</v>
      </c>
      <c r="J1341" t="s">
        <v>239</v>
      </c>
      <c r="K1341" t="s">
        <v>245</v>
      </c>
      <c r="L1341" t="s">
        <v>235</v>
      </c>
      <c r="M1341" t="s">
        <v>236</v>
      </c>
      <c r="N1341" t="s">
        <v>240</v>
      </c>
      <c r="O1341" s="27">
        <v>46063</v>
      </c>
    </row>
    <row r="1342" spans="2:15" hidden="1" x14ac:dyDescent="0.3">
      <c r="B1342">
        <v>16284979</v>
      </c>
      <c r="C1342" t="s">
        <v>231</v>
      </c>
      <c r="D1342">
        <v>25619</v>
      </c>
      <c r="E1342" t="s">
        <v>150</v>
      </c>
      <c r="F1342" t="s">
        <v>282</v>
      </c>
      <c r="G1342" s="28">
        <v>19</v>
      </c>
      <c r="H1342" s="32">
        <v>6.95</v>
      </c>
      <c r="I1342" s="32">
        <v>970.46</v>
      </c>
      <c r="J1342" t="s">
        <v>239</v>
      </c>
      <c r="K1342" t="s">
        <v>245</v>
      </c>
      <c r="L1342" t="s">
        <v>235</v>
      </c>
      <c r="M1342" t="s">
        <v>236</v>
      </c>
      <c r="N1342" t="s">
        <v>240</v>
      </c>
      <c r="O1342" s="27">
        <v>46063</v>
      </c>
    </row>
    <row r="1343" spans="2:15" hidden="1" x14ac:dyDescent="0.3">
      <c r="B1343">
        <v>2569374</v>
      </c>
      <c r="C1343" t="s">
        <v>231</v>
      </c>
      <c r="D1343">
        <v>71997</v>
      </c>
      <c r="E1343" t="s">
        <v>150</v>
      </c>
      <c r="F1343" t="s">
        <v>337</v>
      </c>
      <c r="G1343" s="28">
        <v>41</v>
      </c>
      <c r="H1343" s="32">
        <v>6.94</v>
      </c>
      <c r="I1343" s="32">
        <v>1489.5</v>
      </c>
      <c r="J1343" t="s">
        <v>239</v>
      </c>
      <c r="K1343" t="s">
        <v>245</v>
      </c>
      <c r="L1343" t="s">
        <v>235</v>
      </c>
      <c r="M1343" t="s">
        <v>236</v>
      </c>
      <c r="N1343" t="s">
        <v>237</v>
      </c>
      <c r="O1343" s="27">
        <v>46063</v>
      </c>
    </row>
    <row r="1344" spans="2:15" hidden="1" x14ac:dyDescent="0.3">
      <c r="B1344">
        <v>2051406</v>
      </c>
      <c r="C1344" t="s">
        <v>231</v>
      </c>
      <c r="D1344">
        <v>25104</v>
      </c>
      <c r="E1344" t="s">
        <v>150</v>
      </c>
      <c r="F1344" t="s">
        <v>282</v>
      </c>
      <c r="G1344" s="28">
        <v>12</v>
      </c>
      <c r="H1344" s="32">
        <v>6.93</v>
      </c>
      <c r="I1344" s="32">
        <v>610.33000000000004</v>
      </c>
      <c r="J1344" t="s">
        <v>239</v>
      </c>
      <c r="K1344" t="s">
        <v>245</v>
      </c>
      <c r="L1344" t="s">
        <v>235</v>
      </c>
      <c r="M1344" t="s">
        <v>236</v>
      </c>
      <c r="N1344" t="s">
        <v>240</v>
      </c>
      <c r="O1344" s="27">
        <v>46055</v>
      </c>
    </row>
    <row r="1345" spans="2:15" hidden="1" x14ac:dyDescent="0.3">
      <c r="B1345">
        <v>3593981</v>
      </c>
      <c r="C1345" t="s">
        <v>260</v>
      </c>
      <c r="D1345">
        <v>23648</v>
      </c>
      <c r="E1345" t="s">
        <v>150</v>
      </c>
      <c r="F1345" t="s">
        <v>369</v>
      </c>
      <c r="G1345" s="28">
        <v>8</v>
      </c>
      <c r="H1345" s="32">
        <v>6.92</v>
      </c>
      <c r="I1345" s="32">
        <v>413.49</v>
      </c>
      <c r="J1345" t="s">
        <v>239</v>
      </c>
      <c r="K1345" t="s">
        <v>245</v>
      </c>
      <c r="L1345" t="s">
        <v>235</v>
      </c>
      <c r="M1345" t="s">
        <v>236</v>
      </c>
      <c r="N1345" t="s">
        <v>240</v>
      </c>
      <c r="O1345" s="27">
        <v>46055</v>
      </c>
    </row>
    <row r="1346" spans="2:15" hidden="1" x14ac:dyDescent="0.3">
      <c r="B1346">
        <v>293951</v>
      </c>
      <c r="C1346" t="s">
        <v>231</v>
      </c>
      <c r="D1346">
        <v>25619</v>
      </c>
      <c r="E1346" t="s">
        <v>150</v>
      </c>
      <c r="F1346" t="s">
        <v>282</v>
      </c>
      <c r="G1346" s="28">
        <v>18</v>
      </c>
      <c r="H1346" s="32">
        <v>6.9</v>
      </c>
      <c r="I1346" s="32">
        <v>919.39</v>
      </c>
      <c r="J1346" t="s">
        <v>239</v>
      </c>
      <c r="K1346" t="s">
        <v>245</v>
      </c>
      <c r="L1346" t="s">
        <v>235</v>
      </c>
      <c r="M1346" t="s">
        <v>236</v>
      </c>
      <c r="N1346" t="s">
        <v>240</v>
      </c>
      <c r="O1346" s="27">
        <v>46063</v>
      </c>
    </row>
    <row r="1347" spans="2:15" hidden="1" x14ac:dyDescent="0.3">
      <c r="B1347">
        <v>250134</v>
      </c>
      <c r="C1347" t="s">
        <v>231</v>
      </c>
      <c r="D1347">
        <v>22674</v>
      </c>
      <c r="E1347" t="s">
        <v>150</v>
      </c>
      <c r="F1347" t="s">
        <v>164</v>
      </c>
      <c r="G1347" s="28">
        <v>32</v>
      </c>
      <c r="H1347" s="32">
        <v>6.9</v>
      </c>
      <c r="I1347" s="32">
        <v>1555.26</v>
      </c>
      <c r="J1347" t="s">
        <v>239</v>
      </c>
      <c r="K1347" t="s">
        <v>245</v>
      </c>
      <c r="L1347" t="s">
        <v>235</v>
      </c>
      <c r="M1347" t="s">
        <v>236</v>
      </c>
      <c r="N1347" t="s">
        <v>240</v>
      </c>
      <c r="O1347" s="27">
        <v>46063</v>
      </c>
    </row>
    <row r="1348" spans="2:15" hidden="1" x14ac:dyDescent="0.3">
      <c r="B1348">
        <v>2411460</v>
      </c>
      <c r="C1348" t="s">
        <v>231</v>
      </c>
      <c r="D1348">
        <v>72444</v>
      </c>
      <c r="E1348" t="s">
        <v>150</v>
      </c>
      <c r="F1348" t="s">
        <v>422</v>
      </c>
      <c r="G1348" s="28">
        <v>49</v>
      </c>
      <c r="H1348" s="32">
        <v>6.9</v>
      </c>
      <c r="I1348" s="32">
        <v>886.01</v>
      </c>
      <c r="J1348" t="s">
        <v>239</v>
      </c>
      <c r="K1348" t="s">
        <v>245</v>
      </c>
      <c r="L1348" t="s">
        <v>235</v>
      </c>
      <c r="M1348" t="s">
        <v>236</v>
      </c>
      <c r="N1348" t="s">
        <v>240</v>
      </c>
      <c r="O1348" s="27">
        <v>46055</v>
      </c>
    </row>
    <row r="1349" spans="2:15" hidden="1" x14ac:dyDescent="0.3">
      <c r="B1349">
        <v>4658833</v>
      </c>
      <c r="C1349" t="s">
        <v>260</v>
      </c>
      <c r="D1349">
        <v>38517</v>
      </c>
      <c r="E1349" t="s">
        <v>150</v>
      </c>
      <c r="F1349" t="s">
        <v>282</v>
      </c>
      <c r="G1349" s="28">
        <v>17</v>
      </c>
      <c r="H1349" s="32">
        <v>6.9</v>
      </c>
      <c r="I1349" s="32">
        <v>868.38</v>
      </c>
      <c r="J1349" t="s">
        <v>239</v>
      </c>
      <c r="K1349" t="s">
        <v>245</v>
      </c>
      <c r="L1349" t="s">
        <v>235</v>
      </c>
      <c r="M1349" t="s">
        <v>236</v>
      </c>
      <c r="N1349" t="s">
        <v>240</v>
      </c>
      <c r="O1349" s="27">
        <v>46063</v>
      </c>
    </row>
    <row r="1350" spans="2:15" hidden="1" x14ac:dyDescent="0.3">
      <c r="B1350">
        <v>2632292</v>
      </c>
      <c r="C1350" t="s">
        <v>231</v>
      </c>
      <c r="D1350">
        <v>69519</v>
      </c>
      <c r="E1350" t="s">
        <v>150</v>
      </c>
      <c r="F1350" t="s">
        <v>338</v>
      </c>
      <c r="G1350" s="28">
        <v>19</v>
      </c>
      <c r="H1350" s="32">
        <v>6.88</v>
      </c>
      <c r="I1350" s="32">
        <v>1234.25</v>
      </c>
      <c r="J1350" t="s">
        <v>239</v>
      </c>
      <c r="K1350" t="s">
        <v>245</v>
      </c>
      <c r="L1350" t="s">
        <v>235</v>
      </c>
      <c r="M1350" t="s">
        <v>236</v>
      </c>
      <c r="N1350" t="s">
        <v>237</v>
      </c>
      <c r="O1350" s="27">
        <v>46072</v>
      </c>
    </row>
    <row r="1351" spans="2:15" hidden="1" x14ac:dyDescent="0.3">
      <c r="B1351">
        <v>389066</v>
      </c>
      <c r="C1351" t="s">
        <v>260</v>
      </c>
      <c r="D1351">
        <v>21559</v>
      </c>
      <c r="E1351" t="s">
        <v>150</v>
      </c>
      <c r="F1351" t="s">
        <v>289</v>
      </c>
      <c r="G1351" s="28">
        <v>32</v>
      </c>
      <c r="H1351" s="32">
        <v>6.88</v>
      </c>
      <c r="I1351" s="32">
        <v>681.29</v>
      </c>
      <c r="J1351" t="s">
        <v>239</v>
      </c>
      <c r="K1351" t="s">
        <v>245</v>
      </c>
      <c r="L1351" t="s">
        <v>235</v>
      </c>
      <c r="M1351" t="s">
        <v>236</v>
      </c>
      <c r="N1351" t="s">
        <v>237</v>
      </c>
      <c r="O1351" s="27">
        <v>46072</v>
      </c>
    </row>
    <row r="1352" spans="2:15" hidden="1" x14ac:dyDescent="0.3">
      <c r="B1352">
        <v>3528854</v>
      </c>
      <c r="C1352" t="s">
        <v>231</v>
      </c>
      <c r="D1352">
        <v>71881</v>
      </c>
      <c r="E1352" t="s">
        <v>150</v>
      </c>
      <c r="F1352" t="s">
        <v>298</v>
      </c>
      <c r="G1352" s="28">
        <v>14</v>
      </c>
      <c r="H1352" s="32">
        <v>6.85</v>
      </c>
      <c r="I1352" s="32">
        <v>243.76</v>
      </c>
      <c r="J1352" t="s">
        <v>239</v>
      </c>
      <c r="K1352" t="s">
        <v>245</v>
      </c>
      <c r="L1352" t="s">
        <v>235</v>
      </c>
      <c r="M1352" t="s">
        <v>236</v>
      </c>
      <c r="N1352" t="s">
        <v>237</v>
      </c>
      <c r="O1352" s="27">
        <v>46063</v>
      </c>
    </row>
    <row r="1353" spans="2:15" hidden="1" x14ac:dyDescent="0.3">
      <c r="B1353">
        <v>5555592</v>
      </c>
      <c r="C1353" t="s">
        <v>231</v>
      </c>
      <c r="D1353">
        <v>38517</v>
      </c>
      <c r="E1353" t="s">
        <v>150</v>
      </c>
      <c r="F1353" t="s">
        <v>298</v>
      </c>
      <c r="G1353" s="28">
        <v>14</v>
      </c>
      <c r="H1353" s="32">
        <v>6.82</v>
      </c>
      <c r="I1353" s="32">
        <v>243.76</v>
      </c>
      <c r="J1353" t="s">
        <v>239</v>
      </c>
      <c r="K1353" t="s">
        <v>245</v>
      </c>
      <c r="L1353" t="s">
        <v>235</v>
      </c>
      <c r="M1353" t="s">
        <v>236</v>
      </c>
      <c r="N1353" t="s">
        <v>237</v>
      </c>
      <c r="O1353" s="27">
        <v>46063</v>
      </c>
    </row>
    <row r="1354" spans="2:15" hidden="1" x14ac:dyDescent="0.3">
      <c r="B1354">
        <v>307208</v>
      </c>
      <c r="C1354" t="s">
        <v>231</v>
      </c>
      <c r="D1354">
        <v>25619</v>
      </c>
      <c r="E1354" t="s">
        <v>150</v>
      </c>
      <c r="F1354" t="s">
        <v>287</v>
      </c>
      <c r="G1354" s="28">
        <v>38</v>
      </c>
      <c r="H1354" s="32">
        <v>6.79</v>
      </c>
      <c r="I1354" s="32">
        <v>1192.05</v>
      </c>
      <c r="J1354" t="s">
        <v>239</v>
      </c>
      <c r="K1354" t="s">
        <v>245</v>
      </c>
      <c r="L1354" t="s">
        <v>235</v>
      </c>
      <c r="M1354" t="s">
        <v>236</v>
      </c>
      <c r="N1354" t="s">
        <v>237</v>
      </c>
      <c r="O1354" s="27">
        <v>46063</v>
      </c>
    </row>
    <row r="1355" spans="2:15" x14ac:dyDescent="0.3">
      <c r="B1355">
        <v>7397602</v>
      </c>
      <c r="C1355" t="s">
        <v>231</v>
      </c>
      <c r="D1355">
        <v>22103</v>
      </c>
      <c r="E1355" t="s">
        <v>150</v>
      </c>
      <c r="F1355" t="s">
        <v>163</v>
      </c>
      <c r="G1355" s="28">
        <v>80</v>
      </c>
      <c r="H1355" s="32">
        <v>6.79</v>
      </c>
      <c r="I1355" s="32">
        <v>1053.94</v>
      </c>
      <c r="J1355" t="s">
        <v>239</v>
      </c>
      <c r="K1355" t="s">
        <v>245</v>
      </c>
      <c r="L1355" t="s">
        <v>235</v>
      </c>
      <c r="M1355" t="s">
        <v>236</v>
      </c>
      <c r="N1355" t="s">
        <v>237</v>
      </c>
      <c r="O1355" s="27">
        <v>46055</v>
      </c>
    </row>
    <row r="1356" spans="2:15" hidden="1" x14ac:dyDescent="0.3">
      <c r="B1356">
        <v>4535206</v>
      </c>
      <c r="C1356" t="s">
        <v>231</v>
      </c>
      <c r="D1356">
        <v>68542</v>
      </c>
      <c r="E1356" t="s">
        <v>150</v>
      </c>
      <c r="F1356" t="s">
        <v>339</v>
      </c>
      <c r="G1356" s="28">
        <v>62</v>
      </c>
      <c r="H1356" s="32">
        <v>6.79</v>
      </c>
      <c r="I1356" s="32">
        <v>4820.63</v>
      </c>
      <c r="J1356" t="s">
        <v>267</v>
      </c>
      <c r="K1356" t="s">
        <v>245</v>
      </c>
      <c r="L1356" t="s">
        <v>235</v>
      </c>
      <c r="M1356" t="s">
        <v>236</v>
      </c>
      <c r="N1356" t="s">
        <v>237</v>
      </c>
      <c r="O1356" s="27">
        <v>46057</v>
      </c>
    </row>
    <row r="1357" spans="2:15" hidden="1" x14ac:dyDescent="0.3">
      <c r="B1357">
        <v>9635202</v>
      </c>
      <c r="C1357" t="s">
        <v>231</v>
      </c>
      <c r="D1357">
        <v>71881</v>
      </c>
      <c r="E1357" t="s">
        <v>150</v>
      </c>
      <c r="F1357" t="s">
        <v>164</v>
      </c>
      <c r="G1357" s="28">
        <v>27</v>
      </c>
      <c r="H1357" s="32">
        <v>6.78</v>
      </c>
      <c r="I1357" s="32">
        <v>1312.59</v>
      </c>
      <c r="J1357" t="s">
        <v>239</v>
      </c>
      <c r="K1357" t="s">
        <v>245</v>
      </c>
      <c r="L1357" t="s">
        <v>235</v>
      </c>
      <c r="M1357" t="s">
        <v>236</v>
      </c>
      <c r="N1357" t="s">
        <v>237</v>
      </c>
      <c r="O1357" s="27">
        <v>46063</v>
      </c>
    </row>
    <row r="1358" spans="2:15" hidden="1" x14ac:dyDescent="0.3">
      <c r="B1358">
        <v>2470712</v>
      </c>
      <c r="C1358" t="s">
        <v>260</v>
      </c>
      <c r="D1358">
        <v>72444</v>
      </c>
      <c r="E1358" t="s">
        <v>150</v>
      </c>
      <c r="F1358" t="s">
        <v>246</v>
      </c>
      <c r="G1358" s="28">
        <v>17</v>
      </c>
      <c r="H1358" s="32">
        <v>6.78</v>
      </c>
      <c r="I1358" s="32">
        <v>628.16</v>
      </c>
      <c r="J1358" t="s">
        <v>239</v>
      </c>
      <c r="K1358" t="s">
        <v>245</v>
      </c>
      <c r="L1358" t="s">
        <v>235</v>
      </c>
      <c r="M1358" t="s">
        <v>236</v>
      </c>
      <c r="N1358" t="s">
        <v>237</v>
      </c>
      <c r="O1358" s="27">
        <v>46055</v>
      </c>
    </row>
    <row r="1359" spans="2:15" hidden="1" x14ac:dyDescent="0.3">
      <c r="B1359">
        <v>3906862</v>
      </c>
      <c r="C1359" t="s">
        <v>231</v>
      </c>
      <c r="D1359">
        <v>71881</v>
      </c>
      <c r="E1359" t="s">
        <v>150</v>
      </c>
      <c r="F1359" t="s">
        <v>298</v>
      </c>
      <c r="G1359" s="28">
        <v>17</v>
      </c>
      <c r="H1359" s="32">
        <v>6.77</v>
      </c>
      <c r="I1359" s="32">
        <v>296</v>
      </c>
      <c r="J1359" t="s">
        <v>239</v>
      </c>
      <c r="K1359" t="s">
        <v>245</v>
      </c>
      <c r="L1359" t="s">
        <v>235</v>
      </c>
      <c r="M1359" t="s">
        <v>236</v>
      </c>
      <c r="N1359" t="s">
        <v>237</v>
      </c>
      <c r="O1359" s="27">
        <v>46063</v>
      </c>
    </row>
    <row r="1360" spans="2:15" hidden="1" x14ac:dyDescent="0.3">
      <c r="B1360">
        <v>310157</v>
      </c>
      <c r="C1360" t="s">
        <v>231</v>
      </c>
      <c r="D1360">
        <v>68542</v>
      </c>
      <c r="E1360" t="s">
        <v>150</v>
      </c>
      <c r="F1360" t="s">
        <v>399</v>
      </c>
      <c r="G1360" s="28">
        <v>74</v>
      </c>
      <c r="H1360" s="32">
        <v>6.77</v>
      </c>
      <c r="I1360" s="32">
        <v>532.91999999999996</v>
      </c>
      <c r="J1360" t="s">
        <v>267</v>
      </c>
      <c r="K1360" t="s">
        <v>245</v>
      </c>
      <c r="L1360" t="s">
        <v>235</v>
      </c>
      <c r="M1360" t="s">
        <v>236</v>
      </c>
      <c r="N1360" t="s">
        <v>237</v>
      </c>
      <c r="O1360" s="27">
        <v>46057</v>
      </c>
    </row>
    <row r="1361" spans="2:15" hidden="1" x14ac:dyDescent="0.3">
      <c r="B1361">
        <v>2632292</v>
      </c>
      <c r="C1361" t="s">
        <v>231</v>
      </c>
      <c r="D1361">
        <v>69519</v>
      </c>
      <c r="E1361" t="s">
        <v>150</v>
      </c>
      <c r="F1361" t="s">
        <v>389</v>
      </c>
      <c r="G1361" s="28">
        <v>45</v>
      </c>
      <c r="H1361" s="32">
        <v>6.76</v>
      </c>
      <c r="I1361" s="32">
        <v>1211.73</v>
      </c>
      <c r="J1361" t="s">
        <v>330</v>
      </c>
      <c r="K1361" t="s">
        <v>234</v>
      </c>
      <c r="L1361" t="s">
        <v>235</v>
      </c>
      <c r="M1361" t="s">
        <v>236</v>
      </c>
      <c r="N1361" t="s">
        <v>237</v>
      </c>
      <c r="O1361" s="27">
        <v>46073</v>
      </c>
    </row>
    <row r="1362" spans="2:15" hidden="1" x14ac:dyDescent="0.3">
      <c r="B1362">
        <v>374210</v>
      </c>
      <c r="C1362" t="s">
        <v>260</v>
      </c>
      <c r="D1362">
        <v>24415</v>
      </c>
      <c r="E1362" t="s">
        <v>150</v>
      </c>
      <c r="F1362" t="s">
        <v>164</v>
      </c>
      <c r="G1362" s="28">
        <v>15</v>
      </c>
      <c r="H1362" s="32">
        <v>6.76</v>
      </c>
      <c r="I1362" s="32">
        <v>727.96</v>
      </c>
      <c r="J1362" t="s">
        <v>239</v>
      </c>
      <c r="K1362" t="s">
        <v>245</v>
      </c>
      <c r="L1362" t="s">
        <v>235</v>
      </c>
      <c r="M1362" t="s">
        <v>236</v>
      </c>
      <c r="N1362" t="s">
        <v>240</v>
      </c>
      <c r="O1362" s="27">
        <v>46072</v>
      </c>
    </row>
    <row r="1363" spans="2:15" hidden="1" x14ac:dyDescent="0.3">
      <c r="B1363">
        <v>8142187</v>
      </c>
      <c r="C1363" t="s">
        <v>260</v>
      </c>
      <c r="D1363">
        <v>21468</v>
      </c>
      <c r="E1363" t="s">
        <v>150</v>
      </c>
      <c r="F1363" t="s">
        <v>246</v>
      </c>
      <c r="G1363" s="28">
        <v>16</v>
      </c>
      <c r="H1363" s="32">
        <v>6.76</v>
      </c>
      <c r="I1363" s="32">
        <v>594.34</v>
      </c>
      <c r="J1363" t="s">
        <v>239</v>
      </c>
      <c r="K1363" t="s">
        <v>245</v>
      </c>
      <c r="L1363" t="s">
        <v>235</v>
      </c>
      <c r="M1363" t="s">
        <v>236</v>
      </c>
      <c r="N1363" t="s">
        <v>237</v>
      </c>
      <c r="O1363" s="27">
        <v>46063</v>
      </c>
    </row>
    <row r="1364" spans="2:15" hidden="1" x14ac:dyDescent="0.3">
      <c r="B1364">
        <v>2603913</v>
      </c>
      <c r="C1364" t="s">
        <v>231</v>
      </c>
      <c r="D1364">
        <v>69519</v>
      </c>
      <c r="E1364" t="s">
        <v>150</v>
      </c>
      <c r="F1364" t="s">
        <v>402</v>
      </c>
      <c r="G1364" s="28">
        <v>47</v>
      </c>
      <c r="H1364" s="32">
        <v>6.73</v>
      </c>
      <c r="I1364" s="32">
        <v>435.49</v>
      </c>
      <c r="J1364" t="s">
        <v>267</v>
      </c>
      <c r="K1364" t="s">
        <v>245</v>
      </c>
      <c r="L1364" t="s">
        <v>235</v>
      </c>
      <c r="M1364" t="s">
        <v>236</v>
      </c>
      <c r="N1364" t="s">
        <v>237</v>
      </c>
      <c r="O1364" s="27">
        <v>46063</v>
      </c>
    </row>
    <row r="1365" spans="2:15" x14ac:dyDescent="0.3">
      <c r="B1365">
        <v>3105908</v>
      </c>
      <c r="C1365" t="s">
        <v>231</v>
      </c>
      <c r="D1365">
        <v>22103</v>
      </c>
      <c r="E1365" t="s">
        <v>150</v>
      </c>
      <c r="F1365" t="s">
        <v>246</v>
      </c>
      <c r="G1365" s="28">
        <v>21</v>
      </c>
      <c r="H1365" s="32">
        <v>6.73</v>
      </c>
      <c r="I1365" s="32">
        <v>780.14</v>
      </c>
      <c r="J1365" t="s">
        <v>239</v>
      </c>
      <c r="K1365" t="s">
        <v>245</v>
      </c>
      <c r="L1365" t="s">
        <v>235</v>
      </c>
      <c r="M1365" t="s">
        <v>236</v>
      </c>
      <c r="N1365" t="s">
        <v>237</v>
      </c>
      <c r="O1365" s="27">
        <v>46063</v>
      </c>
    </row>
    <row r="1366" spans="2:15" hidden="1" x14ac:dyDescent="0.3">
      <c r="B1366">
        <v>54685</v>
      </c>
      <c r="C1366" t="s">
        <v>260</v>
      </c>
      <c r="D1366">
        <v>22674</v>
      </c>
      <c r="E1366" t="s">
        <v>150</v>
      </c>
      <c r="F1366" t="s">
        <v>359</v>
      </c>
      <c r="G1366" s="28">
        <v>32</v>
      </c>
      <c r="H1366" s="32">
        <v>6.72</v>
      </c>
      <c r="I1366" s="32">
        <v>1161.5999999999999</v>
      </c>
      <c r="J1366" t="s">
        <v>330</v>
      </c>
      <c r="K1366" t="s">
        <v>234</v>
      </c>
      <c r="L1366" t="s">
        <v>235</v>
      </c>
      <c r="M1366" t="s">
        <v>236</v>
      </c>
      <c r="N1366" t="s">
        <v>240</v>
      </c>
      <c r="O1366" s="27">
        <v>46063</v>
      </c>
    </row>
    <row r="1367" spans="2:15" hidden="1" x14ac:dyDescent="0.3">
      <c r="B1367">
        <v>11010432</v>
      </c>
      <c r="C1367" t="s">
        <v>231</v>
      </c>
      <c r="D1367">
        <v>25619</v>
      </c>
      <c r="E1367" t="s">
        <v>150</v>
      </c>
      <c r="F1367" t="s">
        <v>246</v>
      </c>
      <c r="G1367" s="28">
        <v>20</v>
      </c>
      <c r="H1367" s="32">
        <v>6.71</v>
      </c>
      <c r="I1367" s="32">
        <v>742.98</v>
      </c>
      <c r="J1367" t="s">
        <v>239</v>
      </c>
      <c r="K1367" t="s">
        <v>245</v>
      </c>
      <c r="L1367" t="s">
        <v>235</v>
      </c>
      <c r="M1367" t="s">
        <v>236</v>
      </c>
      <c r="N1367" t="s">
        <v>237</v>
      </c>
      <c r="O1367" s="27">
        <v>46063</v>
      </c>
    </row>
    <row r="1368" spans="2:15" hidden="1" x14ac:dyDescent="0.3">
      <c r="B1368">
        <v>14471054</v>
      </c>
      <c r="C1368" t="s">
        <v>260</v>
      </c>
      <c r="D1368">
        <v>72444</v>
      </c>
      <c r="E1368" t="s">
        <v>150</v>
      </c>
      <c r="F1368" t="s">
        <v>298</v>
      </c>
      <c r="G1368" s="28">
        <v>30</v>
      </c>
      <c r="H1368" s="32">
        <v>6.71</v>
      </c>
      <c r="I1368" s="32">
        <v>492.51</v>
      </c>
      <c r="J1368" t="s">
        <v>239</v>
      </c>
      <c r="K1368" t="s">
        <v>245</v>
      </c>
      <c r="L1368" t="s">
        <v>235</v>
      </c>
      <c r="M1368" t="s">
        <v>236</v>
      </c>
      <c r="N1368" t="s">
        <v>237</v>
      </c>
      <c r="O1368" s="27">
        <v>46055</v>
      </c>
    </row>
    <row r="1369" spans="2:15" hidden="1" x14ac:dyDescent="0.3">
      <c r="B1369">
        <v>8581688</v>
      </c>
      <c r="C1369" t="s">
        <v>231</v>
      </c>
      <c r="D1369">
        <v>23648</v>
      </c>
      <c r="E1369" t="s">
        <v>150</v>
      </c>
      <c r="F1369" t="s">
        <v>369</v>
      </c>
      <c r="G1369" s="28">
        <v>8</v>
      </c>
      <c r="H1369" s="32">
        <v>6.69</v>
      </c>
      <c r="I1369" s="32">
        <v>413.49</v>
      </c>
      <c r="J1369" t="s">
        <v>239</v>
      </c>
      <c r="K1369" t="s">
        <v>245</v>
      </c>
      <c r="L1369" t="s">
        <v>235</v>
      </c>
      <c r="M1369" t="s">
        <v>236</v>
      </c>
      <c r="N1369" t="s">
        <v>240</v>
      </c>
      <c r="O1369" s="27">
        <v>46055</v>
      </c>
    </row>
    <row r="1370" spans="2:15" hidden="1" x14ac:dyDescent="0.3">
      <c r="B1370">
        <v>3409614</v>
      </c>
      <c r="C1370" t="s">
        <v>231</v>
      </c>
      <c r="D1370">
        <v>71881</v>
      </c>
      <c r="E1370" t="s">
        <v>150</v>
      </c>
      <c r="F1370" t="s">
        <v>164</v>
      </c>
      <c r="G1370" s="28">
        <v>27</v>
      </c>
      <c r="H1370" s="32">
        <v>6.66</v>
      </c>
      <c r="I1370" s="32">
        <v>1312.59</v>
      </c>
      <c r="J1370" t="s">
        <v>239</v>
      </c>
      <c r="K1370" t="s">
        <v>245</v>
      </c>
      <c r="L1370" t="s">
        <v>235</v>
      </c>
      <c r="M1370" t="s">
        <v>236</v>
      </c>
      <c r="N1370" t="s">
        <v>237</v>
      </c>
      <c r="O1370" s="27">
        <v>46063</v>
      </c>
    </row>
    <row r="1371" spans="2:15" hidden="1" x14ac:dyDescent="0.3">
      <c r="B1371">
        <v>4744190</v>
      </c>
      <c r="C1371" t="s">
        <v>260</v>
      </c>
      <c r="D1371">
        <v>22674</v>
      </c>
      <c r="E1371" t="s">
        <v>150</v>
      </c>
      <c r="F1371" t="s">
        <v>163</v>
      </c>
      <c r="G1371" s="28">
        <v>28</v>
      </c>
      <c r="H1371" s="32">
        <v>6.63</v>
      </c>
      <c r="I1371" s="32">
        <v>390.9</v>
      </c>
      <c r="J1371" t="s">
        <v>239</v>
      </c>
      <c r="K1371" t="s">
        <v>245</v>
      </c>
      <c r="L1371" t="s">
        <v>235</v>
      </c>
      <c r="M1371" t="s">
        <v>236</v>
      </c>
      <c r="N1371" t="s">
        <v>237</v>
      </c>
      <c r="O1371" s="27">
        <v>46063</v>
      </c>
    </row>
    <row r="1372" spans="2:15" hidden="1" x14ac:dyDescent="0.3">
      <c r="B1372">
        <v>18702217</v>
      </c>
      <c r="C1372" t="s">
        <v>260</v>
      </c>
      <c r="D1372">
        <v>74304</v>
      </c>
      <c r="E1372" t="s">
        <v>150</v>
      </c>
      <c r="F1372" t="s">
        <v>379</v>
      </c>
      <c r="G1372" s="28">
        <v>84</v>
      </c>
      <c r="H1372" s="32">
        <v>6.6</v>
      </c>
      <c r="I1372" s="32">
        <v>1247.4000000000001</v>
      </c>
      <c r="J1372" t="s">
        <v>330</v>
      </c>
      <c r="K1372" t="s">
        <v>234</v>
      </c>
      <c r="L1372" t="s">
        <v>235</v>
      </c>
      <c r="M1372" t="s">
        <v>236</v>
      </c>
      <c r="N1372" t="s">
        <v>237</v>
      </c>
      <c r="O1372" s="27">
        <v>46072</v>
      </c>
    </row>
    <row r="1373" spans="2:15" hidden="1" x14ac:dyDescent="0.3">
      <c r="B1373">
        <v>3731792</v>
      </c>
      <c r="C1373" t="s">
        <v>260</v>
      </c>
      <c r="D1373">
        <v>69579</v>
      </c>
      <c r="E1373" t="s">
        <v>150</v>
      </c>
      <c r="F1373" t="s">
        <v>298</v>
      </c>
      <c r="G1373" s="28">
        <v>16</v>
      </c>
      <c r="H1373" s="32">
        <v>6.59</v>
      </c>
      <c r="I1373" s="32">
        <v>278.57</v>
      </c>
      <c r="J1373" t="s">
        <v>239</v>
      </c>
      <c r="K1373" t="s">
        <v>245</v>
      </c>
      <c r="L1373" t="s">
        <v>235</v>
      </c>
      <c r="M1373" t="s">
        <v>236</v>
      </c>
      <c r="N1373" t="s">
        <v>237</v>
      </c>
      <c r="O1373" s="27">
        <v>46063</v>
      </c>
    </row>
    <row r="1374" spans="2:15" hidden="1" x14ac:dyDescent="0.3">
      <c r="B1374">
        <v>4382412</v>
      </c>
      <c r="C1374" t="s">
        <v>231</v>
      </c>
      <c r="D1374">
        <v>49894</v>
      </c>
      <c r="E1374" t="s">
        <v>150</v>
      </c>
      <c r="F1374" t="s">
        <v>374</v>
      </c>
      <c r="G1374" s="28">
        <v>39</v>
      </c>
      <c r="H1374" s="32">
        <v>6.58</v>
      </c>
      <c r="I1374" s="32">
        <v>1235.9100000000001</v>
      </c>
      <c r="J1374" t="s">
        <v>330</v>
      </c>
      <c r="K1374" t="s">
        <v>234</v>
      </c>
      <c r="L1374" t="s">
        <v>235</v>
      </c>
      <c r="M1374" t="s">
        <v>236</v>
      </c>
      <c r="N1374" t="s">
        <v>240</v>
      </c>
      <c r="O1374" s="27">
        <v>46076</v>
      </c>
    </row>
    <row r="1375" spans="2:15" hidden="1" x14ac:dyDescent="0.3">
      <c r="B1375">
        <v>5263260</v>
      </c>
      <c r="C1375" t="s">
        <v>231</v>
      </c>
      <c r="D1375">
        <v>23648</v>
      </c>
      <c r="E1375" t="s">
        <v>150</v>
      </c>
      <c r="F1375" t="s">
        <v>246</v>
      </c>
      <c r="G1375" s="28">
        <v>18</v>
      </c>
      <c r="H1375" s="32">
        <v>6.57</v>
      </c>
      <c r="I1375" s="32">
        <v>668.63</v>
      </c>
      <c r="J1375" t="s">
        <v>239</v>
      </c>
      <c r="K1375" t="s">
        <v>245</v>
      </c>
      <c r="L1375" t="s">
        <v>235</v>
      </c>
      <c r="M1375" t="s">
        <v>236</v>
      </c>
      <c r="N1375" t="s">
        <v>237</v>
      </c>
      <c r="O1375" s="27">
        <v>46063</v>
      </c>
    </row>
    <row r="1376" spans="2:15" hidden="1" x14ac:dyDescent="0.3">
      <c r="B1376">
        <v>310157</v>
      </c>
      <c r="C1376" t="s">
        <v>231</v>
      </c>
      <c r="D1376">
        <v>68542</v>
      </c>
      <c r="E1376" t="s">
        <v>150</v>
      </c>
      <c r="F1376" t="s">
        <v>401</v>
      </c>
      <c r="G1376" s="28">
        <v>61</v>
      </c>
      <c r="H1376" s="32">
        <v>6.56</v>
      </c>
      <c r="I1376" s="32">
        <v>5343.4</v>
      </c>
      <c r="J1376" t="s">
        <v>267</v>
      </c>
      <c r="K1376" t="s">
        <v>245</v>
      </c>
      <c r="L1376" t="s">
        <v>235</v>
      </c>
      <c r="M1376" t="s">
        <v>236</v>
      </c>
      <c r="N1376" t="s">
        <v>240</v>
      </c>
      <c r="O1376" s="27">
        <v>46057</v>
      </c>
    </row>
    <row r="1377" spans="2:15" hidden="1" x14ac:dyDescent="0.3">
      <c r="B1377">
        <v>15947590</v>
      </c>
      <c r="C1377" t="s">
        <v>231</v>
      </c>
      <c r="D1377">
        <v>69519</v>
      </c>
      <c r="E1377" t="s">
        <v>150</v>
      </c>
      <c r="F1377" t="s">
        <v>164</v>
      </c>
      <c r="G1377" s="28">
        <v>30</v>
      </c>
      <c r="H1377" s="32">
        <v>6.55</v>
      </c>
      <c r="I1377" s="32">
        <v>1458.26</v>
      </c>
      <c r="J1377" t="s">
        <v>239</v>
      </c>
      <c r="K1377" t="s">
        <v>245</v>
      </c>
      <c r="L1377" t="s">
        <v>235</v>
      </c>
      <c r="M1377" t="s">
        <v>236</v>
      </c>
      <c r="N1377" t="s">
        <v>240</v>
      </c>
      <c r="O1377" s="27">
        <v>46063</v>
      </c>
    </row>
    <row r="1378" spans="2:15" hidden="1" x14ac:dyDescent="0.3">
      <c r="B1378">
        <v>2013549</v>
      </c>
      <c r="C1378" t="s">
        <v>231</v>
      </c>
      <c r="D1378">
        <v>23648</v>
      </c>
      <c r="E1378" t="s">
        <v>150</v>
      </c>
      <c r="F1378" t="s">
        <v>377</v>
      </c>
      <c r="G1378" s="28">
        <v>41</v>
      </c>
      <c r="H1378" s="32">
        <v>6.54</v>
      </c>
      <c r="I1378" s="32">
        <v>1272.23</v>
      </c>
      <c r="J1378" t="s">
        <v>330</v>
      </c>
      <c r="K1378" t="s">
        <v>234</v>
      </c>
      <c r="L1378" t="s">
        <v>235</v>
      </c>
      <c r="M1378" t="s">
        <v>236</v>
      </c>
      <c r="N1378" t="s">
        <v>237</v>
      </c>
      <c r="O1378" s="27">
        <v>46059</v>
      </c>
    </row>
    <row r="1379" spans="2:15" hidden="1" x14ac:dyDescent="0.3">
      <c r="B1379">
        <v>2013549</v>
      </c>
      <c r="C1379" t="s">
        <v>231</v>
      </c>
      <c r="D1379">
        <v>23648</v>
      </c>
      <c r="E1379" t="s">
        <v>150</v>
      </c>
      <c r="F1379" t="s">
        <v>378</v>
      </c>
      <c r="G1379" s="28">
        <v>23</v>
      </c>
      <c r="H1379" s="32">
        <v>6.52</v>
      </c>
      <c r="I1379" s="32">
        <v>1269.6600000000001</v>
      </c>
      <c r="J1379" t="s">
        <v>330</v>
      </c>
      <c r="K1379" t="s">
        <v>234</v>
      </c>
      <c r="L1379" t="s">
        <v>235</v>
      </c>
      <c r="M1379" t="s">
        <v>236</v>
      </c>
      <c r="N1379" t="s">
        <v>240</v>
      </c>
      <c r="O1379" s="27">
        <v>46059</v>
      </c>
    </row>
    <row r="1380" spans="2:15" hidden="1" x14ac:dyDescent="0.3">
      <c r="B1380">
        <v>2328302</v>
      </c>
      <c r="C1380" t="s">
        <v>231</v>
      </c>
      <c r="D1380">
        <v>22674</v>
      </c>
      <c r="E1380" t="s">
        <v>150</v>
      </c>
      <c r="F1380" t="s">
        <v>282</v>
      </c>
      <c r="G1380" s="28">
        <v>30</v>
      </c>
      <c r="H1380" s="32">
        <v>6.52</v>
      </c>
      <c r="I1380" s="32">
        <v>1525.83</v>
      </c>
      <c r="J1380" t="s">
        <v>239</v>
      </c>
      <c r="K1380" t="s">
        <v>245</v>
      </c>
      <c r="L1380" t="s">
        <v>235</v>
      </c>
      <c r="M1380" t="s">
        <v>236</v>
      </c>
      <c r="N1380" t="s">
        <v>240</v>
      </c>
      <c r="O1380" s="27">
        <v>46055</v>
      </c>
    </row>
    <row r="1381" spans="2:15" x14ac:dyDescent="0.3">
      <c r="B1381">
        <v>8907980</v>
      </c>
      <c r="C1381" t="s">
        <v>231</v>
      </c>
      <c r="D1381">
        <v>22103</v>
      </c>
      <c r="E1381" t="s">
        <v>150</v>
      </c>
      <c r="F1381" t="s">
        <v>243</v>
      </c>
      <c r="G1381" s="28">
        <v>28</v>
      </c>
      <c r="H1381" s="32">
        <v>6.51</v>
      </c>
      <c r="I1381" s="32">
        <v>758.54</v>
      </c>
      <c r="J1381" t="s">
        <v>239</v>
      </c>
      <c r="K1381" t="s">
        <v>245</v>
      </c>
      <c r="L1381" t="s">
        <v>235</v>
      </c>
      <c r="M1381" t="s">
        <v>236</v>
      </c>
      <c r="N1381" t="s">
        <v>240</v>
      </c>
      <c r="O1381" s="27">
        <v>46072</v>
      </c>
    </row>
    <row r="1382" spans="2:15" hidden="1" x14ac:dyDescent="0.3">
      <c r="B1382">
        <v>2562251</v>
      </c>
      <c r="C1382" t="s">
        <v>231</v>
      </c>
      <c r="D1382">
        <v>23648</v>
      </c>
      <c r="E1382" t="s">
        <v>150</v>
      </c>
      <c r="F1382" t="s">
        <v>282</v>
      </c>
      <c r="G1382" s="28">
        <v>16</v>
      </c>
      <c r="H1382" s="32">
        <v>6.5</v>
      </c>
      <c r="I1382" s="32">
        <v>817.34</v>
      </c>
      <c r="J1382" t="s">
        <v>239</v>
      </c>
      <c r="K1382" t="s">
        <v>245</v>
      </c>
      <c r="L1382" t="s">
        <v>235</v>
      </c>
      <c r="M1382" t="s">
        <v>236</v>
      </c>
      <c r="N1382" t="s">
        <v>240</v>
      </c>
      <c r="O1382" s="27">
        <v>46063</v>
      </c>
    </row>
    <row r="1383" spans="2:15" hidden="1" x14ac:dyDescent="0.3">
      <c r="B1383">
        <v>8781959</v>
      </c>
      <c r="C1383" t="s">
        <v>231</v>
      </c>
      <c r="D1383">
        <v>72444</v>
      </c>
      <c r="E1383" t="s">
        <v>150</v>
      </c>
      <c r="F1383" t="s">
        <v>160</v>
      </c>
      <c r="G1383" s="28">
        <v>8</v>
      </c>
      <c r="H1383" s="32">
        <v>6.5</v>
      </c>
      <c r="I1383" s="32">
        <v>678.8</v>
      </c>
      <c r="J1383" t="s">
        <v>239</v>
      </c>
      <c r="K1383" t="s">
        <v>245</v>
      </c>
      <c r="L1383" t="s">
        <v>235</v>
      </c>
      <c r="M1383" t="s">
        <v>236</v>
      </c>
      <c r="N1383" t="s">
        <v>240</v>
      </c>
      <c r="O1383" s="27">
        <v>46055</v>
      </c>
    </row>
    <row r="1384" spans="2:15" x14ac:dyDescent="0.3">
      <c r="B1384">
        <v>5658854</v>
      </c>
      <c r="C1384" t="s">
        <v>231</v>
      </c>
      <c r="D1384">
        <v>22103</v>
      </c>
      <c r="E1384" t="s">
        <v>150</v>
      </c>
      <c r="F1384" t="s">
        <v>381</v>
      </c>
      <c r="G1384" s="28">
        <v>78</v>
      </c>
      <c r="H1384" s="32">
        <v>6.48</v>
      </c>
      <c r="I1384" s="32">
        <v>1289.96</v>
      </c>
      <c r="J1384" t="s">
        <v>330</v>
      </c>
      <c r="K1384" t="s">
        <v>234</v>
      </c>
      <c r="L1384" t="s">
        <v>235</v>
      </c>
      <c r="M1384" t="s">
        <v>236</v>
      </c>
      <c r="N1384" t="s">
        <v>237</v>
      </c>
      <c r="O1384" s="27">
        <v>46076</v>
      </c>
    </row>
    <row r="1385" spans="2:15" hidden="1" x14ac:dyDescent="0.3">
      <c r="B1385">
        <v>11010432</v>
      </c>
      <c r="C1385" t="s">
        <v>231</v>
      </c>
      <c r="D1385">
        <v>25619</v>
      </c>
      <c r="E1385" t="s">
        <v>150</v>
      </c>
      <c r="F1385" t="s">
        <v>282</v>
      </c>
      <c r="G1385" s="28">
        <v>16</v>
      </c>
      <c r="H1385" s="32">
        <v>6.48</v>
      </c>
      <c r="I1385" s="32">
        <v>817.34</v>
      </c>
      <c r="J1385" t="s">
        <v>239</v>
      </c>
      <c r="K1385" t="s">
        <v>245</v>
      </c>
      <c r="L1385" t="s">
        <v>235</v>
      </c>
      <c r="M1385" t="s">
        <v>236</v>
      </c>
      <c r="N1385" t="s">
        <v>240</v>
      </c>
      <c r="O1385" s="27">
        <v>46063</v>
      </c>
    </row>
    <row r="1386" spans="2:15" hidden="1" x14ac:dyDescent="0.3">
      <c r="B1386">
        <v>3343807</v>
      </c>
      <c r="C1386" t="s">
        <v>231</v>
      </c>
      <c r="D1386">
        <v>69519</v>
      </c>
      <c r="E1386" t="s">
        <v>150</v>
      </c>
      <c r="F1386" t="s">
        <v>339</v>
      </c>
      <c r="G1386" s="28">
        <v>21</v>
      </c>
      <c r="H1386" s="32">
        <v>6.48</v>
      </c>
      <c r="I1386" s="32">
        <v>1672.38</v>
      </c>
      <c r="J1386" t="s">
        <v>267</v>
      </c>
      <c r="K1386" t="s">
        <v>245</v>
      </c>
      <c r="L1386" t="s">
        <v>235</v>
      </c>
      <c r="M1386" t="s">
        <v>236</v>
      </c>
      <c r="N1386" t="s">
        <v>237</v>
      </c>
      <c r="O1386" s="27">
        <v>46063</v>
      </c>
    </row>
    <row r="1387" spans="2:15" hidden="1" x14ac:dyDescent="0.3">
      <c r="B1387">
        <v>4658833</v>
      </c>
      <c r="C1387" t="s">
        <v>260</v>
      </c>
      <c r="D1387">
        <v>38517</v>
      </c>
      <c r="E1387" t="s">
        <v>150</v>
      </c>
      <c r="F1387" t="s">
        <v>246</v>
      </c>
      <c r="G1387" s="28">
        <v>28</v>
      </c>
      <c r="H1387" s="32">
        <v>6.48</v>
      </c>
      <c r="I1387" s="32">
        <v>1034.31</v>
      </c>
      <c r="J1387" t="s">
        <v>239</v>
      </c>
      <c r="K1387" t="s">
        <v>245</v>
      </c>
      <c r="L1387" t="s">
        <v>235</v>
      </c>
      <c r="M1387" t="s">
        <v>236</v>
      </c>
      <c r="N1387" t="s">
        <v>237</v>
      </c>
      <c r="O1387" s="27">
        <v>46055</v>
      </c>
    </row>
    <row r="1388" spans="2:15" hidden="1" x14ac:dyDescent="0.3">
      <c r="B1388">
        <v>4072213</v>
      </c>
      <c r="C1388" t="s">
        <v>231</v>
      </c>
      <c r="D1388">
        <v>22674</v>
      </c>
      <c r="E1388" t="s">
        <v>150</v>
      </c>
      <c r="F1388" t="s">
        <v>163</v>
      </c>
      <c r="G1388" s="28">
        <v>26</v>
      </c>
      <c r="H1388" s="32">
        <v>6.46</v>
      </c>
      <c r="I1388" s="32">
        <v>363.01</v>
      </c>
      <c r="J1388" t="s">
        <v>239</v>
      </c>
      <c r="K1388" t="s">
        <v>245</v>
      </c>
      <c r="L1388" t="s">
        <v>235</v>
      </c>
      <c r="M1388" t="s">
        <v>236</v>
      </c>
      <c r="N1388" t="s">
        <v>237</v>
      </c>
      <c r="O1388" s="27">
        <v>46063</v>
      </c>
    </row>
    <row r="1389" spans="2:15" hidden="1" x14ac:dyDescent="0.3">
      <c r="B1389">
        <v>74468</v>
      </c>
      <c r="C1389" t="s">
        <v>260</v>
      </c>
      <c r="D1389">
        <v>69519</v>
      </c>
      <c r="E1389" t="s">
        <v>150</v>
      </c>
      <c r="F1389" t="s">
        <v>163</v>
      </c>
      <c r="G1389" s="28">
        <v>39</v>
      </c>
      <c r="H1389" s="32">
        <v>6.46</v>
      </c>
      <c r="I1389" s="32">
        <v>544.51</v>
      </c>
      <c r="J1389" t="s">
        <v>239</v>
      </c>
      <c r="K1389" t="s">
        <v>245</v>
      </c>
      <c r="L1389" t="s">
        <v>235</v>
      </c>
      <c r="M1389" t="s">
        <v>236</v>
      </c>
      <c r="N1389" t="s">
        <v>237</v>
      </c>
      <c r="O1389" s="27">
        <v>46063</v>
      </c>
    </row>
    <row r="1390" spans="2:15" hidden="1" x14ac:dyDescent="0.3">
      <c r="B1390">
        <v>54685</v>
      </c>
      <c r="C1390" t="s">
        <v>260</v>
      </c>
      <c r="D1390">
        <v>22674</v>
      </c>
      <c r="E1390" t="s">
        <v>150</v>
      </c>
      <c r="F1390" t="s">
        <v>345</v>
      </c>
      <c r="G1390" s="28">
        <v>23</v>
      </c>
      <c r="H1390" s="32">
        <v>6.45</v>
      </c>
      <c r="I1390" s="32">
        <v>1115.1199999999999</v>
      </c>
      <c r="J1390" t="s">
        <v>330</v>
      </c>
      <c r="K1390" t="s">
        <v>234</v>
      </c>
      <c r="L1390" t="s">
        <v>235</v>
      </c>
      <c r="M1390" t="s">
        <v>236</v>
      </c>
      <c r="N1390" t="s">
        <v>240</v>
      </c>
      <c r="O1390" s="27">
        <v>46063</v>
      </c>
    </row>
    <row r="1391" spans="2:15" hidden="1" x14ac:dyDescent="0.3">
      <c r="B1391">
        <v>325473</v>
      </c>
      <c r="C1391" t="s">
        <v>231</v>
      </c>
      <c r="D1391">
        <v>22674</v>
      </c>
      <c r="E1391" t="s">
        <v>150</v>
      </c>
      <c r="F1391" t="s">
        <v>164</v>
      </c>
      <c r="G1391" s="28">
        <v>29</v>
      </c>
      <c r="H1391" s="32">
        <v>6.44</v>
      </c>
      <c r="I1391" s="32">
        <v>1409.94</v>
      </c>
      <c r="J1391" t="s">
        <v>239</v>
      </c>
      <c r="K1391" t="s">
        <v>245</v>
      </c>
      <c r="L1391" t="s">
        <v>235</v>
      </c>
      <c r="M1391" t="s">
        <v>236</v>
      </c>
      <c r="N1391" t="s">
        <v>240</v>
      </c>
      <c r="O1391" s="27">
        <v>46063</v>
      </c>
    </row>
    <row r="1392" spans="2:15" hidden="1" x14ac:dyDescent="0.3">
      <c r="B1392">
        <v>2632292</v>
      </c>
      <c r="C1392" t="s">
        <v>231</v>
      </c>
      <c r="D1392">
        <v>69519</v>
      </c>
      <c r="E1392" t="s">
        <v>150</v>
      </c>
      <c r="F1392" t="s">
        <v>161</v>
      </c>
      <c r="G1392" s="28">
        <v>40</v>
      </c>
      <c r="H1392" s="32">
        <v>6.41</v>
      </c>
      <c r="I1392" s="32">
        <v>1087.56</v>
      </c>
      <c r="J1392" t="s">
        <v>239</v>
      </c>
      <c r="K1392" t="s">
        <v>245</v>
      </c>
      <c r="L1392" t="s">
        <v>235</v>
      </c>
      <c r="M1392" t="s">
        <v>236</v>
      </c>
      <c r="N1392" t="s">
        <v>237</v>
      </c>
      <c r="O1392" s="27">
        <v>46072</v>
      </c>
    </row>
    <row r="1393" spans="2:15" hidden="1" x14ac:dyDescent="0.3">
      <c r="B1393">
        <v>2562251</v>
      </c>
      <c r="C1393" t="s">
        <v>231</v>
      </c>
      <c r="D1393">
        <v>23648</v>
      </c>
      <c r="E1393" t="s">
        <v>150</v>
      </c>
      <c r="F1393" t="s">
        <v>246</v>
      </c>
      <c r="G1393" s="28">
        <v>19</v>
      </c>
      <c r="H1393" s="32">
        <v>6.39</v>
      </c>
      <c r="I1393" s="32">
        <v>705.79</v>
      </c>
      <c r="J1393" t="s">
        <v>239</v>
      </c>
      <c r="K1393" t="s">
        <v>245</v>
      </c>
      <c r="L1393" t="s">
        <v>235</v>
      </c>
      <c r="M1393" t="s">
        <v>236</v>
      </c>
      <c r="N1393" t="s">
        <v>237</v>
      </c>
      <c r="O1393" s="27">
        <v>46063</v>
      </c>
    </row>
    <row r="1394" spans="2:15" hidden="1" x14ac:dyDescent="0.3">
      <c r="B1394">
        <v>2411460</v>
      </c>
      <c r="C1394" t="s">
        <v>231</v>
      </c>
      <c r="D1394">
        <v>72444</v>
      </c>
      <c r="E1394" t="s">
        <v>150</v>
      </c>
      <c r="F1394" t="s">
        <v>412</v>
      </c>
      <c r="G1394" s="28">
        <v>29</v>
      </c>
      <c r="H1394" s="32">
        <v>6.39</v>
      </c>
      <c r="I1394" s="32">
        <v>820.62</v>
      </c>
      <c r="J1394" t="s">
        <v>239</v>
      </c>
      <c r="K1394" t="s">
        <v>245</v>
      </c>
      <c r="L1394" t="s">
        <v>235</v>
      </c>
      <c r="M1394" t="s">
        <v>236</v>
      </c>
      <c r="N1394" t="s">
        <v>240</v>
      </c>
      <c r="O1394" s="27">
        <v>46055</v>
      </c>
    </row>
    <row r="1395" spans="2:15" hidden="1" x14ac:dyDescent="0.3">
      <c r="B1395">
        <v>2727239</v>
      </c>
      <c r="C1395" t="s">
        <v>231</v>
      </c>
      <c r="D1395">
        <v>21559</v>
      </c>
      <c r="E1395" t="s">
        <v>150</v>
      </c>
      <c r="F1395" t="s">
        <v>164</v>
      </c>
      <c r="G1395" s="28">
        <v>29</v>
      </c>
      <c r="H1395" s="32">
        <v>6.36</v>
      </c>
      <c r="I1395" s="32">
        <v>1409.94</v>
      </c>
      <c r="J1395" t="s">
        <v>239</v>
      </c>
      <c r="K1395" t="s">
        <v>245</v>
      </c>
      <c r="L1395" t="s">
        <v>235</v>
      </c>
      <c r="M1395" t="s">
        <v>236</v>
      </c>
      <c r="N1395" t="s">
        <v>240</v>
      </c>
      <c r="O1395" s="27">
        <v>46063</v>
      </c>
    </row>
    <row r="1396" spans="2:15" hidden="1" x14ac:dyDescent="0.3">
      <c r="B1396">
        <v>2802178</v>
      </c>
      <c r="C1396" t="s">
        <v>260</v>
      </c>
      <c r="D1396">
        <v>72444</v>
      </c>
      <c r="E1396" t="s">
        <v>150</v>
      </c>
      <c r="F1396" t="s">
        <v>282</v>
      </c>
      <c r="G1396" s="28">
        <v>8</v>
      </c>
      <c r="H1396" s="32">
        <v>6.35</v>
      </c>
      <c r="I1396" s="32">
        <v>406.88</v>
      </c>
      <c r="J1396" t="s">
        <v>239</v>
      </c>
      <c r="K1396" t="s">
        <v>245</v>
      </c>
      <c r="L1396" t="s">
        <v>235</v>
      </c>
      <c r="M1396" t="s">
        <v>236</v>
      </c>
      <c r="N1396" t="s">
        <v>240</v>
      </c>
      <c r="O1396" s="27">
        <v>46055</v>
      </c>
    </row>
    <row r="1397" spans="2:15" hidden="1" x14ac:dyDescent="0.3">
      <c r="B1397">
        <v>2411460</v>
      </c>
      <c r="C1397" t="s">
        <v>231</v>
      </c>
      <c r="D1397">
        <v>72444</v>
      </c>
      <c r="E1397" t="s">
        <v>150</v>
      </c>
      <c r="F1397" t="s">
        <v>282</v>
      </c>
      <c r="G1397" s="28">
        <v>16</v>
      </c>
      <c r="H1397" s="32">
        <v>6.34</v>
      </c>
      <c r="I1397" s="32">
        <v>813.77</v>
      </c>
      <c r="J1397" t="s">
        <v>239</v>
      </c>
      <c r="K1397" t="s">
        <v>245</v>
      </c>
      <c r="L1397" t="s">
        <v>235</v>
      </c>
      <c r="M1397" t="s">
        <v>236</v>
      </c>
      <c r="N1397" t="s">
        <v>240</v>
      </c>
      <c r="O1397" s="27">
        <v>46055</v>
      </c>
    </row>
    <row r="1398" spans="2:15" hidden="1" x14ac:dyDescent="0.3">
      <c r="B1398">
        <v>11593572</v>
      </c>
      <c r="C1398" t="s">
        <v>231</v>
      </c>
      <c r="D1398">
        <v>22674</v>
      </c>
      <c r="E1398" t="s">
        <v>150</v>
      </c>
      <c r="F1398" t="s">
        <v>306</v>
      </c>
      <c r="G1398" s="28">
        <v>73</v>
      </c>
      <c r="H1398" s="32">
        <v>6.34</v>
      </c>
      <c r="I1398" s="32">
        <v>657.31</v>
      </c>
      <c r="J1398" t="s">
        <v>267</v>
      </c>
      <c r="K1398" t="s">
        <v>245</v>
      </c>
      <c r="L1398" t="s">
        <v>235</v>
      </c>
      <c r="M1398" t="s">
        <v>236</v>
      </c>
      <c r="N1398" t="s">
        <v>237</v>
      </c>
      <c r="O1398" s="27">
        <v>46056</v>
      </c>
    </row>
    <row r="1399" spans="2:15" hidden="1" x14ac:dyDescent="0.3">
      <c r="B1399">
        <v>2051406</v>
      </c>
      <c r="C1399" t="s">
        <v>231</v>
      </c>
      <c r="D1399">
        <v>25104</v>
      </c>
      <c r="E1399" t="s">
        <v>150</v>
      </c>
      <c r="F1399" t="s">
        <v>298</v>
      </c>
      <c r="G1399" s="28">
        <v>34</v>
      </c>
      <c r="H1399" s="32">
        <v>6.33</v>
      </c>
      <c r="I1399" s="32">
        <v>558.17999999999995</v>
      </c>
      <c r="J1399" t="s">
        <v>239</v>
      </c>
      <c r="K1399" t="s">
        <v>245</v>
      </c>
      <c r="L1399" t="s">
        <v>235</v>
      </c>
      <c r="M1399" t="s">
        <v>236</v>
      </c>
      <c r="N1399" t="s">
        <v>237</v>
      </c>
      <c r="O1399" s="27">
        <v>46055</v>
      </c>
    </row>
    <row r="1400" spans="2:15" hidden="1" x14ac:dyDescent="0.3">
      <c r="B1400">
        <v>7768707</v>
      </c>
      <c r="C1400" t="s">
        <v>260</v>
      </c>
      <c r="D1400">
        <v>21559</v>
      </c>
      <c r="E1400" t="s">
        <v>150</v>
      </c>
      <c r="F1400" t="s">
        <v>163</v>
      </c>
      <c r="G1400" s="28">
        <v>18</v>
      </c>
      <c r="H1400" s="32">
        <v>6.33</v>
      </c>
      <c r="I1400" s="32">
        <v>251.3</v>
      </c>
      <c r="J1400" t="s">
        <v>239</v>
      </c>
      <c r="K1400" t="s">
        <v>245</v>
      </c>
      <c r="L1400" t="s">
        <v>235</v>
      </c>
      <c r="M1400" t="s">
        <v>236</v>
      </c>
      <c r="N1400" t="s">
        <v>237</v>
      </c>
      <c r="O1400" s="27">
        <v>46063</v>
      </c>
    </row>
    <row r="1401" spans="2:15" hidden="1" x14ac:dyDescent="0.3">
      <c r="B1401">
        <v>3317498</v>
      </c>
      <c r="C1401" t="s">
        <v>231</v>
      </c>
      <c r="D1401">
        <v>69493</v>
      </c>
      <c r="E1401" t="s">
        <v>150</v>
      </c>
      <c r="F1401" t="s">
        <v>164</v>
      </c>
      <c r="G1401" s="28">
        <v>28</v>
      </c>
      <c r="H1401" s="32">
        <v>6.31</v>
      </c>
      <c r="I1401" s="32">
        <v>1360.95</v>
      </c>
      <c r="J1401" t="s">
        <v>239</v>
      </c>
      <c r="K1401" t="s">
        <v>245</v>
      </c>
      <c r="L1401" t="s">
        <v>235</v>
      </c>
      <c r="M1401" t="s">
        <v>236</v>
      </c>
      <c r="N1401" t="s">
        <v>240</v>
      </c>
      <c r="O1401" s="27">
        <v>46063</v>
      </c>
    </row>
    <row r="1402" spans="2:15" hidden="1" x14ac:dyDescent="0.3">
      <c r="B1402">
        <v>2922242</v>
      </c>
      <c r="C1402" t="s">
        <v>260</v>
      </c>
      <c r="D1402">
        <v>69519</v>
      </c>
      <c r="E1402" t="s">
        <v>150</v>
      </c>
      <c r="F1402" t="s">
        <v>380</v>
      </c>
      <c r="G1402" s="28">
        <v>64</v>
      </c>
      <c r="H1402" s="32">
        <v>6.31</v>
      </c>
      <c r="I1402" s="32">
        <v>1173.1199999999999</v>
      </c>
      <c r="J1402" t="s">
        <v>330</v>
      </c>
      <c r="K1402" t="s">
        <v>234</v>
      </c>
      <c r="L1402" t="s">
        <v>235</v>
      </c>
      <c r="M1402" t="s">
        <v>236</v>
      </c>
      <c r="N1402" t="s">
        <v>237</v>
      </c>
      <c r="O1402" s="27">
        <v>46062</v>
      </c>
    </row>
    <row r="1403" spans="2:15" hidden="1" x14ac:dyDescent="0.3">
      <c r="B1403">
        <v>4358018</v>
      </c>
      <c r="C1403" t="s">
        <v>231</v>
      </c>
      <c r="D1403">
        <v>23410</v>
      </c>
      <c r="E1403" t="s">
        <v>150</v>
      </c>
      <c r="F1403" t="s">
        <v>298</v>
      </c>
      <c r="G1403" s="28">
        <v>15</v>
      </c>
      <c r="H1403" s="32">
        <v>6.3</v>
      </c>
      <c r="I1403" s="32">
        <v>261.17</v>
      </c>
      <c r="J1403" t="s">
        <v>239</v>
      </c>
      <c r="K1403" t="s">
        <v>245</v>
      </c>
      <c r="L1403" t="s">
        <v>235</v>
      </c>
      <c r="M1403" t="s">
        <v>236</v>
      </c>
      <c r="N1403" t="s">
        <v>237</v>
      </c>
      <c r="O1403" s="27">
        <v>46063</v>
      </c>
    </row>
    <row r="1404" spans="2:15" hidden="1" x14ac:dyDescent="0.3">
      <c r="B1404">
        <v>4658833</v>
      </c>
      <c r="C1404" t="s">
        <v>260</v>
      </c>
      <c r="D1404">
        <v>38517</v>
      </c>
      <c r="E1404" t="s">
        <v>150</v>
      </c>
      <c r="F1404" t="s">
        <v>319</v>
      </c>
      <c r="G1404" s="28">
        <v>27</v>
      </c>
      <c r="H1404" s="32">
        <v>6.3</v>
      </c>
      <c r="I1404" s="32">
        <v>1016.07</v>
      </c>
      <c r="J1404" t="s">
        <v>239</v>
      </c>
      <c r="K1404" t="s">
        <v>245</v>
      </c>
      <c r="L1404" t="s">
        <v>235</v>
      </c>
      <c r="M1404" t="s">
        <v>236</v>
      </c>
      <c r="N1404" t="s">
        <v>237</v>
      </c>
      <c r="O1404" s="27">
        <v>46055</v>
      </c>
    </row>
    <row r="1405" spans="2:15" hidden="1" x14ac:dyDescent="0.3">
      <c r="B1405">
        <v>5362471</v>
      </c>
      <c r="C1405" t="s">
        <v>260</v>
      </c>
      <c r="D1405">
        <v>22674</v>
      </c>
      <c r="E1405" t="s">
        <v>150</v>
      </c>
      <c r="F1405" t="s">
        <v>163</v>
      </c>
      <c r="G1405" s="28">
        <v>25</v>
      </c>
      <c r="H1405" s="32">
        <v>6.29</v>
      </c>
      <c r="I1405" s="32">
        <v>349.05</v>
      </c>
      <c r="J1405" t="s">
        <v>239</v>
      </c>
      <c r="K1405" t="s">
        <v>245</v>
      </c>
      <c r="L1405" t="s">
        <v>235</v>
      </c>
      <c r="M1405" t="s">
        <v>236</v>
      </c>
      <c r="N1405" t="s">
        <v>237</v>
      </c>
      <c r="O1405" s="27">
        <v>46063</v>
      </c>
    </row>
    <row r="1406" spans="2:15" hidden="1" x14ac:dyDescent="0.3">
      <c r="B1406">
        <v>5370675</v>
      </c>
      <c r="C1406" t="s">
        <v>260</v>
      </c>
      <c r="D1406">
        <v>71881</v>
      </c>
      <c r="E1406" t="s">
        <v>150</v>
      </c>
      <c r="F1406" t="s">
        <v>246</v>
      </c>
      <c r="G1406" s="28">
        <v>15</v>
      </c>
      <c r="H1406" s="32">
        <v>6.26</v>
      </c>
      <c r="I1406" s="32">
        <v>557.20000000000005</v>
      </c>
      <c r="J1406" t="s">
        <v>239</v>
      </c>
      <c r="K1406" t="s">
        <v>245</v>
      </c>
      <c r="L1406" t="s">
        <v>235</v>
      </c>
      <c r="M1406" t="s">
        <v>236</v>
      </c>
      <c r="N1406" t="s">
        <v>237</v>
      </c>
      <c r="O1406" s="27">
        <v>46063</v>
      </c>
    </row>
    <row r="1407" spans="2:15" hidden="1" x14ac:dyDescent="0.3">
      <c r="B1407">
        <v>2013549</v>
      </c>
      <c r="C1407" t="s">
        <v>231</v>
      </c>
      <c r="D1407">
        <v>23648</v>
      </c>
      <c r="E1407" t="s">
        <v>150</v>
      </c>
      <c r="F1407" t="s">
        <v>381</v>
      </c>
      <c r="G1407" s="28">
        <v>78</v>
      </c>
      <c r="H1407" s="32">
        <v>6.25</v>
      </c>
      <c r="I1407" s="32">
        <v>1216.5</v>
      </c>
      <c r="J1407" t="s">
        <v>330</v>
      </c>
      <c r="K1407" t="s">
        <v>234</v>
      </c>
      <c r="L1407" t="s">
        <v>235</v>
      </c>
      <c r="M1407" t="s">
        <v>236</v>
      </c>
      <c r="N1407" t="s">
        <v>237</v>
      </c>
      <c r="O1407" s="27">
        <v>46059</v>
      </c>
    </row>
    <row r="1408" spans="2:15" hidden="1" x14ac:dyDescent="0.3">
      <c r="B1408">
        <v>8142187</v>
      </c>
      <c r="C1408" t="s">
        <v>260</v>
      </c>
      <c r="D1408">
        <v>21468</v>
      </c>
      <c r="E1408" t="s">
        <v>150</v>
      </c>
      <c r="F1408" t="s">
        <v>282</v>
      </c>
      <c r="G1408" s="28">
        <v>12</v>
      </c>
      <c r="H1408" s="32">
        <v>6.25</v>
      </c>
      <c r="I1408" s="32">
        <v>613</v>
      </c>
      <c r="J1408" t="s">
        <v>239</v>
      </c>
      <c r="K1408" t="s">
        <v>245</v>
      </c>
      <c r="L1408" t="s">
        <v>235</v>
      </c>
      <c r="M1408" t="s">
        <v>236</v>
      </c>
      <c r="N1408" t="s">
        <v>240</v>
      </c>
      <c r="O1408" s="27">
        <v>46063</v>
      </c>
    </row>
    <row r="1409" spans="2:15" hidden="1" x14ac:dyDescent="0.3">
      <c r="B1409">
        <v>750270</v>
      </c>
      <c r="C1409" t="s">
        <v>231</v>
      </c>
      <c r="D1409">
        <v>22674</v>
      </c>
      <c r="E1409" t="s">
        <v>150</v>
      </c>
      <c r="F1409" t="s">
        <v>380</v>
      </c>
      <c r="G1409" s="28">
        <v>58</v>
      </c>
      <c r="H1409" s="32">
        <v>6.24</v>
      </c>
      <c r="I1409" s="32">
        <v>1061.4000000000001</v>
      </c>
      <c r="J1409" t="s">
        <v>330</v>
      </c>
      <c r="K1409" t="s">
        <v>234</v>
      </c>
      <c r="L1409" t="s">
        <v>235</v>
      </c>
      <c r="M1409" t="s">
        <v>236</v>
      </c>
      <c r="N1409" t="s">
        <v>237</v>
      </c>
      <c r="O1409" s="27">
        <v>46065</v>
      </c>
    </row>
    <row r="1410" spans="2:15" hidden="1" x14ac:dyDescent="0.3">
      <c r="B1410">
        <v>2013549</v>
      </c>
      <c r="C1410" t="s">
        <v>231</v>
      </c>
      <c r="D1410">
        <v>23648</v>
      </c>
      <c r="E1410" t="s">
        <v>150</v>
      </c>
      <c r="F1410" t="s">
        <v>345</v>
      </c>
      <c r="G1410" s="28">
        <v>26</v>
      </c>
      <c r="H1410" s="32">
        <v>6.24</v>
      </c>
      <c r="I1410" s="32">
        <v>1213.94</v>
      </c>
      <c r="J1410" t="s">
        <v>330</v>
      </c>
      <c r="K1410" t="s">
        <v>234</v>
      </c>
      <c r="L1410" t="s">
        <v>235</v>
      </c>
      <c r="M1410" t="s">
        <v>236</v>
      </c>
      <c r="N1410" t="s">
        <v>237</v>
      </c>
      <c r="O1410" s="27">
        <v>46059</v>
      </c>
    </row>
    <row r="1411" spans="2:15" hidden="1" x14ac:dyDescent="0.3">
      <c r="B1411">
        <v>4089266</v>
      </c>
      <c r="C1411" t="s">
        <v>260</v>
      </c>
      <c r="D1411">
        <v>22674</v>
      </c>
      <c r="E1411" t="s">
        <v>150</v>
      </c>
      <c r="F1411" t="s">
        <v>163</v>
      </c>
      <c r="G1411" s="28">
        <v>26</v>
      </c>
      <c r="H1411" s="32">
        <v>6.24</v>
      </c>
      <c r="I1411" s="32">
        <v>363.01</v>
      </c>
      <c r="J1411" t="s">
        <v>239</v>
      </c>
      <c r="K1411" t="s">
        <v>245</v>
      </c>
      <c r="L1411" t="s">
        <v>235</v>
      </c>
      <c r="M1411" t="s">
        <v>236</v>
      </c>
      <c r="N1411" t="s">
        <v>237</v>
      </c>
      <c r="O1411" s="27">
        <v>46063</v>
      </c>
    </row>
    <row r="1412" spans="2:15" hidden="1" x14ac:dyDescent="0.3">
      <c r="B1412">
        <v>440722</v>
      </c>
      <c r="C1412" t="s">
        <v>231</v>
      </c>
      <c r="D1412">
        <v>21468</v>
      </c>
      <c r="E1412" t="s">
        <v>150</v>
      </c>
      <c r="F1412" t="s">
        <v>287</v>
      </c>
      <c r="G1412" s="28">
        <v>28</v>
      </c>
      <c r="H1412" s="32">
        <v>6.23</v>
      </c>
      <c r="I1412" s="32">
        <v>882.05</v>
      </c>
      <c r="J1412" t="s">
        <v>239</v>
      </c>
      <c r="K1412" t="s">
        <v>245</v>
      </c>
      <c r="L1412" t="s">
        <v>235</v>
      </c>
      <c r="M1412" t="s">
        <v>236</v>
      </c>
      <c r="N1412" t="s">
        <v>237</v>
      </c>
      <c r="O1412" s="27">
        <v>46062</v>
      </c>
    </row>
    <row r="1413" spans="2:15" hidden="1" x14ac:dyDescent="0.3">
      <c r="B1413">
        <v>5263260</v>
      </c>
      <c r="C1413" t="s">
        <v>231</v>
      </c>
      <c r="D1413">
        <v>23648</v>
      </c>
      <c r="E1413" t="s">
        <v>150</v>
      </c>
      <c r="F1413" t="s">
        <v>282</v>
      </c>
      <c r="G1413" s="28">
        <v>14</v>
      </c>
      <c r="H1413" s="32">
        <v>6.23</v>
      </c>
      <c r="I1413" s="32">
        <v>715.11</v>
      </c>
      <c r="J1413" t="s">
        <v>239</v>
      </c>
      <c r="K1413" t="s">
        <v>245</v>
      </c>
      <c r="L1413" t="s">
        <v>235</v>
      </c>
      <c r="M1413" t="s">
        <v>236</v>
      </c>
      <c r="N1413" t="s">
        <v>240</v>
      </c>
      <c r="O1413" s="27">
        <v>46063</v>
      </c>
    </row>
    <row r="1414" spans="2:15" hidden="1" x14ac:dyDescent="0.3">
      <c r="B1414">
        <v>3310896</v>
      </c>
      <c r="C1414" t="s">
        <v>260</v>
      </c>
      <c r="D1414">
        <v>21559</v>
      </c>
      <c r="E1414" t="s">
        <v>150</v>
      </c>
      <c r="F1414" t="s">
        <v>162</v>
      </c>
      <c r="G1414" s="28">
        <v>14</v>
      </c>
      <c r="H1414" s="32">
        <v>6.23</v>
      </c>
      <c r="I1414" s="32">
        <v>827.27</v>
      </c>
      <c r="J1414" t="s">
        <v>239</v>
      </c>
      <c r="K1414" t="s">
        <v>245</v>
      </c>
      <c r="L1414" t="s">
        <v>235</v>
      </c>
      <c r="M1414" t="s">
        <v>236</v>
      </c>
      <c r="N1414" t="s">
        <v>240</v>
      </c>
      <c r="O1414" s="27">
        <v>46063</v>
      </c>
    </row>
    <row r="1415" spans="2:15" hidden="1" x14ac:dyDescent="0.3">
      <c r="B1415">
        <v>8781959</v>
      </c>
      <c r="C1415" t="s">
        <v>231</v>
      </c>
      <c r="D1415">
        <v>72444</v>
      </c>
      <c r="E1415" t="s">
        <v>150</v>
      </c>
      <c r="F1415" t="s">
        <v>246</v>
      </c>
      <c r="G1415" s="28">
        <v>26</v>
      </c>
      <c r="H1415" s="32">
        <v>6.22</v>
      </c>
      <c r="I1415" s="32">
        <v>965.82</v>
      </c>
      <c r="J1415" t="s">
        <v>239</v>
      </c>
      <c r="K1415" t="s">
        <v>245</v>
      </c>
      <c r="L1415" t="s">
        <v>235</v>
      </c>
      <c r="M1415" t="s">
        <v>236</v>
      </c>
      <c r="N1415" t="s">
        <v>237</v>
      </c>
      <c r="O1415" s="27">
        <v>46063</v>
      </c>
    </row>
    <row r="1416" spans="2:15" hidden="1" x14ac:dyDescent="0.3">
      <c r="B1416">
        <v>4089266</v>
      </c>
      <c r="C1416" t="s">
        <v>260</v>
      </c>
      <c r="D1416">
        <v>22674</v>
      </c>
      <c r="E1416" t="s">
        <v>150</v>
      </c>
      <c r="F1416" t="s">
        <v>282</v>
      </c>
      <c r="G1416" s="28">
        <v>13</v>
      </c>
      <c r="H1416" s="32">
        <v>6.22</v>
      </c>
      <c r="I1416" s="32">
        <v>664.03</v>
      </c>
      <c r="J1416" t="s">
        <v>239</v>
      </c>
      <c r="K1416" t="s">
        <v>245</v>
      </c>
      <c r="L1416" t="s">
        <v>235</v>
      </c>
      <c r="M1416" t="s">
        <v>236</v>
      </c>
      <c r="N1416" t="s">
        <v>240</v>
      </c>
      <c r="O1416" s="27">
        <v>46063</v>
      </c>
    </row>
    <row r="1417" spans="2:15" hidden="1" x14ac:dyDescent="0.3">
      <c r="B1417">
        <v>4089266</v>
      </c>
      <c r="C1417" t="s">
        <v>260</v>
      </c>
      <c r="D1417">
        <v>22674</v>
      </c>
      <c r="E1417" t="s">
        <v>150</v>
      </c>
      <c r="F1417" t="s">
        <v>246</v>
      </c>
      <c r="G1417" s="28">
        <v>16</v>
      </c>
      <c r="H1417" s="32">
        <v>6.22</v>
      </c>
      <c r="I1417" s="32">
        <v>594.34</v>
      </c>
      <c r="J1417" t="s">
        <v>239</v>
      </c>
      <c r="K1417" t="s">
        <v>245</v>
      </c>
      <c r="L1417" t="s">
        <v>235</v>
      </c>
      <c r="M1417" t="s">
        <v>236</v>
      </c>
      <c r="N1417" t="s">
        <v>237</v>
      </c>
      <c r="O1417" s="27">
        <v>46063</v>
      </c>
    </row>
    <row r="1418" spans="2:15" hidden="1" x14ac:dyDescent="0.3">
      <c r="B1418">
        <v>4868551</v>
      </c>
      <c r="C1418" t="s">
        <v>231</v>
      </c>
      <c r="D1418">
        <v>22674</v>
      </c>
      <c r="E1418" t="s">
        <v>150</v>
      </c>
      <c r="F1418" t="s">
        <v>282</v>
      </c>
      <c r="G1418" s="28">
        <v>12</v>
      </c>
      <c r="H1418" s="32">
        <v>6.2</v>
      </c>
      <c r="I1418" s="32">
        <v>612.99</v>
      </c>
      <c r="J1418" t="s">
        <v>239</v>
      </c>
      <c r="K1418" t="s">
        <v>245</v>
      </c>
      <c r="L1418" t="s">
        <v>235</v>
      </c>
      <c r="M1418" t="s">
        <v>236</v>
      </c>
      <c r="N1418" t="s">
        <v>240</v>
      </c>
      <c r="O1418" s="27">
        <v>46063</v>
      </c>
    </row>
    <row r="1419" spans="2:15" hidden="1" x14ac:dyDescent="0.3">
      <c r="B1419">
        <v>18872460</v>
      </c>
      <c r="C1419" t="s">
        <v>231</v>
      </c>
      <c r="D1419">
        <v>74304</v>
      </c>
      <c r="E1419" t="s">
        <v>150</v>
      </c>
      <c r="F1419" t="s">
        <v>164</v>
      </c>
      <c r="G1419" s="28">
        <v>26</v>
      </c>
      <c r="H1419" s="32">
        <v>6.2</v>
      </c>
      <c r="I1419" s="32">
        <v>1191.6300000000001</v>
      </c>
      <c r="J1419" t="s">
        <v>239</v>
      </c>
      <c r="K1419" t="s">
        <v>245</v>
      </c>
      <c r="L1419" t="s">
        <v>235</v>
      </c>
      <c r="M1419" t="s">
        <v>236</v>
      </c>
      <c r="N1419" t="s">
        <v>240</v>
      </c>
      <c r="O1419" s="27">
        <v>46055</v>
      </c>
    </row>
    <row r="1420" spans="2:15" hidden="1" x14ac:dyDescent="0.3">
      <c r="B1420">
        <v>3687422</v>
      </c>
      <c r="C1420" t="s">
        <v>260</v>
      </c>
      <c r="D1420">
        <v>68542</v>
      </c>
      <c r="E1420" t="s">
        <v>150</v>
      </c>
      <c r="F1420" t="s">
        <v>396</v>
      </c>
      <c r="G1420" s="28">
        <v>144</v>
      </c>
      <c r="H1420" s="32">
        <v>6.2</v>
      </c>
      <c r="I1420" s="32">
        <v>1303.43</v>
      </c>
      <c r="J1420" t="s">
        <v>267</v>
      </c>
      <c r="K1420" t="s">
        <v>245</v>
      </c>
      <c r="L1420" t="s">
        <v>235</v>
      </c>
      <c r="M1420" t="s">
        <v>236</v>
      </c>
      <c r="N1420" t="s">
        <v>240</v>
      </c>
      <c r="O1420" s="27">
        <v>46057</v>
      </c>
    </row>
    <row r="1421" spans="2:15" hidden="1" x14ac:dyDescent="0.3">
      <c r="B1421">
        <v>16951176</v>
      </c>
      <c r="C1421" t="s">
        <v>231</v>
      </c>
      <c r="D1421">
        <v>49894</v>
      </c>
      <c r="E1421" t="s">
        <v>150</v>
      </c>
      <c r="F1421" t="s">
        <v>452</v>
      </c>
      <c r="G1421" s="28">
        <v>67</v>
      </c>
      <c r="H1421" s="32">
        <v>6.18</v>
      </c>
      <c r="I1421" s="32">
        <v>1134.44</v>
      </c>
      <c r="J1421" t="s">
        <v>330</v>
      </c>
      <c r="K1421" t="s">
        <v>245</v>
      </c>
      <c r="L1421" t="s">
        <v>235</v>
      </c>
      <c r="M1421" t="s">
        <v>236</v>
      </c>
      <c r="N1421" t="s">
        <v>240</v>
      </c>
      <c r="O1421" s="27">
        <v>46056</v>
      </c>
    </row>
    <row r="1422" spans="2:15" x14ac:dyDescent="0.3">
      <c r="B1422">
        <v>7397602</v>
      </c>
      <c r="C1422" t="s">
        <v>231</v>
      </c>
      <c r="D1422">
        <v>22103</v>
      </c>
      <c r="E1422" t="s">
        <v>150</v>
      </c>
      <c r="F1422" t="s">
        <v>160</v>
      </c>
      <c r="G1422" s="28">
        <v>14</v>
      </c>
      <c r="H1422" s="32">
        <v>6.17</v>
      </c>
      <c r="I1422" s="32">
        <v>1167.47</v>
      </c>
      <c r="J1422" t="s">
        <v>239</v>
      </c>
      <c r="K1422" t="s">
        <v>245</v>
      </c>
      <c r="L1422" t="s">
        <v>235</v>
      </c>
      <c r="M1422" t="s">
        <v>236</v>
      </c>
      <c r="N1422" t="s">
        <v>240</v>
      </c>
      <c r="O1422" s="27">
        <v>46072</v>
      </c>
    </row>
    <row r="1423" spans="2:15" hidden="1" x14ac:dyDescent="0.3">
      <c r="B1423">
        <v>54685</v>
      </c>
      <c r="C1423" t="s">
        <v>260</v>
      </c>
      <c r="D1423">
        <v>22674</v>
      </c>
      <c r="E1423" t="s">
        <v>150</v>
      </c>
      <c r="F1423" t="s">
        <v>385</v>
      </c>
      <c r="G1423" s="28">
        <v>61</v>
      </c>
      <c r="H1423" s="32">
        <v>6.17</v>
      </c>
      <c r="I1423" s="32">
        <v>1066.8900000000001</v>
      </c>
      <c r="J1423" t="s">
        <v>330</v>
      </c>
      <c r="K1423" t="s">
        <v>234</v>
      </c>
      <c r="L1423" t="s">
        <v>235</v>
      </c>
      <c r="M1423" t="s">
        <v>236</v>
      </c>
      <c r="N1423" t="s">
        <v>240</v>
      </c>
      <c r="O1423" s="27">
        <v>46063</v>
      </c>
    </row>
    <row r="1424" spans="2:15" hidden="1" x14ac:dyDescent="0.3">
      <c r="B1424">
        <v>2411460</v>
      </c>
      <c r="C1424" t="s">
        <v>231</v>
      </c>
      <c r="D1424">
        <v>72444</v>
      </c>
      <c r="E1424" t="s">
        <v>150</v>
      </c>
      <c r="F1424" t="s">
        <v>298</v>
      </c>
      <c r="G1424" s="28">
        <v>48</v>
      </c>
      <c r="H1424" s="32">
        <v>6.14</v>
      </c>
      <c r="I1424" s="32">
        <v>788.02</v>
      </c>
      <c r="J1424" t="s">
        <v>239</v>
      </c>
      <c r="K1424" t="s">
        <v>245</v>
      </c>
      <c r="L1424" t="s">
        <v>235</v>
      </c>
      <c r="M1424" t="s">
        <v>236</v>
      </c>
      <c r="N1424" t="s">
        <v>237</v>
      </c>
      <c r="O1424" s="27">
        <v>46055</v>
      </c>
    </row>
    <row r="1425" spans="2:15" hidden="1" x14ac:dyDescent="0.3">
      <c r="B1425">
        <v>8668372</v>
      </c>
      <c r="C1425" t="s">
        <v>231</v>
      </c>
      <c r="D1425">
        <v>25619</v>
      </c>
      <c r="E1425" t="s">
        <v>150</v>
      </c>
      <c r="F1425" t="s">
        <v>369</v>
      </c>
      <c r="G1425" s="28">
        <v>12</v>
      </c>
      <c r="H1425" s="32">
        <v>6.14</v>
      </c>
      <c r="I1425" s="32">
        <v>620.24</v>
      </c>
      <c r="J1425" t="s">
        <v>239</v>
      </c>
      <c r="K1425" t="s">
        <v>245</v>
      </c>
      <c r="L1425" t="s">
        <v>235</v>
      </c>
      <c r="M1425" t="s">
        <v>236</v>
      </c>
      <c r="N1425" t="s">
        <v>240</v>
      </c>
      <c r="O1425" s="27">
        <v>46055</v>
      </c>
    </row>
    <row r="1426" spans="2:15" hidden="1" x14ac:dyDescent="0.3">
      <c r="B1426">
        <v>374210</v>
      </c>
      <c r="C1426" t="s">
        <v>260</v>
      </c>
      <c r="D1426">
        <v>24415</v>
      </c>
      <c r="E1426" t="s">
        <v>150</v>
      </c>
      <c r="F1426" t="s">
        <v>298</v>
      </c>
      <c r="G1426" s="28">
        <v>39</v>
      </c>
      <c r="H1426" s="32">
        <v>6.13</v>
      </c>
      <c r="I1426" s="32">
        <v>694.14</v>
      </c>
      <c r="J1426" t="s">
        <v>239</v>
      </c>
      <c r="K1426" t="s">
        <v>245</v>
      </c>
      <c r="L1426" t="s">
        <v>235</v>
      </c>
      <c r="M1426" t="s">
        <v>236</v>
      </c>
      <c r="N1426" t="s">
        <v>240</v>
      </c>
      <c r="O1426" s="27">
        <v>46072</v>
      </c>
    </row>
    <row r="1427" spans="2:15" hidden="1" x14ac:dyDescent="0.3">
      <c r="B1427">
        <v>3953521</v>
      </c>
      <c r="C1427" t="s">
        <v>231</v>
      </c>
      <c r="D1427">
        <v>38517</v>
      </c>
      <c r="E1427" t="s">
        <v>150</v>
      </c>
      <c r="F1427" t="s">
        <v>164</v>
      </c>
      <c r="G1427" s="28">
        <v>25</v>
      </c>
      <c r="H1427" s="32">
        <v>6.12</v>
      </c>
      <c r="I1427" s="32">
        <v>1215.25</v>
      </c>
      <c r="J1427" t="s">
        <v>239</v>
      </c>
      <c r="K1427" t="s">
        <v>245</v>
      </c>
      <c r="L1427" t="s">
        <v>235</v>
      </c>
      <c r="M1427" t="s">
        <v>236</v>
      </c>
      <c r="N1427" t="s">
        <v>237</v>
      </c>
      <c r="O1427" s="27">
        <v>46063</v>
      </c>
    </row>
    <row r="1428" spans="2:15" hidden="1" x14ac:dyDescent="0.3">
      <c r="B1428">
        <v>3055824</v>
      </c>
      <c r="C1428" t="s">
        <v>231</v>
      </c>
      <c r="D1428">
        <v>96553</v>
      </c>
      <c r="E1428" t="s">
        <v>150</v>
      </c>
      <c r="F1428" t="s">
        <v>246</v>
      </c>
      <c r="G1428" s="28">
        <v>16</v>
      </c>
      <c r="H1428" s="32">
        <v>6.1</v>
      </c>
      <c r="I1428" s="32">
        <v>594.34</v>
      </c>
      <c r="J1428" t="s">
        <v>239</v>
      </c>
      <c r="K1428" t="s">
        <v>245</v>
      </c>
      <c r="L1428" t="s">
        <v>235</v>
      </c>
      <c r="M1428" t="s">
        <v>236</v>
      </c>
      <c r="N1428" t="s">
        <v>237</v>
      </c>
      <c r="O1428" s="27">
        <v>46063</v>
      </c>
    </row>
    <row r="1429" spans="2:15" hidden="1" x14ac:dyDescent="0.3">
      <c r="B1429">
        <v>3055824</v>
      </c>
      <c r="C1429" t="s">
        <v>231</v>
      </c>
      <c r="D1429">
        <v>96553</v>
      </c>
      <c r="E1429" t="s">
        <v>150</v>
      </c>
      <c r="F1429" t="s">
        <v>282</v>
      </c>
      <c r="G1429" s="28">
        <v>13</v>
      </c>
      <c r="H1429" s="32">
        <v>6.09</v>
      </c>
      <c r="I1429" s="32">
        <v>664.03</v>
      </c>
      <c r="J1429" t="s">
        <v>239</v>
      </c>
      <c r="K1429" t="s">
        <v>245</v>
      </c>
      <c r="L1429" t="s">
        <v>235</v>
      </c>
      <c r="M1429" t="s">
        <v>236</v>
      </c>
      <c r="N1429" t="s">
        <v>240</v>
      </c>
      <c r="O1429" s="27">
        <v>46063</v>
      </c>
    </row>
    <row r="1430" spans="2:15" hidden="1" x14ac:dyDescent="0.3">
      <c r="B1430">
        <v>11593572</v>
      </c>
      <c r="C1430" t="s">
        <v>231</v>
      </c>
      <c r="D1430">
        <v>22674</v>
      </c>
      <c r="E1430" t="s">
        <v>150</v>
      </c>
      <c r="F1430" t="s">
        <v>293</v>
      </c>
      <c r="G1430" s="28">
        <v>220</v>
      </c>
      <c r="H1430" s="32">
        <v>6.09</v>
      </c>
      <c r="I1430" s="32">
        <v>1903.16</v>
      </c>
      <c r="J1430" t="s">
        <v>267</v>
      </c>
      <c r="K1430" t="s">
        <v>245</v>
      </c>
      <c r="L1430" t="s">
        <v>235</v>
      </c>
      <c r="M1430" t="s">
        <v>236</v>
      </c>
      <c r="N1430" t="s">
        <v>240</v>
      </c>
      <c r="O1430" s="27">
        <v>46056</v>
      </c>
    </row>
    <row r="1431" spans="2:15" hidden="1" x14ac:dyDescent="0.3">
      <c r="B1431">
        <v>15974810</v>
      </c>
      <c r="C1431" t="s">
        <v>231</v>
      </c>
      <c r="D1431">
        <v>49894</v>
      </c>
      <c r="E1431" t="s">
        <v>150</v>
      </c>
      <c r="F1431" t="s">
        <v>164</v>
      </c>
      <c r="G1431" s="28">
        <v>27</v>
      </c>
      <c r="H1431" s="32">
        <v>6.08</v>
      </c>
      <c r="I1431" s="32">
        <v>1312.65</v>
      </c>
      <c r="J1431" t="s">
        <v>239</v>
      </c>
      <c r="K1431" t="s">
        <v>245</v>
      </c>
      <c r="L1431" t="s">
        <v>235</v>
      </c>
      <c r="M1431" t="s">
        <v>236</v>
      </c>
      <c r="N1431" t="s">
        <v>240</v>
      </c>
      <c r="O1431" s="27">
        <v>46063</v>
      </c>
    </row>
    <row r="1432" spans="2:15" hidden="1" x14ac:dyDescent="0.3">
      <c r="B1432">
        <v>5263260</v>
      </c>
      <c r="C1432" t="s">
        <v>231</v>
      </c>
      <c r="D1432">
        <v>23648</v>
      </c>
      <c r="E1432" t="s">
        <v>150</v>
      </c>
      <c r="F1432" t="s">
        <v>163</v>
      </c>
      <c r="G1432" s="28">
        <v>26</v>
      </c>
      <c r="H1432" s="32">
        <v>6.07</v>
      </c>
      <c r="I1432" s="32">
        <v>363.01</v>
      </c>
      <c r="J1432" t="s">
        <v>239</v>
      </c>
      <c r="K1432" t="s">
        <v>245</v>
      </c>
      <c r="L1432" t="s">
        <v>235</v>
      </c>
      <c r="M1432" t="s">
        <v>236</v>
      </c>
      <c r="N1432" t="s">
        <v>237</v>
      </c>
      <c r="O1432" s="27">
        <v>46063</v>
      </c>
    </row>
    <row r="1433" spans="2:15" hidden="1" x14ac:dyDescent="0.3">
      <c r="B1433">
        <v>9673848</v>
      </c>
      <c r="C1433" t="s">
        <v>231</v>
      </c>
      <c r="D1433">
        <v>22674</v>
      </c>
      <c r="E1433" t="s">
        <v>150</v>
      </c>
      <c r="F1433" t="s">
        <v>163</v>
      </c>
      <c r="G1433" s="28">
        <v>17</v>
      </c>
      <c r="H1433" s="32">
        <v>6.06</v>
      </c>
      <c r="I1433" s="32">
        <v>237.34</v>
      </c>
      <c r="J1433" t="s">
        <v>239</v>
      </c>
      <c r="K1433" t="s">
        <v>245</v>
      </c>
      <c r="L1433" t="s">
        <v>235</v>
      </c>
      <c r="M1433" t="s">
        <v>236</v>
      </c>
      <c r="N1433" t="s">
        <v>237</v>
      </c>
      <c r="O1433" s="27">
        <v>46063</v>
      </c>
    </row>
    <row r="1434" spans="2:15" hidden="1" x14ac:dyDescent="0.3">
      <c r="B1434">
        <v>15255517</v>
      </c>
      <c r="C1434" t="s">
        <v>231</v>
      </c>
      <c r="D1434">
        <v>23648</v>
      </c>
      <c r="E1434" t="s">
        <v>150</v>
      </c>
      <c r="F1434" t="s">
        <v>246</v>
      </c>
      <c r="G1434" s="28">
        <v>25</v>
      </c>
      <c r="H1434" s="32">
        <v>6.05</v>
      </c>
      <c r="I1434" s="32">
        <v>923.6</v>
      </c>
      <c r="J1434" t="s">
        <v>239</v>
      </c>
      <c r="K1434" t="s">
        <v>245</v>
      </c>
      <c r="L1434" t="s">
        <v>235</v>
      </c>
      <c r="M1434" t="s">
        <v>236</v>
      </c>
      <c r="N1434" t="s">
        <v>240</v>
      </c>
      <c r="O1434" s="27">
        <v>46055</v>
      </c>
    </row>
    <row r="1435" spans="2:15" hidden="1" x14ac:dyDescent="0.3">
      <c r="B1435">
        <v>6901714</v>
      </c>
      <c r="C1435" t="s">
        <v>260</v>
      </c>
      <c r="D1435">
        <v>71997</v>
      </c>
      <c r="E1435" t="s">
        <v>150</v>
      </c>
      <c r="F1435" t="s">
        <v>164</v>
      </c>
      <c r="G1435" s="28">
        <v>26</v>
      </c>
      <c r="H1435" s="32">
        <v>6.04</v>
      </c>
      <c r="I1435" s="32">
        <v>1264.19</v>
      </c>
      <c r="J1435" t="s">
        <v>239</v>
      </c>
      <c r="K1435" t="s">
        <v>245</v>
      </c>
      <c r="L1435" t="s">
        <v>235</v>
      </c>
      <c r="M1435" t="s">
        <v>236</v>
      </c>
      <c r="N1435" t="s">
        <v>240</v>
      </c>
      <c r="O1435" s="27">
        <v>46063</v>
      </c>
    </row>
    <row r="1436" spans="2:15" hidden="1" x14ac:dyDescent="0.3">
      <c r="B1436">
        <v>14471054</v>
      </c>
      <c r="C1436" t="s">
        <v>260</v>
      </c>
      <c r="D1436">
        <v>72444</v>
      </c>
      <c r="E1436" t="s">
        <v>150</v>
      </c>
      <c r="F1436" t="s">
        <v>246</v>
      </c>
      <c r="G1436" s="28">
        <v>12</v>
      </c>
      <c r="H1436" s="32">
        <v>6.04</v>
      </c>
      <c r="I1436" s="32">
        <v>443.41</v>
      </c>
      <c r="J1436" t="s">
        <v>239</v>
      </c>
      <c r="K1436" t="s">
        <v>245</v>
      </c>
      <c r="L1436" t="s">
        <v>235</v>
      </c>
      <c r="M1436" t="s">
        <v>236</v>
      </c>
      <c r="N1436" t="s">
        <v>237</v>
      </c>
      <c r="O1436" s="27">
        <v>46055</v>
      </c>
    </row>
    <row r="1437" spans="2:15" hidden="1" x14ac:dyDescent="0.3">
      <c r="B1437">
        <v>374210</v>
      </c>
      <c r="C1437" t="s">
        <v>260</v>
      </c>
      <c r="D1437">
        <v>24415</v>
      </c>
      <c r="E1437" t="s">
        <v>150</v>
      </c>
      <c r="F1437" t="s">
        <v>243</v>
      </c>
      <c r="G1437" s="28">
        <v>24</v>
      </c>
      <c r="H1437" s="32">
        <v>6.04</v>
      </c>
      <c r="I1437" s="32">
        <v>650.38</v>
      </c>
      <c r="J1437" t="s">
        <v>239</v>
      </c>
      <c r="K1437" t="s">
        <v>245</v>
      </c>
      <c r="L1437" t="s">
        <v>235</v>
      </c>
      <c r="M1437" t="s">
        <v>236</v>
      </c>
      <c r="N1437" t="s">
        <v>240</v>
      </c>
      <c r="O1437" s="27">
        <v>46072</v>
      </c>
    </row>
    <row r="1438" spans="2:15" x14ac:dyDescent="0.3">
      <c r="B1438">
        <v>4745805</v>
      </c>
      <c r="C1438" t="s">
        <v>231</v>
      </c>
      <c r="D1438">
        <v>22103</v>
      </c>
      <c r="E1438" t="s">
        <v>150</v>
      </c>
      <c r="F1438" t="s">
        <v>287</v>
      </c>
      <c r="G1438" s="28">
        <v>33</v>
      </c>
      <c r="H1438" s="32">
        <v>6.03</v>
      </c>
      <c r="I1438" s="32">
        <v>1034.98</v>
      </c>
      <c r="J1438" t="s">
        <v>239</v>
      </c>
      <c r="K1438" t="s">
        <v>245</v>
      </c>
      <c r="L1438" t="s">
        <v>235</v>
      </c>
      <c r="M1438" t="s">
        <v>236</v>
      </c>
      <c r="N1438" t="s">
        <v>237</v>
      </c>
      <c r="O1438" s="27">
        <v>46063</v>
      </c>
    </row>
    <row r="1439" spans="2:15" x14ac:dyDescent="0.3">
      <c r="B1439">
        <v>8907980</v>
      </c>
      <c r="C1439" t="s">
        <v>231</v>
      </c>
      <c r="D1439">
        <v>22103</v>
      </c>
      <c r="E1439" t="s">
        <v>150</v>
      </c>
      <c r="F1439" t="s">
        <v>298</v>
      </c>
      <c r="G1439" s="28">
        <v>38</v>
      </c>
      <c r="H1439" s="32">
        <v>6.03</v>
      </c>
      <c r="I1439" s="32">
        <v>676.25</v>
      </c>
      <c r="J1439" t="s">
        <v>239</v>
      </c>
      <c r="K1439" t="s">
        <v>245</v>
      </c>
      <c r="L1439" t="s">
        <v>235</v>
      </c>
      <c r="M1439" t="s">
        <v>236</v>
      </c>
      <c r="N1439" t="s">
        <v>240</v>
      </c>
      <c r="O1439" s="27">
        <v>46072</v>
      </c>
    </row>
    <row r="1440" spans="2:15" hidden="1" x14ac:dyDescent="0.3">
      <c r="B1440">
        <v>542586</v>
      </c>
      <c r="C1440" t="s">
        <v>260</v>
      </c>
      <c r="D1440">
        <v>21468</v>
      </c>
      <c r="E1440" t="s">
        <v>150</v>
      </c>
      <c r="F1440" t="s">
        <v>345</v>
      </c>
      <c r="G1440" s="28">
        <v>26</v>
      </c>
      <c r="H1440" s="32">
        <v>6.02</v>
      </c>
      <c r="I1440" s="32">
        <v>1186.6400000000001</v>
      </c>
      <c r="J1440" t="s">
        <v>330</v>
      </c>
      <c r="K1440" t="s">
        <v>234</v>
      </c>
      <c r="L1440" t="s">
        <v>235</v>
      </c>
      <c r="M1440" t="s">
        <v>236</v>
      </c>
      <c r="N1440" t="s">
        <v>237</v>
      </c>
      <c r="O1440" s="27">
        <v>46058</v>
      </c>
    </row>
    <row r="1441" spans="2:15" hidden="1" x14ac:dyDescent="0.3">
      <c r="B1441">
        <v>5979107</v>
      </c>
      <c r="C1441" t="s">
        <v>231</v>
      </c>
      <c r="D1441">
        <v>35984</v>
      </c>
      <c r="E1441" t="s">
        <v>150</v>
      </c>
      <c r="F1441" t="s">
        <v>263</v>
      </c>
      <c r="G1441" s="28">
        <v>12</v>
      </c>
      <c r="H1441" s="32">
        <v>6.01</v>
      </c>
      <c r="I1441" s="32">
        <v>165.93</v>
      </c>
      <c r="J1441" t="s">
        <v>239</v>
      </c>
      <c r="K1441" t="s">
        <v>245</v>
      </c>
      <c r="L1441" t="s">
        <v>235</v>
      </c>
      <c r="M1441" t="s">
        <v>236</v>
      </c>
      <c r="N1441" t="s">
        <v>240</v>
      </c>
      <c r="O1441" s="27">
        <v>46055</v>
      </c>
    </row>
    <row r="1442" spans="2:15" hidden="1" x14ac:dyDescent="0.3">
      <c r="B1442">
        <v>3321439</v>
      </c>
      <c r="C1442" t="s">
        <v>231</v>
      </c>
      <c r="D1442">
        <v>22674</v>
      </c>
      <c r="E1442" t="s">
        <v>150</v>
      </c>
      <c r="F1442" t="s">
        <v>258</v>
      </c>
      <c r="G1442" s="28">
        <v>31</v>
      </c>
      <c r="H1442" s="32">
        <v>6</v>
      </c>
      <c r="I1442" s="32">
        <v>335.22</v>
      </c>
      <c r="J1442" t="s">
        <v>239</v>
      </c>
      <c r="K1442" t="s">
        <v>245</v>
      </c>
      <c r="L1442" t="s">
        <v>235</v>
      </c>
      <c r="M1442" t="s">
        <v>236</v>
      </c>
      <c r="N1442" t="s">
        <v>240</v>
      </c>
      <c r="O1442" s="27">
        <v>46055</v>
      </c>
    </row>
    <row r="1443" spans="2:15" hidden="1" x14ac:dyDescent="0.3">
      <c r="B1443">
        <v>374210</v>
      </c>
      <c r="C1443" t="s">
        <v>260</v>
      </c>
      <c r="D1443">
        <v>24415</v>
      </c>
      <c r="E1443" t="s">
        <v>150</v>
      </c>
      <c r="F1443" t="s">
        <v>246</v>
      </c>
      <c r="G1443" s="28">
        <v>18</v>
      </c>
      <c r="H1443" s="32">
        <v>6</v>
      </c>
      <c r="I1443" s="32">
        <v>683.62</v>
      </c>
      <c r="J1443" t="s">
        <v>239</v>
      </c>
      <c r="K1443" t="s">
        <v>245</v>
      </c>
      <c r="L1443" t="s">
        <v>235</v>
      </c>
      <c r="M1443" t="s">
        <v>236</v>
      </c>
      <c r="N1443" t="s">
        <v>240</v>
      </c>
      <c r="O1443" s="27">
        <v>46072</v>
      </c>
    </row>
    <row r="1444" spans="2:15" hidden="1" x14ac:dyDescent="0.3">
      <c r="B1444">
        <v>15518055</v>
      </c>
      <c r="C1444" t="s">
        <v>231</v>
      </c>
      <c r="D1444">
        <v>22674</v>
      </c>
      <c r="E1444" t="s">
        <v>150</v>
      </c>
      <c r="F1444" t="s">
        <v>287</v>
      </c>
      <c r="G1444" s="28">
        <v>30</v>
      </c>
      <c r="H1444" s="32">
        <v>5.98</v>
      </c>
      <c r="I1444" s="32">
        <v>941.05</v>
      </c>
      <c r="J1444" t="s">
        <v>239</v>
      </c>
      <c r="K1444" t="s">
        <v>245</v>
      </c>
      <c r="L1444" t="s">
        <v>235</v>
      </c>
      <c r="M1444" t="s">
        <v>236</v>
      </c>
      <c r="N1444" t="s">
        <v>237</v>
      </c>
      <c r="O1444" s="27">
        <v>46063</v>
      </c>
    </row>
    <row r="1445" spans="2:15" hidden="1" x14ac:dyDescent="0.3">
      <c r="B1445">
        <v>3255792</v>
      </c>
      <c r="C1445" t="s">
        <v>231</v>
      </c>
      <c r="D1445">
        <v>71881</v>
      </c>
      <c r="E1445" t="s">
        <v>150</v>
      </c>
      <c r="F1445" t="s">
        <v>246</v>
      </c>
      <c r="G1445" s="28">
        <v>12</v>
      </c>
      <c r="H1445" s="32">
        <v>5.98</v>
      </c>
      <c r="I1445" s="32">
        <v>443.41</v>
      </c>
      <c r="J1445" t="s">
        <v>239</v>
      </c>
      <c r="K1445" t="s">
        <v>245</v>
      </c>
      <c r="L1445" t="s">
        <v>235</v>
      </c>
      <c r="M1445" t="s">
        <v>236</v>
      </c>
      <c r="N1445" t="s">
        <v>237</v>
      </c>
      <c r="O1445" s="27">
        <v>46055</v>
      </c>
    </row>
    <row r="1446" spans="2:15" hidden="1" x14ac:dyDescent="0.3">
      <c r="B1446">
        <v>6027332</v>
      </c>
      <c r="C1446" t="s">
        <v>231</v>
      </c>
      <c r="D1446">
        <v>23410</v>
      </c>
      <c r="E1446" t="s">
        <v>150</v>
      </c>
      <c r="F1446" t="s">
        <v>246</v>
      </c>
      <c r="G1446" s="28">
        <v>30</v>
      </c>
      <c r="H1446" s="32">
        <v>5.98</v>
      </c>
      <c r="I1446" s="32">
        <v>1108.32</v>
      </c>
      <c r="J1446" t="s">
        <v>239</v>
      </c>
      <c r="K1446" t="s">
        <v>245</v>
      </c>
      <c r="L1446" t="s">
        <v>235</v>
      </c>
      <c r="M1446" t="s">
        <v>236</v>
      </c>
      <c r="N1446" t="s">
        <v>240</v>
      </c>
      <c r="O1446" s="27">
        <v>46055</v>
      </c>
    </row>
    <row r="1447" spans="2:15" hidden="1" x14ac:dyDescent="0.3">
      <c r="B1447">
        <v>8781959</v>
      </c>
      <c r="C1447" t="s">
        <v>231</v>
      </c>
      <c r="D1447">
        <v>72444</v>
      </c>
      <c r="E1447" t="s">
        <v>150</v>
      </c>
      <c r="F1447" t="s">
        <v>298</v>
      </c>
      <c r="G1447" s="28">
        <v>38</v>
      </c>
      <c r="H1447" s="32">
        <v>5.97</v>
      </c>
      <c r="I1447" s="32">
        <v>623.85</v>
      </c>
      <c r="J1447" t="s">
        <v>239</v>
      </c>
      <c r="K1447" t="s">
        <v>245</v>
      </c>
      <c r="L1447" t="s">
        <v>235</v>
      </c>
      <c r="M1447" t="s">
        <v>236</v>
      </c>
      <c r="N1447" t="s">
        <v>237</v>
      </c>
      <c r="O1447" s="27">
        <v>46055</v>
      </c>
    </row>
    <row r="1448" spans="2:15" x14ac:dyDescent="0.3">
      <c r="B1448">
        <v>17711901</v>
      </c>
      <c r="C1448" t="s">
        <v>260</v>
      </c>
      <c r="D1448">
        <v>22103</v>
      </c>
      <c r="E1448" t="s">
        <v>150</v>
      </c>
      <c r="F1448" t="s">
        <v>246</v>
      </c>
      <c r="G1448" s="28">
        <v>16</v>
      </c>
      <c r="H1448" s="32">
        <v>5.95</v>
      </c>
      <c r="I1448" s="32">
        <v>594.34</v>
      </c>
      <c r="J1448" t="s">
        <v>239</v>
      </c>
      <c r="K1448" t="s">
        <v>245</v>
      </c>
      <c r="L1448" t="s">
        <v>235</v>
      </c>
      <c r="M1448" t="s">
        <v>236</v>
      </c>
      <c r="N1448" t="s">
        <v>237</v>
      </c>
      <c r="O1448" s="27">
        <v>46063</v>
      </c>
    </row>
    <row r="1449" spans="2:15" hidden="1" x14ac:dyDescent="0.3">
      <c r="B1449">
        <v>3478209</v>
      </c>
      <c r="C1449" t="s">
        <v>231</v>
      </c>
      <c r="D1449">
        <v>21559</v>
      </c>
      <c r="E1449" t="s">
        <v>150</v>
      </c>
      <c r="F1449" t="s">
        <v>271</v>
      </c>
      <c r="G1449" s="28">
        <v>38</v>
      </c>
      <c r="H1449" s="32">
        <v>5.94</v>
      </c>
      <c r="I1449" s="32">
        <v>701.63</v>
      </c>
      <c r="J1449" t="s">
        <v>239</v>
      </c>
      <c r="K1449" t="s">
        <v>245</v>
      </c>
      <c r="L1449" t="s">
        <v>235</v>
      </c>
      <c r="M1449" t="s">
        <v>236</v>
      </c>
      <c r="N1449" t="s">
        <v>237</v>
      </c>
      <c r="O1449" s="27">
        <v>46063</v>
      </c>
    </row>
    <row r="1450" spans="2:15" hidden="1" x14ac:dyDescent="0.3">
      <c r="B1450">
        <v>3914788</v>
      </c>
      <c r="C1450" t="s">
        <v>260</v>
      </c>
      <c r="D1450">
        <v>21468</v>
      </c>
      <c r="E1450" t="s">
        <v>150</v>
      </c>
      <c r="F1450" t="s">
        <v>246</v>
      </c>
      <c r="G1450" s="28">
        <v>14</v>
      </c>
      <c r="H1450" s="32">
        <v>5.94</v>
      </c>
      <c r="I1450" s="32">
        <v>520.04</v>
      </c>
      <c r="J1450" t="s">
        <v>239</v>
      </c>
      <c r="K1450" t="s">
        <v>245</v>
      </c>
      <c r="L1450" t="s">
        <v>235</v>
      </c>
      <c r="M1450" t="s">
        <v>236</v>
      </c>
      <c r="N1450" t="s">
        <v>237</v>
      </c>
      <c r="O1450" s="27">
        <v>46063</v>
      </c>
    </row>
    <row r="1451" spans="2:15" hidden="1" x14ac:dyDescent="0.3">
      <c r="B1451">
        <v>3666312</v>
      </c>
      <c r="C1451" t="s">
        <v>231</v>
      </c>
      <c r="D1451">
        <v>21468</v>
      </c>
      <c r="E1451" t="s">
        <v>150</v>
      </c>
      <c r="F1451" t="s">
        <v>289</v>
      </c>
      <c r="G1451" s="28">
        <v>17</v>
      </c>
      <c r="H1451" s="32">
        <v>5.93</v>
      </c>
      <c r="I1451" s="32">
        <v>365.26</v>
      </c>
      <c r="J1451" t="s">
        <v>239</v>
      </c>
      <c r="K1451" t="s">
        <v>245</v>
      </c>
      <c r="L1451" t="s">
        <v>235</v>
      </c>
      <c r="M1451" t="s">
        <v>236</v>
      </c>
      <c r="N1451" t="s">
        <v>237</v>
      </c>
      <c r="O1451" s="27">
        <v>46055</v>
      </c>
    </row>
    <row r="1452" spans="2:15" hidden="1" x14ac:dyDescent="0.3">
      <c r="B1452">
        <v>389066</v>
      </c>
      <c r="C1452" t="s">
        <v>260</v>
      </c>
      <c r="D1452">
        <v>21559</v>
      </c>
      <c r="E1452" t="s">
        <v>150</v>
      </c>
      <c r="F1452" t="s">
        <v>363</v>
      </c>
      <c r="G1452" s="28">
        <v>28</v>
      </c>
      <c r="H1452" s="32">
        <v>5.92</v>
      </c>
      <c r="I1452" s="32">
        <v>1159.48</v>
      </c>
      <c r="J1452" t="s">
        <v>330</v>
      </c>
      <c r="K1452" t="s">
        <v>234</v>
      </c>
      <c r="L1452" t="s">
        <v>235</v>
      </c>
      <c r="M1452" t="s">
        <v>236</v>
      </c>
      <c r="N1452" t="s">
        <v>237</v>
      </c>
      <c r="O1452" s="27">
        <v>46072</v>
      </c>
    </row>
    <row r="1453" spans="2:15" x14ac:dyDescent="0.3">
      <c r="B1453">
        <v>17711901</v>
      </c>
      <c r="C1453" t="s">
        <v>260</v>
      </c>
      <c r="D1453">
        <v>22103</v>
      </c>
      <c r="E1453" t="s">
        <v>150</v>
      </c>
      <c r="F1453" t="s">
        <v>282</v>
      </c>
      <c r="G1453" s="28">
        <v>13</v>
      </c>
      <c r="H1453" s="32">
        <v>5.92</v>
      </c>
      <c r="I1453" s="32">
        <v>664.02</v>
      </c>
      <c r="J1453" t="s">
        <v>239</v>
      </c>
      <c r="K1453" t="s">
        <v>245</v>
      </c>
      <c r="L1453" t="s">
        <v>235</v>
      </c>
      <c r="M1453" t="s">
        <v>236</v>
      </c>
      <c r="N1453" t="s">
        <v>240</v>
      </c>
      <c r="O1453" s="27">
        <v>46063</v>
      </c>
    </row>
    <row r="1454" spans="2:15" hidden="1" x14ac:dyDescent="0.3">
      <c r="B1454">
        <v>3593981</v>
      </c>
      <c r="C1454" t="s">
        <v>260</v>
      </c>
      <c r="D1454">
        <v>23648</v>
      </c>
      <c r="E1454" t="s">
        <v>150</v>
      </c>
      <c r="F1454" t="s">
        <v>282</v>
      </c>
      <c r="G1454" s="28">
        <v>7</v>
      </c>
      <c r="H1454" s="32">
        <v>5.92</v>
      </c>
      <c r="I1454" s="32">
        <v>356.02</v>
      </c>
      <c r="J1454" t="s">
        <v>239</v>
      </c>
      <c r="K1454" t="s">
        <v>245</v>
      </c>
      <c r="L1454" t="s">
        <v>235</v>
      </c>
      <c r="M1454" t="s">
        <v>236</v>
      </c>
      <c r="N1454" t="s">
        <v>240</v>
      </c>
      <c r="O1454" s="27">
        <v>46055</v>
      </c>
    </row>
    <row r="1455" spans="2:15" hidden="1" x14ac:dyDescent="0.3">
      <c r="B1455">
        <v>2932273</v>
      </c>
      <c r="C1455" t="s">
        <v>260</v>
      </c>
      <c r="D1455">
        <v>40901</v>
      </c>
      <c r="E1455" t="s">
        <v>150</v>
      </c>
      <c r="F1455" t="s">
        <v>272</v>
      </c>
      <c r="G1455" s="28">
        <v>100</v>
      </c>
      <c r="H1455" s="32">
        <v>5.91</v>
      </c>
      <c r="I1455" s="32">
        <v>644</v>
      </c>
      <c r="J1455" t="s">
        <v>239</v>
      </c>
      <c r="K1455" t="s">
        <v>234</v>
      </c>
      <c r="L1455" t="s">
        <v>235</v>
      </c>
      <c r="M1455" t="s">
        <v>236</v>
      </c>
      <c r="N1455" t="s">
        <v>237</v>
      </c>
      <c r="O1455" s="27">
        <v>46063</v>
      </c>
    </row>
    <row r="1456" spans="2:15" hidden="1" x14ac:dyDescent="0.3">
      <c r="B1456">
        <v>6468519</v>
      </c>
      <c r="C1456" t="s">
        <v>231</v>
      </c>
      <c r="D1456">
        <v>72444</v>
      </c>
      <c r="E1456" t="s">
        <v>150</v>
      </c>
      <c r="F1456" t="s">
        <v>369</v>
      </c>
      <c r="G1456" s="28">
        <v>17</v>
      </c>
      <c r="H1456" s="32">
        <v>5.88</v>
      </c>
      <c r="I1456" s="32">
        <v>878.67</v>
      </c>
      <c r="J1456" t="s">
        <v>239</v>
      </c>
      <c r="K1456" t="s">
        <v>245</v>
      </c>
      <c r="L1456" t="s">
        <v>235</v>
      </c>
      <c r="M1456" t="s">
        <v>236</v>
      </c>
      <c r="N1456" t="s">
        <v>240</v>
      </c>
      <c r="O1456" s="27">
        <v>46055</v>
      </c>
    </row>
    <row r="1457" spans="2:15" hidden="1" x14ac:dyDescent="0.3">
      <c r="B1457">
        <v>6304689</v>
      </c>
      <c r="C1457" t="s">
        <v>231</v>
      </c>
      <c r="D1457">
        <v>25619</v>
      </c>
      <c r="E1457" t="s">
        <v>150</v>
      </c>
      <c r="F1457" t="s">
        <v>369</v>
      </c>
      <c r="G1457" s="28">
        <v>12</v>
      </c>
      <c r="H1457" s="32">
        <v>5.87</v>
      </c>
      <c r="I1457" s="32">
        <v>661.22</v>
      </c>
      <c r="J1457" t="s">
        <v>239</v>
      </c>
      <c r="K1457" t="s">
        <v>245</v>
      </c>
      <c r="L1457" t="s">
        <v>235</v>
      </c>
      <c r="M1457" t="s">
        <v>236</v>
      </c>
      <c r="N1457" t="s">
        <v>240</v>
      </c>
      <c r="O1457" s="27">
        <v>46063</v>
      </c>
    </row>
    <row r="1458" spans="2:15" hidden="1" x14ac:dyDescent="0.3">
      <c r="B1458">
        <v>4868551</v>
      </c>
      <c r="C1458" t="s">
        <v>231</v>
      </c>
      <c r="D1458">
        <v>22674</v>
      </c>
      <c r="E1458" t="s">
        <v>150</v>
      </c>
      <c r="F1458" t="s">
        <v>246</v>
      </c>
      <c r="G1458" s="28">
        <v>14</v>
      </c>
      <c r="H1458" s="32">
        <v>5.83</v>
      </c>
      <c r="I1458" s="32">
        <v>520.04</v>
      </c>
      <c r="J1458" t="s">
        <v>239</v>
      </c>
      <c r="K1458" t="s">
        <v>245</v>
      </c>
      <c r="L1458" t="s">
        <v>235</v>
      </c>
      <c r="M1458" t="s">
        <v>236</v>
      </c>
      <c r="N1458" t="s">
        <v>237</v>
      </c>
      <c r="O1458" s="27">
        <v>46063</v>
      </c>
    </row>
    <row r="1459" spans="2:15" hidden="1" x14ac:dyDescent="0.3">
      <c r="B1459">
        <v>4535206</v>
      </c>
      <c r="C1459" t="s">
        <v>231</v>
      </c>
      <c r="D1459">
        <v>68542</v>
      </c>
      <c r="E1459" t="s">
        <v>150</v>
      </c>
      <c r="F1459" t="s">
        <v>373</v>
      </c>
      <c r="G1459" s="28">
        <v>63</v>
      </c>
      <c r="H1459" s="32">
        <v>5.83</v>
      </c>
      <c r="I1459" s="32">
        <v>621.85</v>
      </c>
      <c r="J1459" t="s">
        <v>267</v>
      </c>
      <c r="K1459" t="s">
        <v>245</v>
      </c>
      <c r="L1459" t="s">
        <v>235</v>
      </c>
      <c r="M1459" t="s">
        <v>236</v>
      </c>
      <c r="N1459" t="s">
        <v>237</v>
      </c>
      <c r="O1459" s="27">
        <v>46057</v>
      </c>
    </row>
    <row r="1460" spans="2:15" hidden="1" x14ac:dyDescent="0.3">
      <c r="B1460">
        <v>2410665</v>
      </c>
      <c r="C1460" t="s">
        <v>231</v>
      </c>
      <c r="D1460">
        <v>21559</v>
      </c>
      <c r="E1460" t="s">
        <v>150</v>
      </c>
      <c r="F1460" t="s">
        <v>164</v>
      </c>
      <c r="G1460" s="28">
        <v>24</v>
      </c>
      <c r="H1460" s="32">
        <v>5.82</v>
      </c>
      <c r="I1460" s="32">
        <v>1166.8699999999999</v>
      </c>
      <c r="J1460" t="s">
        <v>239</v>
      </c>
      <c r="K1460" t="s">
        <v>245</v>
      </c>
      <c r="L1460" t="s">
        <v>235</v>
      </c>
      <c r="M1460" t="s">
        <v>236</v>
      </c>
      <c r="N1460" t="s">
        <v>240</v>
      </c>
      <c r="O1460" s="27">
        <v>46063</v>
      </c>
    </row>
    <row r="1461" spans="2:15" hidden="1" x14ac:dyDescent="0.3">
      <c r="B1461">
        <v>9799059</v>
      </c>
      <c r="C1461" t="s">
        <v>260</v>
      </c>
      <c r="D1461">
        <v>38675</v>
      </c>
      <c r="E1461" t="s">
        <v>150</v>
      </c>
      <c r="F1461" t="s">
        <v>251</v>
      </c>
      <c r="G1461" s="28">
        <v>22</v>
      </c>
      <c r="H1461" s="32">
        <v>5.82</v>
      </c>
      <c r="I1461" s="32">
        <v>1089.1600000000001</v>
      </c>
      <c r="J1461" t="s">
        <v>239</v>
      </c>
      <c r="K1461" t="s">
        <v>245</v>
      </c>
      <c r="L1461" t="s">
        <v>235</v>
      </c>
      <c r="M1461" t="s">
        <v>236</v>
      </c>
      <c r="N1461" t="s">
        <v>237</v>
      </c>
      <c r="O1461" s="27">
        <v>46072</v>
      </c>
    </row>
    <row r="1462" spans="2:15" hidden="1" x14ac:dyDescent="0.3">
      <c r="B1462">
        <v>3914788</v>
      </c>
      <c r="C1462" t="s">
        <v>260</v>
      </c>
      <c r="D1462">
        <v>21468</v>
      </c>
      <c r="E1462" t="s">
        <v>150</v>
      </c>
      <c r="F1462" t="s">
        <v>282</v>
      </c>
      <c r="G1462" s="28">
        <v>11</v>
      </c>
      <c r="H1462" s="32">
        <v>5.79</v>
      </c>
      <c r="I1462" s="32">
        <v>561.85</v>
      </c>
      <c r="J1462" t="s">
        <v>239</v>
      </c>
      <c r="K1462" t="s">
        <v>245</v>
      </c>
      <c r="L1462" t="s">
        <v>235</v>
      </c>
      <c r="M1462" t="s">
        <v>236</v>
      </c>
      <c r="N1462" t="s">
        <v>240</v>
      </c>
      <c r="O1462" s="27">
        <v>46063</v>
      </c>
    </row>
    <row r="1463" spans="2:15" hidden="1" x14ac:dyDescent="0.3">
      <c r="B1463">
        <v>6468519</v>
      </c>
      <c r="C1463" t="s">
        <v>231</v>
      </c>
      <c r="D1463">
        <v>72444</v>
      </c>
      <c r="E1463" t="s">
        <v>150</v>
      </c>
      <c r="F1463" t="s">
        <v>316</v>
      </c>
      <c r="G1463" s="28">
        <v>8</v>
      </c>
      <c r="H1463" s="32">
        <v>5.78</v>
      </c>
      <c r="I1463" s="32">
        <v>864.59</v>
      </c>
      <c r="J1463" t="s">
        <v>256</v>
      </c>
      <c r="K1463" t="s">
        <v>245</v>
      </c>
      <c r="L1463" t="s">
        <v>235</v>
      </c>
      <c r="M1463" t="s">
        <v>236</v>
      </c>
      <c r="N1463" t="s">
        <v>240</v>
      </c>
      <c r="O1463" s="27">
        <v>46055</v>
      </c>
    </row>
    <row r="1464" spans="2:15" x14ac:dyDescent="0.3">
      <c r="B1464">
        <v>5658854</v>
      </c>
      <c r="C1464" t="s">
        <v>231</v>
      </c>
      <c r="D1464">
        <v>22103</v>
      </c>
      <c r="E1464" t="s">
        <v>150</v>
      </c>
      <c r="F1464" t="s">
        <v>384</v>
      </c>
      <c r="G1464" s="28">
        <v>54</v>
      </c>
      <c r="H1464" s="32">
        <v>5.77</v>
      </c>
      <c r="I1464" s="32">
        <v>1148.8800000000001</v>
      </c>
      <c r="J1464" t="s">
        <v>330</v>
      </c>
      <c r="K1464" t="s">
        <v>234</v>
      </c>
      <c r="L1464" t="s">
        <v>235</v>
      </c>
      <c r="M1464" t="s">
        <v>236</v>
      </c>
      <c r="N1464" t="s">
        <v>237</v>
      </c>
      <c r="O1464" s="27">
        <v>46076</v>
      </c>
    </row>
    <row r="1465" spans="2:15" hidden="1" x14ac:dyDescent="0.3">
      <c r="B1465">
        <v>4072213</v>
      </c>
      <c r="C1465" t="s">
        <v>231</v>
      </c>
      <c r="D1465">
        <v>22674</v>
      </c>
      <c r="E1465" t="s">
        <v>150</v>
      </c>
      <c r="F1465" t="s">
        <v>246</v>
      </c>
      <c r="G1465" s="28">
        <v>14</v>
      </c>
      <c r="H1465" s="32">
        <v>5.75</v>
      </c>
      <c r="I1465" s="32">
        <v>520.04</v>
      </c>
      <c r="J1465" t="s">
        <v>239</v>
      </c>
      <c r="K1465" t="s">
        <v>245</v>
      </c>
      <c r="L1465" t="s">
        <v>235</v>
      </c>
      <c r="M1465" t="s">
        <v>236</v>
      </c>
      <c r="N1465" t="s">
        <v>237</v>
      </c>
      <c r="O1465" s="27">
        <v>46063</v>
      </c>
    </row>
    <row r="1466" spans="2:15" hidden="1" x14ac:dyDescent="0.3">
      <c r="B1466">
        <v>5362471</v>
      </c>
      <c r="C1466" t="s">
        <v>260</v>
      </c>
      <c r="D1466">
        <v>22674</v>
      </c>
      <c r="E1466" t="s">
        <v>150</v>
      </c>
      <c r="F1466" t="s">
        <v>282</v>
      </c>
      <c r="G1466" s="28">
        <v>11</v>
      </c>
      <c r="H1466" s="32">
        <v>5.75</v>
      </c>
      <c r="I1466" s="32">
        <v>561.85</v>
      </c>
      <c r="J1466" t="s">
        <v>239</v>
      </c>
      <c r="K1466" t="s">
        <v>245</v>
      </c>
      <c r="L1466" t="s">
        <v>235</v>
      </c>
      <c r="M1466" t="s">
        <v>236</v>
      </c>
      <c r="N1466" t="s">
        <v>240</v>
      </c>
      <c r="O1466" s="27">
        <v>46063</v>
      </c>
    </row>
    <row r="1467" spans="2:15" hidden="1" x14ac:dyDescent="0.3">
      <c r="B1467">
        <v>3255792</v>
      </c>
      <c r="C1467" t="s">
        <v>231</v>
      </c>
      <c r="D1467">
        <v>71881</v>
      </c>
      <c r="E1467" t="s">
        <v>150</v>
      </c>
      <c r="F1467" t="s">
        <v>163</v>
      </c>
      <c r="G1467" s="28">
        <v>16</v>
      </c>
      <c r="H1467" s="32">
        <v>5.74</v>
      </c>
      <c r="I1467" s="32">
        <v>223.38</v>
      </c>
      <c r="J1467" t="s">
        <v>239</v>
      </c>
      <c r="K1467" t="s">
        <v>245</v>
      </c>
      <c r="L1467" t="s">
        <v>235</v>
      </c>
      <c r="M1467" t="s">
        <v>236</v>
      </c>
      <c r="N1467" t="s">
        <v>237</v>
      </c>
      <c r="O1467" s="27">
        <v>46063</v>
      </c>
    </row>
    <row r="1468" spans="2:15" hidden="1" x14ac:dyDescent="0.3">
      <c r="B1468">
        <v>2328302</v>
      </c>
      <c r="C1468" t="s">
        <v>231</v>
      </c>
      <c r="D1468">
        <v>22674</v>
      </c>
      <c r="E1468" t="s">
        <v>150</v>
      </c>
      <c r="F1468" t="s">
        <v>369</v>
      </c>
      <c r="G1468" s="28">
        <v>26</v>
      </c>
      <c r="H1468" s="32">
        <v>5.74</v>
      </c>
      <c r="I1468" s="32">
        <v>1343.85</v>
      </c>
      <c r="J1468" t="s">
        <v>239</v>
      </c>
      <c r="K1468" t="s">
        <v>245</v>
      </c>
      <c r="L1468" t="s">
        <v>235</v>
      </c>
      <c r="M1468" t="s">
        <v>236</v>
      </c>
      <c r="N1468" t="s">
        <v>240</v>
      </c>
      <c r="O1468" s="27">
        <v>46055</v>
      </c>
    </row>
    <row r="1469" spans="2:15" hidden="1" x14ac:dyDescent="0.3">
      <c r="B1469">
        <v>4382412</v>
      </c>
      <c r="C1469" t="s">
        <v>231</v>
      </c>
      <c r="D1469">
        <v>49894</v>
      </c>
      <c r="E1469" t="s">
        <v>150</v>
      </c>
      <c r="F1469" t="s">
        <v>380</v>
      </c>
      <c r="G1469" s="28">
        <v>60</v>
      </c>
      <c r="H1469" s="32">
        <v>5.73</v>
      </c>
      <c r="I1469" s="32">
        <v>1077</v>
      </c>
      <c r="J1469" t="s">
        <v>330</v>
      </c>
      <c r="K1469" t="s">
        <v>234</v>
      </c>
      <c r="L1469" t="s">
        <v>235</v>
      </c>
      <c r="M1469" t="s">
        <v>236</v>
      </c>
      <c r="N1469" t="s">
        <v>240</v>
      </c>
      <c r="O1469" s="27">
        <v>46076</v>
      </c>
    </row>
    <row r="1470" spans="2:15" hidden="1" x14ac:dyDescent="0.3">
      <c r="B1470">
        <v>3321439</v>
      </c>
      <c r="C1470" t="s">
        <v>231</v>
      </c>
      <c r="D1470">
        <v>22674</v>
      </c>
      <c r="E1470" t="s">
        <v>150</v>
      </c>
      <c r="F1470" t="s">
        <v>289</v>
      </c>
      <c r="G1470" s="28">
        <v>15</v>
      </c>
      <c r="H1470" s="32">
        <v>5.72</v>
      </c>
      <c r="I1470" s="32">
        <v>322.29000000000002</v>
      </c>
      <c r="J1470" t="s">
        <v>239</v>
      </c>
      <c r="K1470" t="s">
        <v>245</v>
      </c>
      <c r="L1470" t="s">
        <v>235</v>
      </c>
      <c r="M1470" t="s">
        <v>236</v>
      </c>
      <c r="N1470" t="s">
        <v>237</v>
      </c>
      <c r="O1470" s="27">
        <v>46055</v>
      </c>
    </row>
    <row r="1471" spans="2:15" hidden="1" x14ac:dyDescent="0.3">
      <c r="B1471">
        <v>6468519</v>
      </c>
      <c r="C1471" t="s">
        <v>231</v>
      </c>
      <c r="D1471">
        <v>72444</v>
      </c>
      <c r="E1471" t="s">
        <v>150</v>
      </c>
      <c r="F1471" t="s">
        <v>243</v>
      </c>
      <c r="G1471" s="28">
        <v>20</v>
      </c>
      <c r="H1471" s="32">
        <v>5.72</v>
      </c>
      <c r="I1471" s="32">
        <v>541.91999999999996</v>
      </c>
      <c r="J1471" t="s">
        <v>239</v>
      </c>
      <c r="K1471" t="s">
        <v>245</v>
      </c>
      <c r="L1471" t="s">
        <v>235</v>
      </c>
      <c r="M1471" t="s">
        <v>236</v>
      </c>
      <c r="N1471" t="s">
        <v>240</v>
      </c>
      <c r="O1471" s="27">
        <v>46072</v>
      </c>
    </row>
    <row r="1472" spans="2:15" hidden="1" x14ac:dyDescent="0.3">
      <c r="B1472">
        <v>4744190</v>
      </c>
      <c r="C1472" t="s">
        <v>260</v>
      </c>
      <c r="D1472">
        <v>22674</v>
      </c>
      <c r="E1472" t="s">
        <v>150</v>
      </c>
      <c r="F1472" t="s">
        <v>246</v>
      </c>
      <c r="G1472" s="28">
        <v>15</v>
      </c>
      <c r="H1472" s="32">
        <v>5.72</v>
      </c>
      <c r="I1472" s="32">
        <v>557.20000000000005</v>
      </c>
      <c r="J1472" t="s">
        <v>239</v>
      </c>
      <c r="K1472" t="s">
        <v>245</v>
      </c>
      <c r="L1472" t="s">
        <v>235</v>
      </c>
      <c r="M1472" t="s">
        <v>236</v>
      </c>
      <c r="N1472" t="s">
        <v>237</v>
      </c>
      <c r="O1472" s="27">
        <v>46063</v>
      </c>
    </row>
    <row r="1473" spans="2:15" hidden="1" x14ac:dyDescent="0.3">
      <c r="B1473">
        <v>310157</v>
      </c>
      <c r="C1473" t="s">
        <v>231</v>
      </c>
      <c r="D1473">
        <v>68542</v>
      </c>
      <c r="E1473" t="s">
        <v>150</v>
      </c>
      <c r="F1473" t="s">
        <v>331</v>
      </c>
      <c r="G1473" s="28">
        <v>62</v>
      </c>
      <c r="H1473" s="32">
        <v>5.7</v>
      </c>
      <c r="I1473" s="32">
        <v>602.03</v>
      </c>
      <c r="J1473" t="s">
        <v>267</v>
      </c>
      <c r="K1473" t="s">
        <v>245</v>
      </c>
      <c r="L1473" t="s">
        <v>235</v>
      </c>
      <c r="M1473" t="s">
        <v>236</v>
      </c>
      <c r="N1473" t="s">
        <v>240</v>
      </c>
      <c r="O1473" s="27">
        <v>46057</v>
      </c>
    </row>
    <row r="1474" spans="2:15" hidden="1" x14ac:dyDescent="0.3">
      <c r="B1474">
        <v>374210</v>
      </c>
      <c r="C1474" t="s">
        <v>260</v>
      </c>
      <c r="D1474">
        <v>24415</v>
      </c>
      <c r="E1474" t="s">
        <v>150</v>
      </c>
      <c r="F1474" t="s">
        <v>318</v>
      </c>
      <c r="G1474" s="28">
        <v>4</v>
      </c>
      <c r="H1474" s="32">
        <v>5.7</v>
      </c>
      <c r="I1474" s="32">
        <v>614.27</v>
      </c>
      <c r="J1474" t="s">
        <v>239</v>
      </c>
      <c r="K1474" t="s">
        <v>245</v>
      </c>
      <c r="L1474" t="s">
        <v>235</v>
      </c>
      <c r="M1474" t="s">
        <v>236</v>
      </c>
      <c r="N1474" t="s">
        <v>237</v>
      </c>
      <c r="O1474" s="27">
        <v>46072</v>
      </c>
    </row>
    <row r="1475" spans="2:15" hidden="1" x14ac:dyDescent="0.3">
      <c r="B1475">
        <v>238658</v>
      </c>
      <c r="C1475" t="s">
        <v>231</v>
      </c>
      <c r="D1475">
        <v>21468</v>
      </c>
      <c r="E1475" t="s">
        <v>150</v>
      </c>
      <c r="F1475" t="s">
        <v>319</v>
      </c>
      <c r="G1475" s="28">
        <v>32</v>
      </c>
      <c r="H1475" s="32">
        <v>5.69</v>
      </c>
      <c r="I1475" s="32">
        <v>1292.3399999999999</v>
      </c>
      <c r="J1475" t="s">
        <v>239</v>
      </c>
      <c r="K1475" t="s">
        <v>245</v>
      </c>
      <c r="L1475" t="s">
        <v>235</v>
      </c>
      <c r="M1475" t="s">
        <v>236</v>
      </c>
      <c r="N1475" t="s">
        <v>240</v>
      </c>
      <c r="O1475" s="27">
        <v>46063</v>
      </c>
    </row>
    <row r="1476" spans="2:15" hidden="1" x14ac:dyDescent="0.3">
      <c r="B1476">
        <v>5370675</v>
      </c>
      <c r="C1476" t="s">
        <v>260</v>
      </c>
      <c r="D1476">
        <v>71881</v>
      </c>
      <c r="E1476" t="s">
        <v>150</v>
      </c>
      <c r="F1476" t="s">
        <v>282</v>
      </c>
      <c r="G1476" s="28">
        <v>11</v>
      </c>
      <c r="H1476" s="32">
        <v>5.69</v>
      </c>
      <c r="I1476" s="32">
        <v>561.85</v>
      </c>
      <c r="J1476" t="s">
        <v>239</v>
      </c>
      <c r="K1476" t="s">
        <v>245</v>
      </c>
      <c r="L1476" t="s">
        <v>235</v>
      </c>
      <c r="M1476" t="s">
        <v>236</v>
      </c>
      <c r="N1476" t="s">
        <v>240</v>
      </c>
      <c r="O1476" s="27">
        <v>46063</v>
      </c>
    </row>
    <row r="1477" spans="2:15" hidden="1" x14ac:dyDescent="0.3">
      <c r="B1477">
        <v>8781959</v>
      </c>
      <c r="C1477" t="s">
        <v>231</v>
      </c>
      <c r="D1477">
        <v>72444</v>
      </c>
      <c r="E1477" t="s">
        <v>150</v>
      </c>
      <c r="F1477" t="s">
        <v>246</v>
      </c>
      <c r="G1477" s="28">
        <v>16</v>
      </c>
      <c r="H1477" s="32">
        <v>5.66</v>
      </c>
      <c r="I1477" s="32">
        <v>591.21</v>
      </c>
      <c r="J1477" t="s">
        <v>239</v>
      </c>
      <c r="K1477" t="s">
        <v>245</v>
      </c>
      <c r="L1477" t="s">
        <v>235</v>
      </c>
      <c r="M1477" t="s">
        <v>236</v>
      </c>
      <c r="N1477" t="s">
        <v>237</v>
      </c>
      <c r="O1477" s="27">
        <v>46055</v>
      </c>
    </row>
    <row r="1478" spans="2:15" hidden="1" x14ac:dyDescent="0.3">
      <c r="B1478">
        <v>5377617</v>
      </c>
      <c r="C1478" t="s">
        <v>231</v>
      </c>
      <c r="D1478">
        <v>21559</v>
      </c>
      <c r="E1478" t="s">
        <v>150</v>
      </c>
      <c r="F1478" t="s">
        <v>282</v>
      </c>
      <c r="G1478" s="28">
        <v>10</v>
      </c>
      <c r="H1478" s="32">
        <v>5.64</v>
      </c>
      <c r="I1478" s="32">
        <v>510.84</v>
      </c>
      <c r="J1478" t="s">
        <v>239</v>
      </c>
      <c r="K1478" t="s">
        <v>245</v>
      </c>
      <c r="L1478" t="s">
        <v>235</v>
      </c>
      <c r="M1478" t="s">
        <v>236</v>
      </c>
      <c r="N1478" t="s">
        <v>240</v>
      </c>
      <c r="O1478" s="27">
        <v>46063</v>
      </c>
    </row>
    <row r="1479" spans="2:15" hidden="1" x14ac:dyDescent="0.3">
      <c r="B1479">
        <v>2802178</v>
      </c>
      <c r="C1479" t="s">
        <v>260</v>
      </c>
      <c r="D1479">
        <v>72444</v>
      </c>
      <c r="E1479" t="s">
        <v>150</v>
      </c>
      <c r="F1479" t="s">
        <v>298</v>
      </c>
      <c r="G1479" s="28">
        <v>22</v>
      </c>
      <c r="H1479" s="32">
        <v>5.64</v>
      </c>
      <c r="I1479" s="32">
        <v>361.17</v>
      </c>
      <c r="J1479" t="s">
        <v>239</v>
      </c>
      <c r="K1479" t="s">
        <v>245</v>
      </c>
      <c r="L1479" t="s">
        <v>235</v>
      </c>
      <c r="M1479" t="s">
        <v>236</v>
      </c>
      <c r="N1479" t="s">
        <v>237</v>
      </c>
      <c r="O1479" s="27">
        <v>46055</v>
      </c>
    </row>
    <row r="1480" spans="2:15" hidden="1" x14ac:dyDescent="0.3">
      <c r="B1480">
        <v>5933489</v>
      </c>
      <c r="C1480" t="s">
        <v>231</v>
      </c>
      <c r="D1480">
        <v>23648</v>
      </c>
      <c r="E1480" t="s">
        <v>150</v>
      </c>
      <c r="F1480" t="s">
        <v>164</v>
      </c>
      <c r="G1480" s="28">
        <v>24</v>
      </c>
      <c r="H1480" s="32">
        <v>5.63</v>
      </c>
      <c r="I1480" s="32">
        <v>1166.46</v>
      </c>
      <c r="J1480" t="s">
        <v>239</v>
      </c>
      <c r="K1480" t="s">
        <v>245</v>
      </c>
      <c r="L1480" t="s">
        <v>235</v>
      </c>
      <c r="M1480" t="s">
        <v>236</v>
      </c>
      <c r="N1480" t="s">
        <v>240</v>
      </c>
      <c r="O1480" s="27">
        <v>46063</v>
      </c>
    </row>
    <row r="1481" spans="2:15" hidden="1" x14ac:dyDescent="0.3">
      <c r="B1481">
        <v>6468519</v>
      </c>
      <c r="C1481" t="s">
        <v>231</v>
      </c>
      <c r="D1481">
        <v>72444</v>
      </c>
      <c r="E1481" t="s">
        <v>150</v>
      </c>
      <c r="F1481" t="s">
        <v>164</v>
      </c>
      <c r="G1481" s="28">
        <v>11</v>
      </c>
      <c r="H1481" s="32">
        <v>5.63</v>
      </c>
      <c r="I1481" s="32">
        <v>533.91999999999996</v>
      </c>
      <c r="J1481" t="s">
        <v>239</v>
      </c>
      <c r="K1481" t="s">
        <v>245</v>
      </c>
      <c r="L1481" t="s">
        <v>235</v>
      </c>
      <c r="M1481" t="s">
        <v>236</v>
      </c>
      <c r="N1481" t="s">
        <v>240</v>
      </c>
      <c r="O1481" s="27">
        <v>46072</v>
      </c>
    </row>
    <row r="1482" spans="2:15" hidden="1" x14ac:dyDescent="0.3">
      <c r="B1482">
        <v>18702217</v>
      </c>
      <c r="C1482" t="s">
        <v>260</v>
      </c>
      <c r="D1482">
        <v>74304</v>
      </c>
      <c r="E1482" t="s">
        <v>150</v>
      </c>
      <c r="F1482" t="s">
        <v>361</v>
      </c>
      <c r="G1482" s="28">
        <v>28</v>
      </c>
      <c r="H1482" s="32">
        <v>5.63</v>
      </c>
      <c r="I1482" s="32">
        <v>1063.72</v>
      </c>
      <c r="J1482" t="s">
        <v>330</v>
      </c>
      <c r="K1482" t="s">
        <v>234</v>
      </c>
      <c r="L1482" t="s">
        <v>235</v>
      </c>
      <c r="M1482" t="s">
        <v>236</v>
      </c>
      <c r="N1482" t="s">
        <v>237</v>
      </c>
      <c r="O1482" s="27">
        <v>46072</v>
      </c>
    </row>
    <row r="1483" spans="2:15" x14ac:dyDescent="0.3">
      <c r="B1483">
        <v>8907980</v>
      </c>
      <c r="C1483" t="s">
        <v>231</v>
      </c>
      <c r="D1483">
        <v>22103</v>
      </c>
      <c r="E1483" t="s">
        <v>150</v>
      </c>
      <c r="F1483" t="s">
        <v>164</v>
      </c>
      <c r="G1483" s="28">
        <v>11</v>
      </c>
      <c r="H1483" s="32">
        <v>5.61</v>
      </c>
      <c r="I1483" s="32">
        <v>534.14</v>
      </c>
      <c r="J1483" t="s">
        <v>239</v>
      </c>
      <c r="K1483" t="s">
        <v>245</v>
      </c>
      <c r="L1483" t="s">
        <v>235</v>
      </c>
      <c r="M1483" t="s">
        <v>236</v>
      </c>
      <c r="N1483" t="s">
        <v>240</v>
      </c>
      <c r="O1483" s="27">
        <v>46072</v>
      </c>
    </row>
    <row r="1484" spans="2:15" hidden="1" x14ac:dyDescent="0.3">
      <c r="B1484">
        <v>4744190</v>
      </c>
      <c r="C1484" t="s">
        <v>260</v>
      </c>
      <c r="D1484">
        <v>22674</v>
      </c>
      <c r="E1484" t="s">
        <v>150</v>
      </c>
      <c r="F1484" t="s">
        <v>282</v>
      </c>
      <c r="G1484" s="28">
        <v>12</v>
      </c>
      <c r="H1484" s="32">
        <v>5.61</v>
      </c>
      <c r="I1484" s="32">
        <v>612.99</v>
      </c>
      <c r="J1484" t="s">
        <v>239</v>
      </c>
      <c r="K1484" t="s">
        <v>245</v>
      </c>
      <c r="L1484" t="s">
        <v>235</v>
      </c>
      <c r="M1484" t="s">
        <v>236</v>
      </c>
      <c r="N1484" t="s">
        <v>240</v>
      </c>
      <c r="O1484" s="27">
        <v>46063</v>
      </c>
    </row>
    <row r="1485" spans="2:15" hidden="1" x14ac:dyDescent="0.3">
      <c r="B1485">
        <v>2390017</v>
      </c>
      <c r="C1485" t="s">
        <v>231</v>
      </c>
      <c r="D1485">
        <v>69493</v>
      </c>
      <c r="E1485" t="s">
        <v>150</v>
      </c>
      <c r="F1485" t="s">
        <v>163</v>
      </c>
      <c r="G1485" s="28">
        <v>61</v>
      </c>
      <c r="H1485" s="32">
        <v>5.6</v>
      </c>
      <c r="I1485" s="32">
        <v>803.63</v>
      </c>
      <c r="J1485" t="s">
        <v>239</v>
      </c>
      <c r="K1485" t="s">
        <v>245</v>
      </c>
      <c r="L1485" t="s">
        <v>235</v>
      </c>
      <c r="M1485" t="s">
        <v>236</v>
      </c>
      <c r="N1485" t="s">
        <v>237</v>
      </c>
      <c r="O1485" s="27">
        <v>46055</v>
      </c>
    </row>
    <row r="1486" spans="2:15" hidden="1" x14ac:dyDescent="0.3">
      <c r="B1486">
        <v>4072213</v>
      </c>
      <c r="C1486" t="s">
        <v>231</v>
      </c>
      <c r="D1486">
        <v>22674</v>
      </c>
      <c r="E1486" t="s">
        <v>150</v>
      </c>
      <c r="F1486" t="s">
        <v>282</v>
      </c>
      <c r="G1486" s="28">
        <v>11</v>
      </c>
      <c r="H1486" s="32">
        <v>5.59</v>
      </c>
      <c r="I1486" s="32">
        <v>561.86</v>
      </c>
      <c r="J1486" t="s">
        <v>239</v>
      </c>
      <c r="K1486" t="s">
        <v>245</v>
      </c>
      <c r="L1486" t="s">
        <v>235</v>
      </c>
      <c r="M1486" t="s">
        <v>236</v>
      </c>
      <c r="N1486" t="s">
        <v>240</v>
      </c>
      <c r="O1486" s="27">
        <v>46063</v>
      </c>
    </row>
    <row r="1487" spans="2:15" hidden="1" x14ac:dyDescent="0.3">
      <c r="B1487">
        <v>2033851</v>
      </c>
      <c r="C1487" t="s">
        <v>231</v>
      </c>
      <c r="D1487">
        <v>24415</v>
      </c>
      <c r="E1487" t="s">
        <v>150</v>
      </c>
      <c r="F1487" t="s">
        <v>246</v>
      </c>
      <c r="G1487" s="28">
        <v>25</v>
      </c>
      <c r="H1487" s="32">
        <v>5.59</v>
      </c>
      <c r="I1487" s="32">
        <v>944.25</v>
      </c>
      <c r="J1487" t="s">
        <v>239</v>
      </c>
      <c r="K1487" t="s">
        <v>245</v>
      </c>
      <c r="L1487" t="s">
        <v>235</v>
      </c>
      <c r="M1487" t="s">
        <v>236</v>
      </c>
      <c r="N1487" t="s">
        <v>237</v>
      </c>
      <c r="O1487" s="27">
        <v>46072</v>
      </c>
    </row>
    <row r="1488" spans="2:15" hidden="1" x14ac:dyDescent="0.3">
      <c r="B1488">
        <v>6304689</v>
      </c>
      <c r="C1488" t="s">
        <v>231</v>
      </c>
      <c r="D1488">
        <v>25619</v>
      </c>
      <c r="E1488" t="s">
        <v>150</v>
      </c>
      <c r="F1488" t="s">
        <v>246</v>
      </c>
      <c r="G1488" s="28">
        <v>13</v>
      </c>
      <c r="H1488" s="32">
        <v>5.59</v>
      </c>
      <c r="I1488" s="32">
        <v>482.91</v>
      </c>
      <c r="J1488" t="s">
        <v>239</v>
      </c>
      <c r="K1488" t="s">
        <v>245</v>
      </c>
      <c r="L1488" t="s">
        <v>235</v>
      </c>
      <c r="M1488" t="s">
        <v>236</v>
      </c>
      <c r="N1488" t="s">
        <v>237</v>
      </c>
      <c r="O1488" s="27">
        <v>46063</v>
      </c>
    </row>
    <row r="1489" spans="2:15" hidden="1" x14ac:dyDescent="0.3">
      <c r="B1489">
        <v>238658</v>
      </c>
      <c r="C1489" t="s">
        <v>231</v>
      </c>
      <c r="D1489">
        <v>21468</v>
      </c>
      <c r="E1489" t="s">
        <v>150</v>
      </c>
      <c r="F1489" t="s">
        <v>337</v>
      </c>
      <c r="G1489" s="28">
        <v>32</v>
      </c>
      <c r="H1489" s="32">
        <v>5.59</v>
      </c>
      <c r="I1489" s="32">
        <v>1162.3399999999999</v>
      </c>
      <c r="J1489" t="s">
        <v>239</v>
      </c>
      <c r="K1489" t="s">
        <v>245</v>
      </c>
      <c r="L1489" t="s">
        <v>235</v>
      </c>
      <c r="M1489" t="s">
        <v>236</v>
      </c>
      <c r="N1489" t="s">
        <v>237</v>
      </c>
      <c r="O1489" s="27">
        <v>46063</v>
      </c>
    </row>
    <row r="1490" spans="2:15" hidden="1" x14ac:dyDescent="0.3">
      <c r="B1490">
        <v>12025620</v>
      </c>
      <c r="C1490" t="s">
        <v>231</v>
      </c>
      <c r="D1490">
        <v>38517</v>
      </c>
      <c r="E1490" t="s">
        <v>150</v>
      </c>
      <c r="F1490" t="s">
        <v>164</v>
      </c>
      <c r="G1490" s="28">
        <v>23</v>
      </c>
      <c r="H1490" s="32">
        <v>5.57</v>
      </c>
      <c r="I1490" s="32">
        <v>1118.0899999999999</v>
      </c>
      <c r="J1490" t="s">
        <v>239</v>
      </c>
      <c r="K1490" t="s">
        <v>245</v>
      </c>
      <c r="L1490" t="s">
        <v>235</v>
      </c>
      <c r="M1490" t="s">
        <v>236</v>
      </c>
      <c r="N1490" t="s">
        <v>240</v>
      </c>
      <c r="O1490" s="27">
        <v>46063</v>
      </c>
    </row>
    <row r="1491" spans="2:15" hidden="1" x14ac:dyDescent="0.3">
      <c r="B1491">
        <v>2735150</v>
      </c>
      <c r="C1491" t="s">
        <v>231</v>
      </c>
      <c r="D1491">
        <v>49894</v>
      </c>
      <c r="E1491" t="s">
        <v>150</v>
      </c>
      <c r="F1491" t="s">
        <v>319</v>
      </c>
      <c r="G1491" s="28">
        <v>31</v>
      </c>
      <c r="H1491" s="32">
        <v>5.55</v>
      </c>
      <c r="I1491" s="32">
        <v>1251.8399999999999</v>
      </c>
      <c r="J1491" t="s">
        <v>239</v>
      </c>
      <c r="K1491" t="s">
        <v>245</v>
      </c>
      <c r="L1491" t="s">
        <v>235</v>
      </c>
      <c r="M1491" t="s">
        <v>236</v>
      </c>
      <c r="N1491" t="s">
        <v>240</v>
      </c>
      <c r="O1491" s="27">
        <v>46063</v>
      </c>
    </row>
    <row r="1492" spans="2:15" hidden="1" x14ac:dyDescent="0.3">
      <c r="B1492">
        <v>9635202</v>
      </c>
      <c r="C1492" t="s">
        <v>231</v>
      </c>
      <c r="D1492">
        <v>71881</v>
      </c>
      <c r="E1492" t="s">
        <v>150</v>
      </c>
      <c r="F1492" t="s">
        <v>319</v>
      </c>
      <c r="G1492" s="28">
        <v>24</v>
      </c>
      <c r="H1492" s="32">
        <v>5.54</v>
      </c>
      <c r="I1492" s="32">
        <v>969.49</v>
      </c>
      <c r="J1492" t="s">
        <v>239</v>
      </c>
      <c r="K1492" t="s">
        <v>245</v>
      </c>
      <c r="L1492" t="s">
        <v>235</v>
      </c>
      <c r="M1492" t="s">
        <v>236</v>
      </c>
      <c r="N1492" t="s">
        <v>237</v>
      </c>
      <c r="O1492" s="27">
        <v>46063</v>
      </c>
    </row>
    <row r="1493" spans="2:15" hidden="1" x14ac:dyDescent="0.3">
      <c r="B1493">
        <v>389066</v>
      </c>
      <c r="C1493" t="s">
        <v>260</v>
      </c>
      <c r="D1493">
        <v>21559</v>
      </c>
      <c r="E1493" t="s">
        <v>150</v>
      </c>
      <c r="F1493" t="s">
        <v>329</v>
      </c>
      <c r="G1493" s="28">
        <v>13</v>
      </c>
      <c r="H1493" s="32">
        <v>5.54</v>
      </c>
      <c r="I1493" s="32">
        <v>1086.28</v>
      </c>
      <c r="J1493" t="s">
        <v>330</v>
      </c>
      <c r="K1493" t="s">
        <v>234</v>
      </c>
      <c r="L1493" t="s">
        <v>235</v>
      </c>
      <c r="M1493" t="s">
        <v>236</v>
      </c>
      <c r="N1493" t="s">
        <v>237</v>
      </c>
      <c r="O1493" s="27">
        <v>46072</v>
      </c>
    </row>
    <row r="1494" spans="2:15" hidden="1" x14ac:dyDescent="0.3">
      <c r="B1494">
        <v>3496979</v>
      </c>
      <c r="C1494" t="s">
        <v>231</v>
      </c>
      <c r="D1494">
        <v>21468</v>
      </c>
      <c r="E1494" t="s">
        <v>150</v>
      </c>
      <c r="F1494" t="s">
        <v>298</v>
      </c>
      <c r="G1494" s="28">
        <v>20</v>
      </c>
      <c r="H1494" s="32">
        <v>5.53</v>
      </c>
      <c r="I1494" s="32">
        <v>328.34</v>
      </c>
      <c r="J1494" t="s">
        <v>239</v>
      </c>
      <c r="K1494" t="s">
        <v>245</v>
      </c>
      <c r="L1494" t="s">
        <v>235</v>
      </c>
      <c r="M1494" t="s">
        <v>236</v>
      </c>
      <c r="N1494" t="s">
        <v>237</v>
      </c>
      <c r="O1494" s="27">
        <v>46055</v>
      </c>
    </row>
    <row r="1495" spans="2:15" hidden="1" x14ac:dyDescent="0.3">
      <c r="B1495">
        <v>4216928</v>
      </c>
      <c r="C1495" t="s">
        <v>231</v>
      </c>
      <c r="D1495">
        <v>69519</v>
      </c>
      <c r="E1495" t="s">
        <v>150</v>
      </c>
      <c r="F1495" t="s">
        <v>163</v>
      </c>
      <c r="G1495" s="28">
        <v>15</v>
      </c>
      <c r="H1495" s="32">
        <v>5.53</v>
      </c>
      <c r="I1495" s="32">
        <v>209.4</v>
      </c>
      <c r="J1495" t="s">
        <v>239</v>
      </c>
      <c r="K1495" t="s">
        <v>245</v>
      </c>
      <c r="L1495" t="s">
        <v>235</v>
      </c>
      <c r="M1495" t="s">
        <v>236</v>
      </c>
      <c r="N1495" t="s">
        <v>237</v>
      </c>
      <c r="O1495" s="27">
        <v>46063</v>
      </c>
    </row>
    <row r="1496" spans="2:15" hidden="1" x14ac:dyDescent="0.3">
      <c r="B1496">
        <v>4868551</v>
      </c>
      <c r="C1496" t="s">
        <v>231</v>
      </c>
      <c r="D1496">
        <v>22674</v>
      </c>
      <c r="E1496" t="s">
        <v>150</v>
      </c>
      <c r="F1496" t="s">
        <v>163</v>
      </c>
      <c r="G1496" s="28">
        <v>22</v>
      </c>
      <c r="H1496" s="32">
        <v>5.53</v>
      </c>
      <c r="I1496" s="32">
        <v>307.14</v>
      </c>
      <c r="J1496" t="s">
        <v>239</v>
      </c>
      <c r="K1496" t="s">
        <v>245</v>
      </c>
      <c r="L1496" t="s">
        <v>235</v>
      </c>
      <c r="M1496" t="s">
        <v>236</v>
      </c>
      <c r="N1496" t="s">
        <v>237</v>
      </c>
      <c r="O1496" s="27">
        <v>46063</v>
      </c>
    </row>
    <row r="1497" spans="2:15" hidden="1" x14ac:dyDescent="0.3">
      <c r="B1497">
        <v>3666312</v>
      </c>
      <c r="C1497" t="s">
        <v>231</v>
      </c>
      <c r="D1497">
        <v>21468</v>
      </c>
      <c r="E1497" t="s">
        <v>150</v>
      </c>
      <c r="F1497" t="s">
        <v>258</v>
      </c>
      <c r="G1497" s="28">
        <v>32</v>
      </c>
      <c r="H1497" s="32">
        <v>5.53</v>
      </c>
      <c r="I1497" s="32">
        <v>346.04</v>
      </c>
      <c r="J1497" t="s">
        <v>239</v>
      </c>
      <c r="K1497" t="s">
        <v>245</v>
      </c>
      <c r="L1497" t="s">
        <v>235</v>
      </c>
      <c r="M1497" t="s">
        <v>236</v>
      </c>
      <c r="N1497" t="s">
        <v>240</v>
      </c>
      <c r="O1497" s="27">
        <v>46055</v>
      </c>
    </row>
    <row r="1498" spans="2:15" hidden="1" x14ac:dyDescent="0.3">
      <c r="B1498">
        <v>3953521</v>
      </c>
      <c r="C1498" t="s">
        <v>231</v>
      </c>
      <c r="D1498">
        <v>38517</v>
      </c>
      <c r="E1498" t="s">
        <v>150</v>
      </c>
      <c r="F1498" t="s">
        <v>287</v>
      </c>
      <c r="G1498" s="28">
        <v>27</v>
      </c>
      <c r="H1498" s="32">
        <v>5.52</v>
      </c>
      <c r="I1498" s="32">
        <v>847.08</v>
      </c>
      <c r="J1498" t="s">
        <v>239</v>
      </c>
      <c r="K1498" t="s">
        <v>245</v>
      </c>
      <c r="L1498" t="s">
        <v>235</v>
      </c>
      <c r="M1498" t="s">
        <v>236</v>
      </c>
      <c r="N1498" t="s">
        <v>237</v>
      </c>
      <c r="O1498" s="27">
        <v>46063</v>
      </c>
    </row>
    <row r="1499" spans="2:15" hidden="1" x14ac:dyDescent="0.3">
      <c r="B1499">
        <v>4078178</v>
      </c>
      <c r="C1499" t="s">
        <v>231</v>
      </c>
      <c r="D1499">
        <v>49894</v>
      </c>
      <c r="E1499" t="s">
        <v>150</v>
      </c>
      <c r="F1499" t="s">
        <v>164</v>
      </c>
      <c r="G1499" s="28">
        <v>23</v>
      </c>
      <c r="H1499" s="32">
        <v>5.52</v>
      </c>
      <c r="I1499" s="32">
        <v>1118.0899999999999</v>
      </c>
      <c r="J1499" t="s">
        <v>239</v>
      </c>
      <c r="K1499" t="s">
        <v>245</v>
      </c>
      <c r="L1499" t="s">
        <v>235</v>
      </c>
      <c r="M1499" t="s">
        <v>236</v>
      </c>
      <c r="N1499" t="s">
        <v>240</v>
      </c>
      <c r="O1499" s="27">
        <v>46063</v>
      </c>
    </row>
    <row r="1500" spans="2:15" hidden="1" x14ac:dyDescent="0.3">
      <c r="B1500">
        <v>4358018</v>
      </c>
      <c r="C1500" t="s">
        <v>231</v>
      </c>
      <c r="D1500">
        <v>23410</v>
      </c>
      <c r="E1500" t="s">
        <v>150</v>
      </c>
      <c r="F1500" t="s">
        <v>271</v>
      </c>
      <c r="G1500" s="28">
        <v>54</v>
      </c>
      <c r="H1500" s="32">
        <v>5.5</v>
      </c>
      <c r="I1500" s="32">
        <v>953.48</v>
      </c>
      <c r="J1500" t="s">
        <v>239</v>
      </c>
      <c r="K1500" t="s">
        <v>245</v>
      </c>
      <c r="L1500" t="s">
        <v>235</v>
      </c>
      <c r="M1500" t="s">
        <v>236</v>
      </c>
      <c r="N1500" t="s">
        <v>237</v>
      </c>
      <c r="O1500" s="27">
        <v>46055</v>
      </c>
    </row>
    <row r="1501" spans="2:15" hidden="1" x14ac:dyDescent="0.3">
      <c r="B1501">
        <v>8230892</v>
      </c>
      <c r="C1501" t="s">
        <v>231</v>
      </c>
      <c r="D1501">
        <v>69519</v>
      </c>
      <c r="E1501" t="s">
        <v>150</v>
      </c>
      <c r="F1501" t="s">
        <v>164</v>
      </c>
      <c r="G1501" s="28">
        <v>23</v>
      </c>
      <c r="H1501" s="32">
        <v>5.5</v>
      </c>
      <c r="I1501" s="32">
        <v>1118.0899999999999</v>
      </c>
      <c r="J1501" t="s">
        <v>239</v>
      </c>
      <c r="K1501" t="s">
        <v>245</v>
      </c>
      <c r="L1501" t="s">
        <v>235</v>
      </c>
      <c r="M1501" t="s">
        <v>236</v>
      </c>
      <c r="N1501" t="s">
        <v>240</v>
      </c>
      <c r="O1501" s="27">
        <v>46063</v>
      </c>
    </row>
    <row r="1502" spans="2:15" hidden="1" x14ac:dyDescent="0.3">
      <c r="B1502">
        <v>11610966</v>
      </c>
      <c r="C1502" t="s">
        <v>260</v>
      </c>
      <c r="D1502">
        <v>40901</v>
      </c>
      <c r="E1502" t="s">
        <v>150</v>
      </c>
      <c r="F1502" t="s">
        <v>272</v>
      </c>
      <c r="G1502" s="28">
        <v>100</v>
      </c>
      <c r="H1502" s="32">
        <v>5.5</v>
      </c>
      <c r="I1502" s="32">
        <v>654</v>
      </c>
      <c r="J1502" t="s">
        <v>239</v>
      </c>
      <c r="K1502" t="s">
        <v>234</v>
      </c>
      <c r="L1502" t="s">
        <v>235</v>
      </c>
      <c r="M1502" t="s">
        <v>236</v>
      </c>
      <c r="N1502" t="s">
        <v>237</v>
      </c>
      <c r="O1502" s="27">
        <v>46056</v>
      </c>
    </row>
    <row r="1503" spans="2:15" hidden="1" x14ac:dyDescent="0.3">
      <c r="B1503">
        <v>4535206</v>
      </c>
      <c r="C1503" t="s">
        <v>231</v>
      </c>
      <c r="D1503">
        <v>68542</v>
      </c>
      <c r="E1503" t="s">
        <v>150</v>
      </c>
      <c r="F1503" t="s">
        <v>401</v>
      </c>
      <c r="G1503" s="28">
        <v>49</v>
      </c>
      <c r="H1503" s="32">
        <v>5.49</v>
      </c>
      <c r="I1503" s="32">
        <v>4291.91</v>
      </c>
      <c r="J1503" t="s">
        <v>267</v>
      </c>
      <c r="K1503" t="s">
        <v>245</v>
      </c>
      <c r="L1503" t="s">
        <v>235</v>
      </c>
      <c r="M1503" t="s">
        <v>236</v>
      </c>
      <c r="N1503" t="s">
        <v>240</v>
      </c>
      <c r="O1503" s="27">
        <v>46057</v>
      </c>
    </row>
    <row r="1504" spans="2:15" hidden="1" x14ac:dyDescent="0.3">
      <c r="B1504">
        <v>7768707</v>
      </c>
      <c r="C1504" t="s">
        <v>260</v>
      </c>
      <c r="D1504">
        <v>21559</v>
      </c>
      <c r="E1504" t="s">
        <v>150</v>
      </c>
      <c r="F1504" t="s">
        <v>369</v>
      </c>
      <c r="G1504" s="28">
        <v>11</v>
      </c>
      <c r="H1504" s="32">
        <v>5.49</v>
      </c>
      <c r="I1504" s="32">
        <v>606.19000000000005</v>
      </c>
      <c r="J1504" t="s">
        <v>239</v>
      </c>
      <c r="K1504" t="s">
        <v>245</v>
      </c>
      <c r="L1504" t="s">
        <v>235</v>
      </c>
      <c r="M1504" t="s">
        <v>236</v>
      </c>
      <c r="N1504" t="s">
        <v>240</v>
      </c>
      <c r="O1504" s="27">
        <v>46063</v>
      </c>
    </row>
    <row r="1505" spans="2:15" hidden="1" x14ac:dyDescent="0.3">
      <c r="B1505">
        <v>2495068</v>
      </c>
      <c r="C1505" t="s">
        <v>231</v>
      </c>
      <c r="D1505">
        <v>69493</v>
      </c>
      <c r="E1505" t="s">
        <v>150</v>
      </c>
      <c r="F1505" t="s">
        <v>163</v>
      </c>
      <c r="G1505" s="28">
        <v>60</v>
      </c>
      <c r="H1505" s="32">
        <v>5.48</v>
      </c>
      <c r="I1505" s="32">
        <v>790.45</v>
      </c>
      <c r="J1505" t="s">
        <v>239</v>
      </c>
      <c r="K1505" t="s">
        <v>245</v>
      </c>
      <c r="L1505" t="s">
        <v>235</v>
      </c>
      <c r="M1505" t="s">
        <v>236</v>
      </c>
      <c r="N1505" t="s">
        <v>237</v>
      </c>
      <c r="O1505" s="27">
        <v>46055</v>
      </c>
    </row>
    <row r="1506" spans="2:15" x14ac:dyDescent="0.3">
      <c r="B1506">
        <v>8907980</v>
      </c>
      <c r="C1506" t="s">
        <v>231</v>
      </c>
      <c r="D1506">
        <v>22103</v>
      </c>
      <c r="E1506" t="s">
        <v>150</v>
      </c>
      <c r="F1506" t="s">
        <v>318</v>
      </c>
      <c r="G1506" s="28">
        <v>4</v>
      </c>
      <c r="H1506" s="32">
        <v>5.47</v>
      </c>
      <c r="I1506" s="32">
        <v>614.44000000000005</v>
      </c>
      <c r="J1506" t="s">
        <v>239</v>
      </c>
      <c r="K1506" t="s">
        <v>245</v>
      </c>
      <c r="L1506" t="s">
        <v>235</v>
      </c>
      <c r="M1506" t="s">
        <v>236</v>
      </c>
      <c r="N1506" t="s">
        <v>237</v>
      </c>
      <c r="O1506" s="27">
        <v>46072</v>
      </c>
    </row>
    <row r="1507" spans="2:15" hidden="1" x14ac:dyDescent="0.3">
      <c r="B1507">
        <v>389066</v>
      </c>
      <c r="C1507" t="s">
        <v>260</v>
      </c>
      <c r="D1507">
        <v>21559</v>
      </c>
      <c r="E1507" t="s">
        <v>150</v>
      </c>
      <c r="F1507" t="s">
        <v>381</v>
      </c>
      <c r="G1507" s="28">
        <v>64</v>
      </c>
      <c r="H1507" s="32">
        <v>5.47</v>
      </c>
      <c r="I1507" s="32">
        <v>1071.99</v>
      </c>
      <c r="J1507" t="s">
        <v>330</v>
      </c>
      <c r="K1507" t="s">
        <v>234</v>
      </c>
      <c r="L1507" t="s">
        <v>235</v>
      </c>
      <c r="M1507" t="s">
        <v>236</v>
      </c>
      <c r="N1507" t="s">
        <v>237</v>
      </c>
      <c r="O1507" s="27">
        <v>46072</v>
      </c>
    </row>
    <row r="1508" spans="2:15" hidden="1" x14ac:dyDescent="0.3">
      <c r="B1508">
        <v>5362471</v>
      </c>
      <c r="C1508" t="s">
        <v>260</v>
      </c>
      <c r="D1508">
        <v>22674</v>
      </c>
      <c r="E1508" t="s">
        <v>150</v>
      </c>
      <c r="F1508" t="s">
        <v>246</v>
      </c>
      <c r="G1508" s="28">
        <v>13</v>
      </c>
      <c r="H1508" s="32">
        <v>5.47</v>
      </c>
      <c r="I1508" s="32">
        <v>482.91</v>
      </c>
      <c r="J1508" t="s">
        <v>239</v>
      </c>
      <c r="K1508" t="s">
        <v>245</v>
      </c>
      <c r="L1508" t="s">
        <v>235</v>
      </c>
      <c r="M1508" t="s">
        <v>236</v>
      </c>
      <c r="N1508" t="s">
        <v>237</v>
      </c>
      <c r="O1508" s="27">
        <v>46063</v>
      </c>
    </row>
    <row r="1509" spans="2:15" hidden="1" x14ac:dyDescent="0.3">
      <c r="B1509">
        <v>3593981</v>
      </c>
      <c r="C1509" t="s">
        <v>260</v>
      </c>
      <c r="D1509">
        <v>23648</v>
      </c>
      <c r="E1509" t="s">
        <v>150</v>
      </c>
      <c r="F1509" t="s">
        <v>298</v>
      </c>
      <c r="G1509" s="28">
        <v>20</v>
      </c>
      <c r="H1509" s="32">
        <v>5.46</v>
      </c>
      <c r="I1509" s="32">
        <v>328.34</v>
      </c>
      <c r="J1509" t="s">
        <v>239</v>
      </c>
      <c r="K1509" t="s">
        <v>245</v>
      </c>
      <c r="L1509" t="s">
        <v>235</v>
      </c>
      <c r="M1509" t="s">
        <v>236</v>
      </c>
      <c r="N1509" t="s">
        <v>237</v>
      </c>
      <c r="O1509" s="27">
        <v>46055</v>
      </c>
    </row>
    <row r="1510" spans="2:15" hidden="1" x14ac:dyDescent="0.3">
      <c r="B1510">
        <v>4415330</v>
      </c>
      <c r="C1510" t="s">
        <v>260</v>
      </c>
      <c r="D1510">
        <v>22674</v>
      </c>
      <c r="E1510" t="s">
        <v>150</v>
      </c>
      <c r="F1510" t="s">
        <v>164</v>
      </c>
      <c r="G1510" s="28">
        <v>23</v>
      </c>
      <c r="H1510" s="32">
        <v>5.46</v>
      </c>
      <c r="I1510" s="32">
        <v>1118.0899999999999</v>
      </c>
      <c r="J1510" t="s">
        <v>239</v>
      </c>
      <c r="K1510" t="s">
        <v>245</v>
      </c>
      <c r="L1510" t="s">
        <v>235</v>
      </c>
      <c r="M1510" t="s">
        <v>236</v>
      </c>
      <c r="N1510" t="s">
        <v>240</v>
      </c>
      <c r="O1510" s="27">
        <v>46063</v>
      </c>
    </row>
    <row r="1511" spans="2:15" hidden="1" x14ac:dyDescent="0.3">
      <c r="B1511">
        <v>9303108</v>
      </c>
      <c r="C1511" t="s">
        <v>260</v>
      </c>
      <c r="D1511">
        <v>69493</v>
      </c>
      <c r="E1511" t="s">
        <v>150</v>
      </c>
      <c r="F1511" t="s">
        <v>246</v>
      </c>
      <c r="G1511" s="28">
        <v>26</v>
      </c>
      <c r="H1511" s="32">
        <v>5.45</v>
      </c>
      <c r="I1511" s="32">
        <v>960.54</v>
      </c>
      <c r="J1511" t="s">
        <v>239</v>
      </c>
      <c r="K1511" t="s">
        <v>245</v>
      </c>
      <c r="L1511" t="s">
        <v>235</v>
      </c>
      <c r="M1511" t="s">
        <v>236</v>
      </c>
      <c r="N1511" t="s">
        <v>240</v>
      </c>
      <c r="O1511" s="27">
        <v>46055</v>
      </c>
    </row>
    <row r="1512" spans="2:15" hidden="1" x14ac:dyDescent="0.3">
      <c r="B1512">
        <v>9635202</v>
      </c>
      <c r="C1512" t="s">
        <v>231</v>
      </c>
      <c r="D1512">
        <v>71881</v>
      </c>
      <c r="E1512" t="s">
        <v>150</v>
      </c>
      <c r="F1512" t="s">
        <v>287</v>
      </c>
      <c r="G1512" s="28">
        <v>26</v>
      </c>
      <c r="H1512" s="32">
        <v>5.43</v>
      </c>
      <c r="I1512" s="32">
        <v>815.6</v>
      </c>
      <c r="J1512" t="s">
        <v>239</v>
      </c>
      <c r="K1512" t="s">
        <v>245</v>
      </c>
      <c r="L1512" t="s">
        <v>235</v>
      </c>
      <c r="M1512" t="s">
        <v>236</v>
      </c>
      <c r="N1512" t="s">
        <v>237</v>
      </c>
      <c r="O1512" s="27">
        <v>46063</v>
      </c>
    </row>
    <row r="1513" spans="2:15" hidden="1" x14ac:dyDescent="0.3">
      <c r="B1513">
        <v>5377617</v>
      </c>
      <c r="C1513" t="s">
        <v>231</v>
      </c>
      <c r="D1513">
        <v>21559</v>
      </c>
      <c r="E1513" t="s">
        <v>150</v>
      </c>
      <c r="F1513" t="s">
        <v>246</v>
      </c>
      <c r="G1513" s="28">
        <v>12</v>
      </c>
      <c r="H1513" s="32">
        <v>5.41</v>
      </c>
      <c r="I1513" s="32">
        <v>445.76</v>
      </c>
      <c r="J1513" t="s">
        <v>239</v>
      </c>
      <c r="K1513" t="s">
        <v>245</v>
      </c>
      <c r="L1513" t="s">
        <v>235</v>
      </c>
      <c r="M1513" t="s">
        <v>236</v>
      </c>
      <c r="N1513" t="s">
        <v>237</v>
      </c>
      <c r="O1513" s="27">
        <v>46063</v>
      </c>
    </row>
    <row r="1514" spans="2:15" hidden="1" x14ac:dyDescent="0.3">
      <c r="B1514">
        <v>18731282</v>
      </c>
      <c r="C1514" t="s">
        <v>231</v>
      </c>
      <c r="D1514">
        <v>40901</v>
      </c>
      <c r="E1514" t="s">
        <v>150</v>
      </c>
      <c r="F1514" t="s">
        <v>258</v>
      </c>
      <c r="G1514" s="28">
        <v>92</v>
      </c>
      <c r="H1514" s="32">
        <v>5.41</v>
      </c>
      <c r="I1514" s="32">
        <v>994.87</v>
      </c>
      <c r="J1514" t="s">
        <v>239</v>
      </c>
      <c r="K1514" t="s">
        <v>245</v>
      </c>
      <c r="L1514" t="s">
        <v>235</v>
      </c>
      <c r="M1514" t="s">
        <v>236</v>
      </c>
      <c r="N1514" t="s">
        <v>240</v>
      </c>
      <c r="O1514" s="27">
        <v>46055</v>
      </c>
    </row>
    <row r="1515" spans="2:15" hidden="1" x14ac:dyDescent="0.3">
      <c r="B1515">
        <v>4658833</v>
      </c>
      <c r="C1515" t="s">
        <v>260</v>
      </c>
      <c r="D1515">
        <v>38517</v>
      </c>
      <c r="E1515" t="s">
        <v>150</v>
      </c>
      <c r="F1515" t="s">
        <v>287</v>
      </c>
      <c r="G1515" s="28">
        <v>25</v>
      </c>
      <c r="H1515" s="32">
        <v>5.41</v>
      </c>
      <c r="I1515" s="32">
        <v>780.83</v>
      </c>
      <c r="J1515" t="s">
        <v>239</v>
      </c>
      <c r="K1515" t="s">
        <v>245</v>
      </c>
      <c r="L1515" t="s">
        <v>235</v>
      </c>
      <c r="M1515" t="s">
        <v>236</v>
      </c>
      <c r="N1515" t="s">
        <v>237</v>
      </c>
      <c r="O1515" s="27">
        <v>46055</v>
      </c>
    </row>
    <row r="1516" spans="2:15" hidden="1" x14ac:dyDescent="0.3">
      <c r="B1516">
        <v>18731282</v>
      </c>
      <c r="C1516" t="s">
        <v>231</v>
      </c>
      <c r="D1516">
        <v>40901</v>
      </c>
      <c r="E1516" t="s">
        <v>150</v>
      </c>
      <c r="F1516" t="s">
        <v>159</v>
      </c>
      <c r="G1516" s="28">
        <v>20</v>
      </c>
      <c r="H1516" s="32">
        <v>5.4</v>
      </c>
      <c r="I1516" s="32">
        <v>993.62</v>
      </c>
      <c r="J1516" t="s">
        <v>256</v>
      </c>
      <c r="K1516" t="s">
        <v>245</v>
      </c>
      <c r="L1516" t="s">
        <v>235</v>
      </c>
      <c r="M1516" t="s">
        <v>236</v>
      </c>
      <c r="N1516" t="s">
        <v>237</v>
      </c>
      <c r="O1516" s="27">
        <v>46055</v>
      </c>
    </row>
    <row r="1517" spans="2:15" hidden="1" x14ac:dyDescent="0.3">
      <c r="B1517">
        <v>2084946</v>
      </c>
      <c r="C1517" t="s">
        <v>231</v>
      </c>
      <c r="D1517">
        <v>69493</v>
      </c>
      <c r="E1517" t="s">
        <v>150</v>
      </c>
      <c r="F1517" t="s">
        <v>163</v>
      </c>
      <c r="G1517" s="28">
        <v>59</v>
      </c>
      <c r="H1517" s="32">
        <v>5.38</v>
      </c>
      <c r="I1517" s="32">
        <v>777.28</v>
      </c>
      <c r="J1517" t="s">
        <v>239</v>
      </c>
      <c r="K1517" t="s">
        <v>245</v>
      </c>
      <c r="L1517" t="s">
        <v>235</v>
      </c>
      <c r="M1517" t="s">
        <v>236</v>
      </c>
      <c r="N1517" t="s">
        <v>237</v>
      </c>
      <c r="O1517" s="27">
        <v>46055</v>
      </c>
    </row>
    <row r="1518" spans="2:15" hidden="1" x14ac:dyDescent="0.3">
      <c r="B1518">
        <v>4051319</v>
      </c>
      <c r="C1518" t="s">
        <v>231</v>
      </c>
      <c r="D1518">
        <v>22674</v>
      </c>
      <c r="E1518" t="s">
        <v>150</v>
      </c>
      <c r="F1518" t="s">
        <v>164</v>
      </c>
      <c r="G1518" s="28">
        <v>22</v>
      </c>
      <c r="H1518" s="32">
        <v>5.38</v>
      </c>
      <c r="I1518" s="32">
        <v>1069.6099999999999</v>
      </c>
      <c r="J1518" t="s">
        <v>239</v>
      </c>
      <c r="K1518" t="s">
        <v>245</v>
      </c>
      <c r="L1518" t="s">
        <v>235</v>
      </c>
      <c r="M1518" t="s">
        <v>236</v>
      </c>
      <c r="N1518" t="s">
        <v>240</v>
      </c>
      <c r="O1518" s="27">
        <v>46063</v>
      </c>
    </row>
    <row r="1519" spans="2:15" hidden="1" x14ac:dyDescent="0.3">
      <c r="B1519">
        <v>5362471</v>
      </c>
      <c r="C1519" t="s">
        <v>260</v>
      </c>
      <c r="D1519">
        <v>22674</v>
      </c>
      <c r="E1519" t="s">
        <v>150</v>
      </c>
      <c r="F1519" t="s">
        <v>337</v>
      </c>
      <c r="G1519" s="28">
        <v>23</v>
      </c>
      <c r="H1519" s="32">
        <v>5.38</v>
      </c>
      <c r="I1519" s="32">
        <v>816.96</v>
      </c>
      <c r="J1519" t="s">
        <v>239</v>
      </c>
      <c r="K1519" t="s">
        <v>245</v>
      </c>
      <c r="L1519" t="s">
        <v>235</v>
      </c>
      <c r="M1519" t="s">
        <v>236</v>
      </c>
      <c r="N1519" t="s">
        <v>237</v>
      </c>
      <c r="O1519" s="27">
        <v>46072</v>
      </c>
    </row>
    <row r="1520" spans="2:15" hidden="1" x14ac:dyDescent="0.3">
      <c r="B1520">
        <v>8668372</v>
      </c>
      <c r="C1520" t="s">
        <v>231</v>
      </c>
      <c r="D1520">
        <v>25619</v>
      </c>
      <c r="E1520" t="s">
        <v>150</v>
      </c>
      <c r="F1520" t="s">
        <v>298</v>
      </c>
      <c r="G1520" s="28">
        <v>33</v>
      </c>
      <c r="H1520" s="32">
        <v>5.36</v>
      </c>
      <c r="I1520" s="32">
        <v>541.76</v>
      </c>
      <c r="J1520" t="s">
        <v>239</v>
      </c>
      <c r="K1520" t="s">
        <v>245</v>
      </c>
      <c r="L1520" t="s">
        <v>235</v>
      </c>
      <c r="M1520" t="s">
        <v>236</v>
      </c>
      <c r="N1520" t="s">
        <v>237</v>
      </c>
      <c r="O1520" s="27">
        <v>46055</v>
      </c>
    </row>
    <row r="1521" spans="2:15" hidden="1" x14ac:dyDescent="0.3">
      <c r="B1521">
        <v>357627</v>
      </c>
      <c r="C1521" t="s">
        <v>231</v>
      </c>
      <c r="D1521">
        <v>72444</v>
      </c>
      <c r="E1521" t="s">
        <v>150</v>
      </c>
      <c r="F1521" t="s">
        <v>276</v>
      </c>
      <c r="G1521" s="28">
        <v>30</v>
      </c>
      <c r="H1521" s="32">
        <v>5.36</v>
      </c>
      <c r="I1521" s="32">
        <v>908.12</v>
      </c>
      <c r="J1521" t="s">
        <v>239</v>
      </c>
      <c r="K1521" t="s">
        <v>245</v>
      </c>
      <c r="L1521" t="s">
        <v>235</v>
      </c>
      <c r="M1521" t="s">
        <v>236</v>
      </c>
      <c r="N1521" t="s">
        <v>240</v>
      </c>
      <c r="O1521" s="27">
        <v>46055</v>
      </c>
    </row>
    <row r="1522" spans="2:15" hidden="1" x14ac:dyDescent="0.3">
      <c r="B1522">
        <v>15518055</v>
      </c>
      <c r="C1522" t="s">
        <v>231</v>
      </c>
      <c r="D1522">
        <v>22674</v>
      </c>
      <c r="E1522" t="s">
        <v>150</v>
      </c>
      <c r="F1522" t="s">
        <v>164</v>
      </c>
      <c r="G1522" s="28">
        <v>23</v>
      </c>
      <c r="H1522" s="32">
        <v>5.35</v>
      </c>
      <c r="I1522" s="32">
        <v>1118.22</v>
      </c>
      <c r="J1522" t="s">
        <v>239</v>
      </c>
      <c r="K1522" t="s">
        <v>245</v>
      </c>
      <c r="L1522" t="s">
        <v>235</v>
      </c>
      <c r="M1522" t="s">
        <v>236</v>
      </c>
      <c r="N1522" t="s">
        <v>237</v>
      </c>
      <c r="O1522" s="27">
        <v>46063</v>
      </c>
    </row>
    <row r="1523" spans="2:15" hidden="1" x14ac:dyDescent="0.3">
      <c r="B1523">
        <v>366105</v>
      </c>
      <c r="C1523" t="s">
        <v>231</v>
      </c>
      <c r="D1523">
        <v>69519</v>
      </c>
      <c r="E1523" t="s">
        <v>150</v>
      </c>
      <c r="F1523" t="s">
        <v>325</v>
      </c>
      <c r="G1523" s="28">
        <v>69</v>
      </c>
      <c r="H1523" s="32">
        <v>5.35</v>
      </c>
      <c r="I1523" s="32">
        <v>597.74</v>
      </c>
      <c r="J1523" t="s">
        <v>267</v>
      </c>
      <c r="K1523" t="s">
        <v>245</v>
      </c>
      <c r="L1523" t="s">
        <v>235</v>
      </c>
      <c r="M1523" t="s">
        <v>236</v>
      </c>
      <c r="N1523" t="s">
        <v>240</v>
      </c>
      <c r="O1523" s="27">
        <v>46063</v>
      </c>
    </row>
    <row r="1524" spans="2:15" hidden="1" x14ac:dyDescent="0.3">
      <c r="B1524">
        <v>3906862</v>
      </c>
      <c r="C1524" t="s">
        <v>231</v>
      </c>
      <c r="D1524">
        <v>71881</v>
      </c>
      <c r="E1524" t="s">
        <v>150</v>
      </c>
      <c r="F1524" t="s">
        <v>163</v>
      </c>
      <c r="G1524" s="28">
        <v>14</v>
      </c>
      <c r="H1524" s="32">
        <v>5.33</v>
      </c>
      <c r="I1524" s="32">
        <v>195.46</v>
      </c>
      <c r="J1524" t="s">
        <v>239</v>
      </c>
      <c r="K1524" t="s">
        <v>245</v>
      </c>
      <c r="L1524" t="s">
        <v>235</v>
      </c>
      <c r="M1524" t="s">
        <v>236</v>
      </c>
      <c r="N1524" t="s">
        <v>237</v>
      </c>
      <c r="O1524" s="27">
        <v>46063</v>
      </c>
    </row>
    <row r="1525" spans="2:15" hidden="1" x14ac:dyDescent="0.3">
      <c r="B1525">
        <v>5567161</v>
      </c>
      <c r="C1525" t="s">
        <v>231</v>
      </c>
      <c r="D1525">
        <v>24415</v>
      </c>
      <c r="E1525" t="s">
        <v>150</v>
      </c>
      <c r="F1525" t="s">
        <v>404</v>
      </c>
      <c r="G1525" s="28">
        <v>45</v>
      </c>
      <c r="H1525" s="32">
        <v>5.33</v>
      </c>
      <c r="I1525" s="32">
        <v>890.1</v>
      </c>
      <c r="J1525" t="s">
        <v>330</v>
      </c>
      <c r="K1525" t="s">
        <v>245</v>
      </c>
      <c r="L1525" t="s">
        <v>235</v>
      </c>
      <c r="M1525" t="s">
        <v>236</v>
      </c>
      <c r="N1525" t="s">
        <v>240</v>
      </c>
      <c r="O1525" s="27">
        <v>46063</v>
      </c>
    </row>
    <row r="1526" spans="2:15" hidden="1" x14ac:dyDescent="0.3">
      <c r="B1526">
        <v>3914788</v>
      </c>
      <c r="C1526" t="s">
        <v>260</v>
      </c>
      <c r="D1526">
        <v>21468</v>
      </c>
      <c r="E1526" t="s">
        <v>150</v>
      </c>
      <c r="F1526" t="s">
        <v>163</v>
      </c>
      <c r="G1526" s="28">
        <v>21</v>
      </c>
      <c r="H1526" s="32">
        <v>5.33</v>
      </c>
      <c r="I1526" s="32">
        <v>293.20999999999998</v>
      </c>
      <c r="J1526" t="s">
        <v>239</v>
      </c>
      <c r="K1526" t="s">
        <v>245</v>
      </c>
      <c r="L1526" t="s">
        <v>235</v>
      </c>
      <c r="M1526" t="s">
        <v>236</v>
      </c>
      <c r="N1526" t="s">
        <v>237</v>
      </c>
      <c r="O1526" s="27">
        <v>46063</v>
      </c>
    </row>
    <row r="1527" spans="2:15" hidden="1" x14ac:dyDescent="0.3">
      <c r="B1527">
        <v>591394</v>
      </c>
      <c r="C1527" t="s">
        <v>231</v>
      </c>
      <c r="D1527">
        <v>69493</v>
      </c>
      <c r="E1527" t="s">
        <v>150</v>
      </c>
      <c r="F1527" t="s">
        <v>271</v>
      </c>
      <c r="G1527" s="28">
        <v>34</v>
      </c>
      <c r="H1527" s="32">
        <v>5.32</v>
      </c>
      <c r="I1527" s="32">
        <v>627.71</v>
      </c>
      <c r="J1527" t="s">
        <v>239</v>
      </c>
      <c r="K1527" t="s">
        <v>245</v>
      </c>
      <c r="L1527" t="s">
        <v>235</v>
      </c>
      <c r="M1527" t="s">
        <v>236</v>
      </c>
      <c r="N1527" t="s">
        <v>237</v>
      </c>
      <c r="O1527" s="27">
        <v>46063</v>
      </c>
    </row>
    <row r="1528" spans="2:15" hidden="1" x14ac:dyDescent="0.3">
      <c r="B1528">
        <v>2091913</v>
      </c>
      <c r="C1528" t="s">
        <v>260</v>
      </c>
      <c r="D1528">
        <v>49894</v>
      </c>
      <c r="E1528" t="s">
        <v>150</v>
      </c>
      <c r="F1528" t="s">
        <v>164</v>
      </c>
      <c r="G1528" s="28">
        <v>21</v>
      </c>
      <c r="H1528" s="32">
        <v>5.32</v>
      </c>
      <c r="I1528" s="32">
        <v>1020.97</v>
      </c>
      <c r="J1528" t="s">
        <v>239</v>
      </c>
      <c r="K1528" t="s">
        <v>245</v>
      </c>
      <c r="L1528" t="s">
        <v>235</v>
      </c>
      <c r="M1528" t="s">
        <v>236</v>
      </c>
      <c r="N1528" t="s">
        <v>240</v>
      </c>
      <c r="O1528" s="27">
        <v>46063</v>
      </c>
    </row>
    <row r="1529" spans="2:15" hidden="1" x14ac:dyDescent="0.3">
      <c r="B1529">
        <v>5370675</v>
      </c>
      <c r="C1529" t="s">
        <v>260</v>
      </c>
      <c r="D1529">
        <v>71881</v>
      </c>
      <c r="E1529" t="s">
        <v>150</v>
      </c>
      <c r="F1529" t="s">
        <v>163</v>
      </c>
      <c r="G1529" s="28">
        <v>21</v>
      </c>
      <c r="H1529" s="32">
        <v>5.31</v>
      </c>
      <c r="I1529" s="32">
        <v>293.20999999999998</v>
      </c>
      <c r="J1529" t="s">
        <v>239</v>
      </c>
      <c r="K1529" t="s">
        <v>245</v>
      </c>
      <c r="L1529" t="s">
        <v>235</v>
      </c>
      <c r="M1529" t="s">
        <v>236</v>
      </c>
      <c r="N1529" t="s">
        <v>237</v>
      </c>
      <c r="O1529" s="27">
        <v>46063</v>
      </c>
    </row>
    <row r="1530" spans="2:15" hidden="1" x14ac:dyDescent="0.3">
      <c r="B1530">
        <v>5362471</v>
      </c>
      <c r="C1530" t="s">
        <v>260</v>
      </c>
      <c r="D1530">
        <v>22674</v>
      </c>
      <c r="E1530" t="s">
        <v>150</v>
      </c>
      <c r="F1530" t="s">
        <v>271</v>
      </c>
      <c r="G1530" s="28">
        <v>45</v>
      </c>
      <c r="H1530" s="32">
        <v>5.31</v>
      </c>
      <c r="I1530" s="32">
        <v>805.24</v>
      </c>
      <c r="J1530" t="s">
        <v>239</v>
      </c>
      <c r="K1530" t="s">
        <v>245</v>
      </c>
      <c r="L1530" t="s">
        <v>235</v>
      </c>
      <c r="M1530" t="s">
        <v>236</v>
      </c>
      <c r="N1530" t="s">
        <v>237</v>
      </c>
      <c r="O1530" s="27">
        <v>46072</v>
      </c>
    </row>
    <row r="1531" spans="2:15" hidden="1" x14ac:dyDescent="0.3">
      <c r="B1531">
        <v>11593572</v>
      </c>
      <c r="C1531" t="s">
        <v>231</v>
      </c>
      <c r="D1531">
        <v>22674</v>
      </c>
      <c r="E1531" t="s">
        <v>150</v>
      </c>
      <c r="F1531" t="s">
        <v>402</v>
      </c>
      <c r="G1531" s="28">
        <v>61</v>
      </c>
      <c r="H1531" s="32">
        <v>5.3</v>
      </c>
      <c r="I1531" s="32">
        <v>568.88</v>
      </c>
      <c r="J1531" t="s">
        <v>267</v>
      </c>
      <c r="K1531" t="s">
        <v>245</v>
      </c>
      <c r="L1531" t="s">
        <v>235</v>
      </c>
      <c r="M1531" t="s">
        <v>236</v>
      </c>
      <c r="N1531" t="s">
        <v>240</v>
      </c>
      <c r="O1531" s="27">
        <v>46056</v>
      </c>
    </row>
    <row r="1532" spans="2:15" hidden="1" x14ac:dyDescent="0.3">
      <c r="B1532">
        <v>18797810</v>
      </c>
      <c r="C1532" t="s">
        <v>231</v>
      </c>
      <c r="D1532">
        <v>74304</v>
      </c>
      <c r="E1532" t="s">
        <v>150</v>
      </c>
      <c r="F1532" t="s">
        <v>287</v>
      </c>
      <c r="G1532" s="28">
        <v>28</v>
      </c>
      <c r="H1532" s="32">
        <v>5.28</v>
      </c>
      <c r="I1532" s="32">
        <v>878.33</v>
      </c>
      <c r="J1532" t="s">
        <v>239</v>
      </c>
      <c r="K1532" t="s">
        <v>245</v>
      </c>
      <c r="L1532" t="s">
        <v>235</v>
      </c>
      <c r="M1532" t="s">
        <v>236</v>
      </c>
      <c r="N1532" t="s">
        <v>237</v>
      </c>
      <c r="O1532" s="27">
        <v>46063</v>
      </c>
    </row>
    <row r="1533" spans="2:15" x14ac:dyDescent="0.3">
      <c r="B1533">
        <v>8907980</v>
      </c>
      <c r="C1533" t="s">
        <v>231</v>
      </c>
      <c r="D1533">
        <v>22103</v>
      </c>
      <c r="E1533" t="s">
        <v>150</v>
      </c>
      <c r="F1533" t="s">
        <v>251</v>
      </c>
      <c r="G1533" s="28">
        <v>12</v>
      </c>
      <c r="H1533" s="32">
        <v>5.28</v>
      </c>
      <c r="I1533" s="32">
        <v>594.09</v>
      </c>
      <c r="J1533" t="s">
        <v>239</v>
      </c>
      <c r="K1533" t="s">
        <v>245</v>
      </c>
      <c r="L1533" t="s">
        <v>235</v>
      </c>
      <c r="M1533" t="s">
        <v>236</v>
      </c>
      <c r="N1533" t="s">
        <v>237</v>
      </c>
      <c r="O1533" s="27">
        <v>46072</v>
      </c>
    </row>
    <row r="1534" spans="2:15" hidden="1" x14ac:dyDescent="0.3">
      <c r="B1534">
        <v>5377617</v>
      </c>
      <c r="C1534" t="s">
        <v>231</v>
      </c>
      <c r="D1534">
        <v>21559</v>
      </c>
      <c r="E1534" t="s">
        <v>150</v>
      </c>
      <c r="F1534" t="s">
        <v>163</v>
      </c>
      <c r="G1534" s="28">
        <v>20</v>
      </c>
      <c r="H1534" s="32">
        <v>5.28</v>
      </c>
      <c r="I1534" s="32">
        <v>279.22000000000003</v>
      </c>
      <c r="J1534" t="s">
        <v>239</v>
      </c>
      <c r="K1534" t="s">
        <v>245</v>
      </c>
      <c r="L1534" t="s">
        <v>235</v>
      </c>
      <c r="M1534" t="s">
        <v>236</v>
      </c>
      <c r="N1534" t="s">
        <v>237</v>
      </c>
      <c r="O1534" s="27">
        <v>46063</v>
      </c>
    </row>
    <row r="1535" spans="2:15" hidden="1" x14ac:dyDescent="0.3">
      <c r="B1535">
        <v>2328302</v>
      </c>
      <c r="C1535" t="s">
        <v>231</v>
      </c>
      <c r="D1535">
        <v>22674</v>
      </c>
      <c r="E1535" t="s">
        <v>150</v>
      </c>
      <c r="F1535" t="s">
        <v>164</v>
      </c>
      <c r="G1535" s="28">
        <v>27</v>
      </c>
      <c r="H1535" s="32">
        <v>5.28</v>
      </c>
      <c r="I1535" s="32">
        <v>1237.49</v>
      </c>
      <c r="J1535" t="s">
        <v>239</v>
      </c>
      <c r="K1535" t="s">
        <v>245</v>
      </c>
      <c r="L1535" t="s">
        <v>235</v>
      </c>
      <c r="M1535" t="s">
        <v>236</v>
      </c>
      <c r="N1535" t="s">
        <v>240</v>
      </c>
      <c r="O1535" s="27">
        <v>46055</v>
      </c>
    </row>
    <row r="1536" spans="2:15" hidden="1" x14ac:dyDescent="0.3">
      <c r="B1536">
        <v>4658833</v>
      </c>
      <c r="C1536" t="s">
        <v>260</v>
      </c>
      <c r="D1536">
        <v>38517</v>
      </c>
      <c r="E1536" t="s">
        <v>150</v>
      </c>
      <c r="F1536" t="s">
        <v>271</v>
      </c>
      <c r="G1536" s="28">
        <v>29</v>
      </c>
      <c r="H1536" s="32">
        <v>5.28</v>
      </c>
      <c r="I1536" s="32">
        <v>511.79</v>
      </c>
      <c r="J1536" t="s">
        <v>239</v>
      </c>
      <c r="K1536" t="s">
        <v>245</v>
      </c>
      <c r="L1536" t="s">
        <v>235</v>
      </c>
      <c r="M1536" t="s">
        <v>236</v>
      </c>
      <c r="N1536" t="s">
        <v>237</v>
      </c>
      <c r="O1536" s="27">
        <v>46055</v>
      </c>
    </row>
    <row r="1537" spans="2:15" hidden="1" x14ac:dyDescent="0.3">
      <c r="B1537">
        <v>74468</v>
      </c>
      <c r="C1537" t="s">
        <v>260</v>
      </c>
      <c r="D1537">
        <v>69519</v>
      </c>
      <c r="E1537" t="s">
        <v>150</v>
      </c>
      <c r="F1537" t="s">
        <v>331</v>
      </c>
      <c r="G1537" s="28">
        <v>63</v>
      </c>
      <c r="H1537" s="32">
        <v>5.28</v>
      </c>
      <c r="I1537" s="32">
        <v>608.24</v>
      </c>
      <c r="J1537" t="s">
        <v>267</v>
      </c>
      <c r="K1537" t="s">
        <v>245</v>
      </c>
      <c r="L1537" t="s">
        <v>235</v>
      </c>
      <c r="M1537" t="s">
        <v>236</v>
      </c>
      <c r="N1537" t="s">
        <v>240</v>
      </c>
      <c r="O1537" s="27">
        <v>46063</v>
      </c>
    </row>
    <row r="1538" spans="2:15" hidden="1" x14ac:dyDescent="0.3">
      <c r="B1538">
        <v>11593572</v>
      </c>
      <c r="C1538" t="s">
        <v>231</v>
      </c>
      <c r="D1538">
        <v>22674</v>
      </c>
      <c r="E1538" t="s">
        <v>150</v>
      </c>
      <c r="F1538" t="s">
        <v>355</v>
      </c>
      <c r="G1538" s="28">
        <v>60</v>
      </c>
      <c r="H1538" s="32">
        <v>5.27</v>
      </c>
      <c r="I1538" s="32">
        <v>599.4</v>
      </c>
      <c r="J1538" t="s">
        <v>267</v>
      </c>
      <c r="K1538" t="s">
        <v>245</v>
      </c>
      <c r="L1538" t="s">
        <v>235</v>
      </c>
      <c r="M1538" t="s">
        <v>236</v>
      </c>
      <c r="N1538" t="s">
        <v>237</v>
      </c>
      <c r="O1538" s="27">
        <v>46056</v>
      </c>
    </row>
    <row r="1539" spans="2:15" hidden="1" x14ac:dyDescent="0.3">
      <c r="B1539">
        <v>6468519</v>
      </c>
      <c r="C1539" t="s">
        <v>231</v>
      </c>
      <c r="D1539">
        <v>72444</v>
      </c>
      <c r="E1539" t="s">
        <v>150</v>
      </c>
      <c r="F1539" t="s">
        <v>298</v>
      </c>
      <c r="G1539" s="28">
        <v>28</v>
      </c>
      <c r="H1539" s="32">
        <v>5.26</v>
      </c>
      <c r="I1539" s="32">
        <v>498.34</v>
      </c>
      <c r="J1539" t="s">
        <v>239</v>
      </c>
      <c r="K1539" t="s">
        <v>245</v>
      </c>
      <c r="L1539" t="s">
        <v>235</v>
      </c>
      <c r="M1539" t="s">
        <v>236</v>
      </c>
      <c r="N1539" t="s">
        <v>240</v>
      </c>
      <c r="O1539" s="27">
        <v>46072</v>
      </c>
    </row>
    <row r="1540" spans="2:15" hidden="1" x14ac:dyDescent="0.3">
      <c r="B1540">
        <v>2579681</v>
      </c>
      <c r="C1540" t="s">
        <v>231</v>
      </c>
      <c r="D1540">
        <v>25619</v>
      </c>
      <c r="E1540" t="s">
        <v>150</v>
      </c>
      <c r="F1540" t="s">
        <v>319</v>
      </c>
      <c r="G1540" s="28">
        <v>29</v>
      </c>
      <c r="H1540" s="32">
        <v>5.25</v>
      </c>
      <c r="I1540" s="32">
        <v>1171.23</v>
      </c>
      <c r="J1540" t="s">
        <v>239</v>
      </c>
      <c r="K1540" t="s">
        <v>245</v>
      </c>
      <c r="L1540" t="s">
        <v>235</v>
      </c>
      <c r="M1540" t="s">
        <v>236</v>
      </c>
      <c r="N1540" t="s">
        <v>240</v>
      </c>
      <c r="O1540" s="27">
        <v>46063</v>
      </c>
    </row>
    <row r="1541" spans="2:15" hidden="1" x14ac:dyDescent="0.3">
      <c r="B1541">
        <v>4658833</v>
      </c>
      <c r="C1541" t="s">
        <v>260</v>
      </c>
      <c r="D1541">
        <v>38517</v>
      </c>
      <c r="E1541" t="s">
        <v>150</v>
      </c>
      <c r="F1541" t="s">
        <v>163</v>
      </c>
      <c r="G1541" s="28">
        <v>23</v>
      </c>
      <c r="H1541" s="32">
        <v>5.24</v>
      </c>
      <c r="I1541" s="32">
        <v>321.13</v>
      </c>
      <c r="J1541" t="s">
        <v>239</v>
      </c>
      <c r="K1541" t="s">
        <v>245</v>
      </c>
      <c r="L1541" t="s">
        <v>235</v>
      </c>
      <c r="M1541" t="s">
        <v>236</v>
      </c>
      <c r="N1541" t="s">
        <v>237</v>
      </c>
      <c r="O1541" s="27">
        <v>46063</v>
      </c>
    </row>
    <row r="1542" spans="2:15" hidden="1" x14ac:dyDescent="0.3">
      <c r="B1542">
        <v>9673848</v>
      </c>
      <c r="C1542" t="s">
        <v>231</v>
      </c>
      <c r="D1542">
        <v>22674</v>
      </c>
      <c r="E1542" t="s">
        <v>150</v>
      </c>
      <c r="F1542" t="s">
        <v>369</v>
      </c>
      <c r="G1542" s="28">
        <v>10</v>
      </c>
      <c r="H1542" s="32">
        <v>5.23</v>
      </c>
      <c r="I1542" s="32">
        <v>551.04</v>
      </c>
      <c r="J1542" t="s">
        <v>239</v>
      </c>
      <c r="K1542" t="s">
        <v>245</v>
      </c>
      <c r="L1542" t="s">
        <v>235</v>
      </c>
      <c r="M1542" t="s">
        <v>236</v>
      </c>
      <c r="N1542" t="s">
        <v>240</v>
      </c>
      <c r="O1542" s="27">
        <v>46063</v>
      </c>
    </row>
    <row r="1543" spans="2:15" hidden="1" x14ac:dyDescent="0.3">
      <c r="B1543">
        <v>16951176</v>
      </c>
      <c r="C1543" t="s">
        <v>231</v>
      </c>
      <c r="D1543">
        <v>49894</v>
      </c>
      <c r="E1543" t="s">
        <v>150</v>
      </c>
      <c r="F1543" t="s">
        <v>381</v>
      </c>
      <c r="G1543" s="28">
        <v>70</v>
      </c>
      <c r="H1543" s="32">
        <v>5.23</v>
      </c>
      <c r="I1543" s="32">
        <v>1031.8</v>
      </c>
      <c r="J1543" t="s">
        <v>330</v>
      </c>
      <c r="K1543" t="s">
        <v>245</v>
      </c>
      <c r="L1543" t="s">
        <v>235</v>
      </c>
      <c r="M1543" t="s">
        <v>236</v>
      </c>
      <c r="N1543" t="s">
        <v>240</v>
      </c>
      <c r="O1543" s="27">
        <v>46057</v>
      </c>
    </row>
    <row r="1544" spans="2:15" x14ac:dyDescent="0.3">
      <c r="B1544">
        <v>5658854</v>
      </c>
      <c r="C1544" t="s">
        <v>231</v>
      </c>
      <c r="D1544">
        <v>22103</v>
      </c>
      <c r="E1544" t="s">
        <v>150</v>
      </c>
      <c r="F1544" t="s">
        <v>837</v>
      </c>
      <c r="G1544" s="28">
        <v>27</v>
      </c>
      <c r="H1544" s="32">
        <v>5.23</v>
      </c>
      <c r="I1544" s="32">
        <v>1040.3</v>
      </c>
      <c r="J1544" t="s">
        <v>330</v>
      </c>
      <c r="K1544" t="s">
        <v>234</v>
      </c>
      <c r="L1544" t="s">
        <v>235</v>
      </c>
      <c r="M1544" t="s">
        <v>236</v>
      </c>
      <c r="N1544" t="s">
        <v>240</v>
      </c>
      <c r="O1544" s="27">
        <v>46076</v>
      </c>
    </row>
    <row r="1545" spans="2:15" hidden="1" x14ac:dyDescent="0.3">
      <c r="B1545">
        <v>4358018</v>
      </c>
      <c r="C1545" t="s">
        <v>231</v>
      </c>
      <c r="D1545">
        <v>23410</v>
      </c>
      <c r="E1545" t="s">
        <v>150</v>
      </c>
      <c r="F1545" t="s">
        <v>287</v>
      </c>
      <c r="G1545" s="28">
        <v>29</v>
      </c>
      <c r="H1545" s="32">
        <v>5.22</v>
      </c>
      <c r="I1545" s="32">
        <v>905.23</v>
      </c>
      <c r="J1545" t="s">
        <v>239</v>
      </c>
      <c r="K1545" t="s">
        <v>245</v>
      </c>
      <c r="L1545" t="s">
        <v>235</v>
      </c>
      <c r="M1545" t="s">
        <v>236</v>
      </c>
      <c r="N1545" t="s">
        <v>237</v>
      </c>
      <c r="O1545" s="27">
        <v>46055</v>
      </c>
    </row>
    <row r="1546" spans="2:15" hidden="1" x14ac:dyDescent="0.3">
      <c r="B1546">
        <v>11010432</v>
      </c>
      <c r="C1546" t="s">
        <v>231</v>
      </c>
      <c r="D1546">
        <v>25619</v>
      </c>
      <c r="E1546" t="s">
        <v>150</v>
      </c>
      <c r="F1546" t="s">
        <v>340</v>
      </c>
      <c r="G1546" s="28">
        <v>16</v>
      </c>
      <c r="H1546" s="32">
        <v>5.22</v>
      </c>
      <c r="I1546" s="32">
        <v>948.32</v>
      </c>
      <c r="J1546" t="s">
        <v>330</v>
      </c>
      <c r="K1546" t="s">
        <v>234</v>
      </c>
      <c r="L1546" t="s">
        <v>235</v>
      </c>
      <c r="M1546" t="s">
        <v>236</v>
      </c>
      <c r="N1546" t="s">
        <v>237</v>
      </c>
      <c r="O1546" s="27">
        <v>46064</v>
      </c>
    </row>
    <row r="1547" spans="2:15" hidden="1" x14ac:dyDescent="0.3">
      <c r="B1547">
        <v>2251063</v>
      </c>
      <c r="C1547" t="s">
        <v>231</v>
      </c>
      <c r="D1547">
        <v>25619</v>
      </c>
      <c r="E1547" t="s">
        <v>150</v>
      </c>
      <c r="F1547" t="s">
        <v>340</v>
      </c>
      <c r="G1547" s="28">
        <v>16</v>
      </c>
      <c r="H1547" s="32">
        <v>5.22</v>
      </c>
      <c r="I1547" s="32">
        <v>948.32</v>
      </c>
      <c r="J1547" t="s">
        <v>330</v>
      </c>
      <c r="K1547" t="s">
        <v>234</v>
      </c>
      <c r="L1547" t="s">
        <v>235</v>
      </c>
      <c r="M1547" t="s">
        <v>236</v>
      </c>
      <c r="N1547" t="s">
        <v>237</v>
      </c>
      <c r="O1547" s="27">
        <v>46064</v>
      </c>
    </row>
    <row r="1548" spans="2:15" hidden="1" x14ac:dyDescent="0.3">
      <c r="B1548">
        <v>6468519</v>
      </c>
      <c r="C1548" t="s">
        <v>231</v>
      </c>
      <c r="D1548">
        <v>72444</v>
      </c>
      <c r="E1548" t="s">
        <v>150</v>
      </c>
      <c r="F1548" t="s">
        <v>251</v>
      </c>
      <c r="G1548" s="28">
        <v>10</v>
      </c>
      <c r="H1548" s="32">
        <v>5.22</v>
      </c>
      <c r="I1548" s="32">
        <v>495.08</v>
      </c>
      <c r="J1548" t="s">
        <v>239</v>
      </c>
      <c r="K1548" t="s">
        <v>245</v>
      </c>
      <c r="L1548" t="s">
        <v>235</v>
      </c>
      <c r="M1548" t="s">
        <v>236</v>
      </c>
      <c r="N1548" t="s">
        <v>237</v>
      </c>
      <c r="O1548" s="27">
        <v>46072</v>
      </c>
    </row>
    <row r="1549" spans="2:15" hidden="1" x14ac:dyDescent="0.3">
      <c r="B1549">
        <v>3409614</v>
      </c>
      <c r="C1549" t="s">
        <v>231</v>
      </c>
      <c r="D1549">
        <v>71881</v>
      </c>
      <c r="E1549" t="s">
        <v>150</v>
      </c>
      <c r="F1549" t="s">
        <v>319</v>
      </c>
      <c r="G1549" s="28">
        <v>23</v>
      </c>
      <c r="H1549" s="32">
        <v>5.22</v>
      </c>
      <c r="I1549" s="32">
        <v>929.12</v>
      </c>
      <c r="J1549" t="s">
        <v>239</v>
      </c>
      <c r="K1549" t="s">
        <v>245</v>
      </c>
      <c r="L1549" t="s">
        <v>235</v>
      </c>
      <c r="M1549" t="s">
        <v>236</v>
      </c>
      <c r="N1549" t="s">
        <v>237</v>
      </c>
      <c r="O1549" s="27">
        <v>46063</v>
      </c>
    </row>
    <row r="1550" spans="2:15" hidden="1" x14ac:dyDescent="0.3">
      <c r="B1550">
        <v>2973255</v>
      </c>
      <c r="C1550" t="s">
        <v>260</v>
      </c>
      <c r="D1550">
        <v>69519</v>
      </c>
      <c r="E1550" t="s">
        <v>150</v>
      </c>
      <c r="F1550" t="s">
        <v>325</v>
      </c>
      <c r="G1550" s="28">
        <v>68</v>
      </c>
      <c r="H1550" s="32">
        <v>5.22</v>
      </c>
      <c r="I1550" s="32">
        <v>589.05999999999995</v>
      </c>
      <c r="J1550" t="s">
        <v>267</v>
      </c>
      <c r="K1550" t="s">
        <v>245</v>
      </c>
      <c r="L1550" t="s">
        <v>235</v>
      </c>
      <c r="M1550" t="s">
        <v>236</v>
      </c>
      <c r="N1550" t="s">
        <v>240</v>
      </c>
      <c r="O1550" s="27">
        <v>46063</v>
      </c>
    </row>
    <row r="1551" spans="2:15" hidden="1" x14ac:dyDescent="0.3">
      <c r="B1551">
        <v>542586</v>
      </c>
      <c r="C1551" t="s">
        <v>260</v>
      </c>
      <c r="D1551">
        <v>21468</v>
      </c>
      <c r="E1551" t="s">
        <v>150</v>
      </c>
      <c r="F1551" t="s">
        <v>379</v>
      </c>
      <c r="G1551" s="28">
        <v>74</v>
      </c>
      <c r="H1551" s="32">
        <v>5.2</v>
      </c>
      <c r="I1551" s="32">
        <v>1025.6400000000001</v>
      </c>
      <c r="J1551" t="s">
        <v>330</v>
      </c>
      <c r="K1551" t="s">
        <v>234</v>
      </c>
      <c r="L1551" t="s">
        <v>235</v>
      </c>
      <c r="M1551" t="s">
        <v>236</v>
      </c>
      <c r="N1551" t="s">
        <v>237</v>
      </c>
      <c r="O1551" s="27">
        <v>46058</v>
      </c>
    </row>
    <row r="1552" spans="2:15" hidden="1" x14ac:dyDescent="0.3">
      <c r="B1552">
        <v>3496979</v>
      </c>
      <c r="C1552" t="s">
        <v>231</v>
      </c>
      <c r="D1552">
        <v>21468</v>
      </c>
      <c r="E1552" t="s">
        <v>150</v>
      </c>
      <c r="F1552" t="s">
        <v>369</v>
      </c>
      <c r="G1552" s="28">
        <v>6</v>
      </c>
      <c r="H1552" s="32">
        <v>5.18</v>
      </c>
      <c r="I1552" s="32">
        <v>310.12</v>
      </c>
      <c r="J1552" t="s">
        <v>239</v>
      </c>
      <c r="K1552" t="s">
        <v>245</v>
      </c>
      <c r="L1552" t="s">
        <v>235</v>
      </c>
      <c r="M1552" t="s">
        <v>236</v>
      </c>
      <c r="N1552" t="s">
        <v>240</v>
      </c>
      <c r="O1552" s="27">
        <v>46055</v>
      </c>
    </row>
    <row r="1553" spans="2:15" hidden="1" x14ac:dyDescent="0.3">
      <c r="B1553">
        <v>3953521</v>
      </c>
      <c r="C1553" t="s">
        <v>231</v>
      </c>
      <c r="D1553">
        <v>38517</v>
      </c>
      <c r="E1553" t="s">
        <v>150</v>
      </c>
      <c r="F1553" t="s">
        <v>319</v>
      </c>
      <c r="G1553" s="28">
        <v>23</v>
      </c>
      <c r="H1553" s="32">
        <v>5.18</v>
      </c>
      <c r="I1553" s="32">
        <v>929.12</v>
      </c>
      <c r="J1553" t="s">
        <v>239</v>
      </c>
      <c r="K1553" t="s">
        <v>245</v>
      </c>
      <c r="L1553" t="s">
        <v>235</v>
      </c>
      <c r="M1553" t="s">
        <v>236</v>
      </c>
      <c r="N1553" t="s">
        <v>237</v>
      </c>
      <c r="O1553" s="27">
        <v>46063</v>
      </c>
    </row>
    <row r="1554" spans="2:15" hidden="1" x14ac:dyDescent="0.3">
      <c r="B1554">
        <v>11593572</v>
      </c>
      <c r="C1554" t="s">
        <v>231</v>
      </c>
      <c r="D1554">
        <v>22674</v>
      </c>
      <c r="E1554" t="s">
        <v>150</v>
      </c>
      <c r="F1554" t="s">
        <v>331</v>
      </c>
      <c r="G1554" s="28">
        <v>131</v>
      </c>
      <c r="H1554" s="32">
        <v>5.17</v>
      </c>
      <c r="I1554" s="32">
        <v>1272.21</v>
      </c>
      <c r="J1554" t="s">
        <v>267</v>
      </c>
      <c r="K1554" t="s">
        <v>245</v>
      </c>
      <c r="L1554" t="s">
        <v>235</v>
      </c>
      <c r="M1554" t="s">
        <v>236</v>
      </c>
      <c r="N1554" t="s">
        <v>240</v>
      </c>
      <c r="O1554" s="27">
        <v>46056</v>
      </c>
    </row>
    <row r="1555" spans="2:15" hidden="1" x14ac:dyDescent="0.3">
      <c r="B1555">
        <v>5362471</v>
      </c>
      <c r="C1555" t="s">
        <v>260</v>
      </c>
      <c r="D1555">
        <v>22674</v>
      </c>
      <c r="E1555" t="s">
        <v>150</v>
      </c>
      <c r="F1555" t="s">
        <v>282</v>
      </c>
      <c r="G1555" s="28">
        <v>15</v>
      </c>
      <c r="H1555" s="32">
        <v>5.17</v>
      </c>
      <c r="I1555" s="32">
        <v>784.18</v>
      </c>
      <c r="J1555" t="s">
        <v>239</v>
      </c>
      <c r="K1555" t="s">
        <v>245</v>
      </c>
      <c r="L1555" t="s">
        <v>235</v>
      </c>
      <c r="M1555" t="s">
        <v>236</v>
      </c>
      <c r="N1555" t="s">
        <v>237</v>
      </c>
      <c r="O1555" s="27">
        <v>46072</v>
      </c>
    </row>
    <row r="1556" spans="2:15" hidden="1" x14ac:dyDescent="0.3">
      <c r="B1556">
        <v>2496015</v>
      </c>
      <c r="C1556" t="s">
        <v>231</v>
      </c>
      <c r="D1556">
        <v>38517</v>
      </c>
      <c r="E1556" t="s">
        <v>150</v>
      </c>
      <c r="F1556" t="s">
        <v>334</v>
      </c>
      <c r="G1556" s="28">
        <v>31</v>
      </c>
      <c r="H1556" s="32">
        <v>5.16</v>
      </c>
      <c r="I1556" s="32">
        <v>1761.79</v>
      </c>
      <c r="J1556" t="s">
        <v>239</v>
      </c>
      <c r="K1556" t="s">
        <v>245</v>
      </c>
      <c r="L1556" t="s">
        <v>235</v>
      </c>
      <c r="M1556" t="s">
        <v>236</v>
      </c>
      <c r="N1556" t="s">
        <v>240</v>
      </c>
      <c r="O1556" s="27">
        <v>46063</v>
      </c>
    </row>
    <row r="1557" spans="2:15" hidden="1" x14ac:dyDescent="0.3">
      <c r="B1557">
        <v>3824485</v>
      </c>
      <c r="C1557" t="s">
        <v>260</v>
      </c>
      <c r="D1557">
        <v>69579</v>
      </c>
      <c r="E1557" t="s">
        <v>150</v>
      </c>
      <c r="F1557" t="s">
        <v>251</v>
      </c>
      <c r="G1557" s="28">
        <v>8</v>
      </c>
      <c r="H1557" s="32">
        <v>5.16</v>
      </c>
      <c r="I1557" s="32">
        <v>396</v>
      </c>
      <c r="J1557" t="s">
        <v>239</v>
      </c>
      <c r="K1557" t="s">
        <v>245</v>
      </c>
      <c r="L1557" t="s">
        <v>235</v>
      </c>
      <c r="M1557" t="s">
        <v>236</v>
      </c>
      <c r="N1557" t="s">
        <v>237</v>
      </c>
      <c r="O1557" s="27">
        <v>46072</v>
      </c>
    </row>
    <row r="1558" spans="2:15" hidden="1" x14ac:dyDescent="0.3">
      <c r="B1558">
        <v>4089266</v>
      </c>
      <c r="C1558" t="s">
        <v>260</v>
      </c>
      <c r="D1558">
        <v>22674</v>
      </c>
      <c r="E1558" t="s">
        <v>150</v>
      </c>
      <c r="F1558" t="s">
        <v>271</v>
      </c>
      <c r="G1558" s="28">
        <v>43</v>
      </c>
      <c r="H1558" s="32">
        <v>5.15</v>
      </c>
      <c r="I1558" s="32">
        <v>769.45</v>
      </c>
      <c r="J1558" t="s">
        <v>239</v>
      </c>
      <c r="K1558" t="s">
        <v>245</v>
      </c>
      <c r="L1558" t="s">
        <v>235</v>
      </c>
      <c r="M1558" t="s">
        <v>236</v>
      </c>
      <c r="N1558" t="s">
        <v>237</v>
      </c>
      <c r="O1558" s="27">
        <v>46072</v>
      </c>
    </row>
    <row r="1559" spans="2:15" hidden="1" x14ac:dyDescent="0.3">
      <c r="B1559">
        <v>3409614</v>
      </c>
      <c r="C1559" t="s">
        <v>231</v>
      </c>
      <c r="D1559">
        <v>71881</v>
      </c>
      <c r="E1559" t="s">
        <v>150</v>
      </c>
      <c r="F1559" t="s">
        <v>287</v>
      </c>
      <c r="G1559" s="28">
        <v>25</v>
      </c>
      <c r="H1559" s="32">
        <v>5.14</v>
      </c>
      <c r="I1559" s="32">
        <v>784.08</v>
      </c>
      <c r="J1559" t="s">
        <v>239</v>
      </c>
      <c r="K1559" t="s">
        <v>245</v>
      </c>
      <c r="L1559" t="s">
        <v>235</v>
      </c>
      <c r="M1559" t="s">
        <v>236</v>
      </c>
      <c r="N1559" t="s">
        <v>237</v>
      </c>
      <c r="O1559" s="27">
        <v>46063</v>
      </c>
    </row>
    <row r="1560" spans="2:15" hidden="1" x14ac:dyDescent="0.3">
      <c r="B1560">
        <v>4535206</v>
      </c>
      <c r="C1560" t="s">
        <v>231</v>
      </c>
      <c r="D1560">
        <v>68542</v>
      </c>
      <c r="E1560" t="s">
        <v>150</v>
      </c>
      <c r="F1560" t="s">
        <v>399</v>
      </c>
      <c r="G1560" s="28">
        <v>56</v>
      </c>
      <c r="H1560" s="32">
        <v>5.14</v>
      </c>
      <c r="I1560" s="32">
        <v>403.28</v>
      </c>
      <c r="J1560" t="s">
        <v>267</v>
      </c>
      <c r="K1560" t="s">
        <v>245</v>
      </c>
      <c r="L1560" t="s">
        <v>235</v>
      </c>
      <c r="M1560" t="s">
        <v>236</v>
      </c>
      <c r="N1560" t="s">
        <v>237</v>
      </c>
      <c r="O1560" s="27">
        <v>46057</v>
      </c>
    </row>
    <row r="1561" spans="2:15" hidden="1" x14ac:dyDescent="0.3">
      <c r="B1561">
        <v>2603913</v>
      </c>
      <c r="C1561" t="s">
        <v>231</v>
      </c>
      <c r="D1561">
        <v>69519</v>
      </c>
      <c r="E1561" t="s">
        <v>150</v>
      </c>
      <c r="F1561" t="s">
        <v>339</v>
      </c>
      <c r="G1561" s="28">
        <v>8</v>
      </c>
      <c r="H1561" s="32">
        <v>5.13</v>
      </c>
      <c r="I1561" s="32">
        <v>637.11</v>
      </c>
      <c r="J1561" t="s">
        <v>267</v>
      </c>
      <c r="K1561" t="s">
        <v>245</v>
      </c>
      <c r="L1561" t="s">
        <v>235</v>
      </c>
      <c r="M1561" t="s">
        <v>236</v>
      </c>
      <c r="N1561" t="s">
        <v>237</v>
      </c>
      <c r="O1561" s="27">
        <v>46063</v>
      </c>
    </row>
    <row r="1562" spans="2:15" hidden="1" x14ac:dyDescent="0.3">
      <c r="B1562">
        <v>8142187</v>
      </c>
      <c r="C1562" t="s">
        <v>260</v>
      </c>
      <c r="D1562">
        <v>21468</v>
      </c>
      <c r="E1562" t="s">
        <v>150</v>
      </c>
      <c r="F1562" t="s">
        <v>163</v>
      </c>
      <c r="G1562" s="28">
        <v>20</v>
      </c>
      <c r="H1562" s="32">
        <v>5.12</v>
      </c>
      <c r="I1562" s="32">
        <v>279.22000000000003</v>
      </c>
      <c r="J1562" t="s">
        <v>239</v>
      </c>
      <c r="K1562" t="s">
        <v>245</v>
      </c>
      <c r="L1562" t="s">
        <v>235</v>
      </c>
      <c r="M1562" t="s">
        <v>236</v>
      </c>
      <c r="N1562" t="s">
        <v>237</v>
      </c>
      <c r="O1562" s="27">
        <v>46063</v>
      </c>
    </row>
    <row r="1563" spans="2:15" hidden="1" x14ac:dyDescent="0.3">
      <c r="B1563">
        <v>2735150</v>
      </c>
      <c r="C1563" t="s">
        <v>231</v>
      </c>
      <c r="D1563">
        <v>49894</v>
      </c>
      <c r="E1563" t="s">
        <v>150</v>
      </c>
      <c r="F1563" t="s">
        <v>337</v>
      </c>
      <c r="G1563" s="28">
        <v>29</v>
      </c>
      <c r="H1563" s="32">
        <v>5.1100000000000003</v>
      </c>
      <c r="I1563" s="32">
        <v>1053.18</v>
      </c>
      <c r="J1563" t="s">
        <v>239</v>
      </c>
      <c r="K1563" t="s">
        <v>245</v>
      </c>
      <c r="L1563" t="s">
        <v>235</v>
      </c>
      <c r="M1563" t="s">
        <v>236</v>
      </c>
      <c r="N1563" t="s">
        <v>237</v>
      </c>
      <c r="O1563" s="27">
        <v>46063</v>
      </c>
    </row>
    <row r="1564" spans="2:15" hidden="1" x14ac:dyDescent="0.3">
      <c r="B1564">
        <v>3413995</v>
      </c>
      <c r="C1564" t="s">
        <v>231</v>
      </c>
      <c r="D1564">
        <v>22674</v>
      </c>
      <c r="E1564" t="s">
        <v>150</v>
      </c>
      <c r="F1564" t="s">
        <v>246</v>
      </c>
      <c r="G1564" s="28">
        <v>10</v>
      </c>
      <c r="H1564" s="32">
        <v>5.0999999999999996</v>
      </c>
      <c r="I1564" s="32">
        <v>369.5</v>
      </c>
      <c r="J1564" t="s">
        <v>239</v>
      </c>
      <c r="K1564" t="s">
        <v>245</v>
      </c>
      <c r="L1564" t="s">
        <v>235</v>
      </c>
      <c r="M1564" t="s">
        <v>236</v>
      </c>
      <c r="N1564" t="s">
        <v>237</v>
      </c>
      <c r="O1564" s="27">
        <v>46055</v>
      </c>
    </row>
    <row r="1565" spans="2:15" hidden="1" x14ac:dyDescent="0.3">
      <c r="B1565">
        <v>3824485</v>
      </c>
      <c r="C1565" t="s">
        <v>260</v>
      </c>
      <c r="D1565">
        <v>69579</v>
      </c>
      <c r="E1565" t="s">
        <v>150</v>
      </c>
      <c r="F1565" t="s">
        <v>298</v>
      </c>
      <c r="G1565" s="28">
        <v>22</v>
      </c>
      <c r="H1565" s="32">
        <v>5.0999999999999996</v>
      </c>
      <c r="I1565" s="32">
        <v>391.54</v>
      </c>
      <c r="J1565" t="s">
        <v>239</v>
      </c>
      <c r="K1565" t="s">
        <v>245</v>
      </c>
      <c r="L1565" t="s">
        <v>235</v>
      </c>
      <c r="M1565" t="s">
        <v>236</v>
      </c>
      <c r="N1565" t="s">
        <v>240</v>
      </c>
      <c r="O1565" s="27">
        <v>46072</v>
      </c>
    </row>
    <row r="1566" spans="2:15" hidden="1" x14ac:dyDescent="0.3">
      <c r="B1566">
        <v>74468</v>
      </c>
      <c r="C1566" t="s">
        <v>260</v>
      </c>
      <c r="D1566">
        <v>69519</v>
      </c>
      <c r="E1566" t="s">
        <v>150</v>
      </c>
      <c r="F1566" t="s">
        <v>369</v>
      </c>
      <c r="G1566" s="28">
        <v>25</v>
      </c>
      <c r="H1566" s="32">
        <v>5.0999999999999996</v>
      </c>
      <c r="I1566" s="32">
        <v>1377.56</v>
      </c>
      <c r="J1566" t="s">
        <v>239</v>
      </c>
      <c r="K1566" t="s">
        <v>245</v>
      </c>
      <c r="L1566" t="s">
        <v>235</v>
      </c>
      <c r="M1566" t="s">
        <v>236</v>
      </c>
      <c r="N1566" t="s">
        <v>240</v>
      </c>
      <c r="O1566" s="27">
        <v>46063</v>
      </c>
    </row>
    <row r="1567" spans="2:15" hidden="1" x14ac:dyDescent="0.3">
      <c r="B1567">
        <v>14521528</v>
      </c>
      <c r="C1567" t="s">
        <v>260</v>
      </c>
      <c r="D1567">
        <v>25619</v>
      </c>
      <c r="E1567" t="s">
        <v>150</v>
      </c>
      <c r="F1567" t="s">
        <v>164</v>
      </c>
      <c r="G1567" s="28">
        <v>20</v>
      </c>
      <c r="H1567" s="32">
        <v>5.0999999999999996</v>
      </c>
      <c r="I1567" s="32">
        <v>972.05</v>
      </c>
      <c r="J1567" t="s">
        <v>239</v>
      </c>
      <c r="K1567" t="s">
        <v>245</v>
      </c>
      <c r="L1567" t="s">
        <v>235</v>
      </c>
      <c r="M1567" t="s">
        <v>236</v>
      </c>
      <c r="N1567" t="s">
        <v>240</v>
      </c>
      <c r="O1567" s="27">
        <v>46063</v>
      </c>
    </row>
    <row r="1568" spans="2:15" hidden="1" x14ac:dyDescent="0.3">
      <c r="B1568">
        <v>4842372</v>
      </c>
      <c r="C1568" t="s">
        <v>260</v>
      </c>
      <c r="D1568">
        <v>23648</v>
      </c>
      <c r="E1568" t="s">
        <v>150</v>
      </c>
      <c r="F1568" t="s">
        <v>246</v>
      </c>
      <c r="G1568" s="28">
        <v>10</v>
      </c>
      <c r="H1568" s="32">
        <v>5.0999999999999996</v>
      </c>
      <c r="I1568" s="32">
        <v>369.5</v>
      </c>
      <c r="J1568" t="s">
        <v>239</v>
      </c>
      <c r="K1568" t="s">
        <v>245</v>
      </c>
      <c r="L1568" t="s">
        <v>235</v>
      </c>
      <c r="M1568" t="s">
        <v>236</v>
      </c>
      <c r="N1568" t="s">
        <v>237</v>
      </c>
      <c r="O1568" s="27">
        <v>46055</v>
      </c>
    </row>
    <row r="1569" spans="2:15" hidden="1" x14ac:dyDescent="0.3">
      <c r="B1569">
        <v>4216928</v>
      </c>
      <c r="C1569" t="s">
        <v>231</v>
      </c>
      <c r="D1569">
        <v>69519</v>
      </c>
      <c r="E1569" t="s">
        <v>150</v>
      </c>
      <c r="F1569" t="s">
        <v>369</v>
      </c>
      <c r="G1569" s="28">
        <v>9</v>
      </c>
      <c r="H1569" s="32">
        <v>5.09</v>
      </c>
      <c r="I1569" s="32">
        <v>495.92</v>
      </c>
      <c r="J1569" t="s">
        <v>239</v>
      </c>
      <c r="K1569" t="s">
        <v>245</v>
      </c>
      <c r="L1569" t="s">
        <v>235</v>
      </c>
      <c r="M1569" t="s">
        <v>236</v>
      </c>
      <c r="N1569" t="s">
        <v>240</v>
      </c>
      <c r="O1569" s="27">
        <v>46063</v>
      </c>
    </row>
    <row r="1570" spans="2:15" hidden="1" x14ac:dyDescent="0.3">
      <c r="B1570">
        <v>3496979</v>
      </c>
      <c r="C1570" t="s">
        <v>231</v>
      </c>
      <c r="D1570">
        <v>21468</v>
      </c>
      <c r="E1570" t="s">
        <v>150</v>
      </c>
      <c r="F1570" t="s">
        <v>282</v>
      </c>
      <c r="G1570" s="28">
        <v>6</v>
      </c>
      <c r="H1570" s="32">
        <v>5.09</v>
      </c>
      <c r="I1570" s="32">
        <v>305.16000000000003</v>
      </c>
      <c r="J1570" t="s">
        <v>239</v>
      </c>
      <c r="K1570" t="s">
        <v>245</v>
      </c>
      <c r="L1570" t="s">
        <v>235</v>
      </c>
      <c r="M1570" t="s">
        <v>236</v>
      </c>
      <c r="N1570" t="s">
        <v>240</v>
      </c>
      <c r="O1570" s="27">
        <v>46055</v>
      </c>
    </row>
    <row r="1571" spans="2:15" hidden="1" x14ac:dyDescent="0.3">
      <c r="B1571">
        <v>2278263</v>
      </c>
      <c r="C1571" t="s">
        <v>231</v>
      </c>
      <c r="D1571">
        <v>22674</v>
      </c>
      <c r="E1571" t="s">
        <v>150</v>
      </c>
      <c r="F1571" t="s">
        <v>319</v>
      </c>
      <c r="G1571" s="28">
        <v>28</v>
      </c>
      <c r="H1571" s="32">
        <v>5.08</v>
      </c>
      <c r="I1571" s="32">
        <v>1130.6099999999999</v>
      </c>
      <c r="J1571" t="s">
        <v>239</v>
      </c>
      <c r="K1571" t="s">
        <v>245</v>
      </c>
      <c r="L1571" t="s">
        <v>235</v>
      </c>
      <c r="M1571" t="s">
        <v>236</v>
      </c>
      <c r="N1571" t="s">
        <v>240</v>
      </c>
      <c r="O1571" s="27">
        <v>46063</v>
      </c>
    </row>
    <row r="1572" spans="2:15" hidden="1" x14ac:dyDescent="0.3">
      <c r="B1572">
        <v>3274546</v>
      </c>
      <c r="C1572" t="s">
        <v>260</v>
      </c>
      <c r="D1572">
        <v>22674</v>
      </c>
      <c r="E1572" t="s">
        <v>150</v>
      </c>
      <c r="F1572" t="s">
        <v>337</v>
      </c>
      <c r="G1572" s="28">
        <v>28</v>
      </c>
      <c r="H1572" s="32">
        <v>5.07</v>
      </c>
      <c r="I1572" s="32">
        <v>1017.02</v>
      </c>
      <c r="J1572" t="s">
        <v>239</v>
      </c>
      <c r="K1572" t="s">
        <v>245</v>
      </c>
      <c r="L1572" t="s">
        <v>235</v>
      </c>
      <c r="M1572" t="s">
        <v>236</v>
      </c>
      <c r="N1572" t="s">
        <v>237</v>
      </c>
      <c r="O1572" s="27">
        <v>46063</v>
      </c>
    </row>
    <row r="1573" spans="2:15" x14ac:dyDescent="0.3">
      <c r="B1573">
        <v>8907980</v>
      </c>
      <c r="C1573" t="s">
        <v>231</v>
      </c>
      <c r="D1573">
        <v>22103</v>
      </c>
      <c r="E1573" t="s">
        <v>150</v>
      </c>
      <c r="F1573" t="s">
        <v>163</v>
      </c>
      <c r="G1573" s="28">
        <v>40</v>
      </c>
      <c r="H1573" s="32">
        <v>5.0599999999999996</v>
      </c>
      <c r="I1573" s="32">
        <v>569.20000000000005</v>
      </c>
      <c r="J1573" t="s">
        <v>239</v>
      </c>
      <c r="K1573" t="s">
        <v>245</v>
      </c>
      <c r="L1573" t="s">
        <v>235</v>
      </c>
      <c r="M1573" t="s">
        <v>236</v>
      </c>
      <c r="N1573" t="s">
        <v>237</v>
      </c>
      <c r="O1573" s="27">
        <v>46072</v>
      </c>
    </row>
    <row r="1574" spans="2:15" x14ac:dyDescent="0.3">
      <c r="B1574">
        <v>8907980</v>
      </c>
      <c r="C1574" t="s">
        <v>231</v>
      </c>
      <c r="D1574">
        <v>22103</v>
      </c>
      <c r="E1574" t="s">
        <v>150</v>
      </c>
      <c r="F1574" t="s">
        <v>246</v>
      </c>
      <c r="G1574" s="28">
        <v>19</v>
      </c>
      <c r="H1574" s="32">
        <v>5.05</v>
      </c>
      <c r="I1574" s="32">
        <v>721.35</v>
      </c>
      <c r="J1574" t="s">
        <v>239</v>
      </c>
      <c r="K1574" t="s">
        <v>245</v>
      </c>
      <c r="L1574" t="s">
        <v>235</v>
      </c>
      <c r="M1574" t="s">
        <v>236</v>
      </c>
      <c r="N1574" t="s">
        <v>240</v>
      </c>
      <c r="O1574" s="27">
        <v>46072</v>
      </c>
    </row>
    <row r="1575" spans="2:15" x14ac:dyDescent="0.3">
      <c r="B1575">
        <v>5658854</v>
      </c>
      <c r="C1575" t="s">
        <v>231</v>
      </c>
      <c r="D1575">
        <v>22103</v>
      </c>
      <c r="E1575" t="s">
        <v>150</v>
      </c>
      <c r="F1575" t="s">
        <v>361</v>
      </c>
      <c r="G1575" s="28">
        <v>26</v>
      </c>
      <c r="H1575" s="32">
        <v>5.05</v>
      </c>
      <c r="I1575" s="32">
        <v>1005.94</v>
      </c>
      <c r="J1575" t="s">
        <v>330</v>
      </c>
      <c r="K1575" t="s">
        <v>234</v>
      </c>
      <c r="L1575" t="s">
        <v>235</v>
      </c>
      <c r="M1575" t="s">
        <v>236</v>
      </c>
      <c r="N1575" t="s">
        <v>237</v>
      </c>
      <c r="O1575" s="27">
        <v>46076</v>
      </c>
    </row>
    <row r="1576" spans="2:15" hidden="1" x14ac:dyDescent="0.3">
      <c r="B1576">
        <v>3343807</v>
      </c>
      <c r="C1576" t="s">
        <v>231</v>
      </c>
      <c r="D1576">
        <v>69519</v>
      </c>
      <c r="E1576" t="s">
        <v>150</v>
      </c>
      <c r="F1576" t="s">
        <v>371</v>
      </c>
      <c r="G1576" s="28">
        <v>49</v>
      </c>
      <c r="H1576" s="32">
        <v>5.04</v>
      </c>
      <c r="I1576" s="32">
        <v>454.77</v>
      </c>
      <c r="J1576" t="s">
        <v>267</v>
      </c>
      <c r="K1576" t="s">
        <v>245</v>
      </c>
      <c r="L1576" t="s">
        <v>235</v>
      </c>
      <c r="M1576" t="s">
        <v>236</v>
      </c>
      <c r="N1576" t="s">
        <v>240</v>
      </c>
      <c r="O1576" s="27">
        <v>46063</v>
      </c>
    </row>
    <row r="1577" spans="2:15" hidden="1" x14ac:dyDescent="0.3">
      <c r="B1577">
        <v>4358018</v>
      </c>
      <c r="C1577" t="s">
        <v>231</v>
      </c>
      <c r="D1577">
        <v>23410</v>
      </c>
      <c r="E1577" t="s">
        <v>150</v>
      </c>
      <c r="F1577" t="s">
        <v>164</v>
      </c>
      <c r="G1577" s="28">
        <v>19</v>
      </c>
      <c r="H1577" s="32">
        <v>5.0199999999999996</v>
      </c>
      <c r="I1577" s="32">
        <v>870.83</v>
      </c>
      <c r="J1577" t="s">
        <v>239</v>
      </c>
      <c r="K1577" t="s">
        <v>245</v>
      </c>
      <c r="L1577" t="s">
        <v>235</v>
      </c>
      <c r="M1577" t="s">
        <v>236</v>
      </c>
      <c r="N1577" t="s">
        <v>240</v>
      </c>
      <c r="O1577" s="27">
        <v>46055</v>
      </c>
    </row>
    <row r="1578" spans="2:15" hidden="1" x14ac:dyDescent="0.3">
      <c r="B1578">
        <v>2922242</v>
      </c>
      <c r="C1578" t="s">
        <v>260</v>
      </c>
      <c r="D1578">
        <v>69519</v>
      </c>
      <c r="E1578" t="s">
        <v>150</v>
      </c>
      <c r="F1578" t="s">
        <v>379</v>
      </c>
      <c r="G1578" s="28">
        <v>65</v>
      </c>
      <c r="H1578" s="32">
        <v>5.0199999999999996</v>
      </c>
      <c r="I1578" s="32">
        <v>934.05</v>
      </c>
      <c r="J1578" t="s">
        <v>330</v>
      </c>
      <c r="K1578" t="s">
        <v>234</v>
      </c>
      <c r="L1578" t="s">
        <v>235</v>
      </c>
      <c r="M1578" t="s">
        <v>236</v>
      </c>
      <c r="N1578" t="s">
        <v>237</v>
      </c>
      <c r="O1578" s="27">
        <v>46062</v>
      </c>
    </row>
    <row r="1579" spans="2:15" hidden="1" x14ac:dyDescent="0.3">
      <c r="B1579">
        <v>8581688</v>
      </c>
      <c r="C1579" t="s">
        <v>231</v>
      </c>
      <c r="D1579">
        <v>23648</v>
      </c>
      <c r="E1579" t="s">
        <v>150</v>
      </c>
      <c r="F1579" t="s">
        <v>298</v>
      </c>
      <c r="G1579" s="28">
        <v>19</v>
      </c>
      <c r="H1579" s="32">
        <v>5.01</v>
      </c>
      <c r="I1579" s="32">
        <v>311.92</v>
      </c>
      <c r="J1579" t="s">
        <v>239</v>
      </c>
      <c r="K1579" t="s">
        <v>245</v>
      </c>
      <c r="L1579" t="s">
        <v>235</v>
      </c>
      <c r="M1579" t="s">
        <v>236</v>
      </c>
      <c r="N1579" t="s">
        <v>237</v>
      </c>
      <c r="O1579" s="27">
        <v>46055</v>
      </c>
    </row>
    <row r="1580" spans="2:15" hidden="1" x14ac:dyDescent="0.3">
      <c r="B1580">
        <v>11824888</v>
      </c>
      <c r="C1580" t="s">
        <v>231</v>
      </c>
      <c r="D1580">
        <v>71881</v>
      </c>
      <c r="E1580" t="s">
        <v>150</v>
      </c>
      <c r="F1580" t="s">
        <v>164</v>
      </c>
      <c r="G1580" s="28">
        <v>30</v>
      </c>
      <c r="H1580" s="32">
        <v>5.01</v>
      </c>
      <c r="I1580" s="32">
        <v>1458.26</v>
      </c>
      <c r="J1580" t="s">
        <v>239</v>
      </c>
      <c r="K1580" t="s">
        <v>245</v>
      </c>
      <c r="L1580" t="s">
        <v>235</v>
      </c>
      <c r="M1580" t="s">
        <v>236</v>
      </c>
      <c r="N1580" t="s">
        <v>240</v>
      </c>
      <c r="O1580" s="27">
        <v>46063</v>
      </c>
    </row>
    <row r="1581" spans="2:15" hidden="1" x14ac:dyDescent="0.3">
      <c r="B1581">
        <v>2191869</v>
      </c>
      <c r="C1581" t="s">
        <v>260</v>
      </c>
      <c r="D1581">
        <v>49894</v>
      </c>
      <c r="E1581" t="s">
        <v>150</v>
      </c>
      <c r="F1581" t="s">
        <v>452</v>
      </c>
      <c r="G1581" s="28">
        <v>53</v>
      </c>
      <c r="H1581" s="32">
        <v>5.01</v>
      </c>
      <c r="I1581" s="32">
        <v>897.36</v>
      </c>
      <c r="J1581" t="s">
        <v>330</v>
      </c>
      <c r="K1581" t="s">
        <v>245</v>
      </c>
      <c r="L1581" t="s">
        <v>235</v>
      </c>
      <c r="M1581" t="s">
        <v>236</v>
      </c>
      <c r="N1581" t="s">
        <v>240</v>
      </c>
      <c r="O1581" s="27">
        <v>46056</v>
      </c>
    </row>
    <row r="1582" spans="2:15" hidden="1" x14ac:dyDescent="0.3">
      <c r="B1582">
        <v>9635202</v>
      </c>
      <c r="C1582" t="s">
        <v>231</v>
      </c>
      <c r="D1582">
        <v>71881</v>
      </c>
      <c r="E1582" t="s">
        <v>150</v>
      </c>
      <c r="F1582" t="s">
        <v>271</v>
      </c>
      <c r="G1582" s="28">
        <v>28</v>
      </c>
      <c r="H1582" s="32">
        <v>5</v>
      </c>
      <c r="I1582" s="32">
        <v>517.02</v>
      </c>
      <c r="J1582" t="s">
        <v>239</v>
      </c>
      <c r="K1582" t="s">
        <v>245</v>
      </c>
      <c r="L1582" t="s">
        <v>235</v>
      </c>
      <c r="M1582" t="s">
        <v>236</v>
      </c>
      <c r="N1582" t="s">
        <v>237</v>
      </c>
      <c r="O1582" s="27">
        <v>46063</v>
      </c>
    </row>
    <row r="1583" spans="2:15" hidden="1" x14ac:dyDescent="0.3">
      <c r="B1583">
        <v>2278263</v>
      </c>
      <c r="C1583" t="s">
        <v>231</v>
      </c>
      <c r="D1583">
        <v>22674</v>
      </c>
      <c r="E1583" t="s">
        <v>150</v>
      </c>
      <c r="F1583" t="s">
        <v>337</v>
      </c>
      <c r="G1583" s="28">
        <v>28</v>
      </c>
      <c r="H1583" s="32">
        <v>4.99</v>
      </c>
      <c r="I1583" s="32">
        <v>1017.02</v>
      </c>
      <c r="J1583" t="s">
        <v>239</v>
      </c>
      <c r="K1583" t="s">
        <v>245</v>
      </c>
      <c r="L1583" t="s">
        <v>235</v>
      </c>
      <c r="M1583" t="s">
        <v>236</v>
      </c>
      <c r="N1583" t="s">
        <v>237</v>
      </c>
      <c r="O1583" s="27">
        <v>46063</v>
      </c>
    </row>
    <row r="1584" spans="2:15" hidden="1" x14ac:dyDescent="0.3">
      <c r="B1584">
        <v>2579681</v>
      </c>
      <c r="C1584" t="s">
        <v>231</v>
      </c>
      <c r="D1584">
        <v>25619</v>
      </c>
      <c r="E1584" t="s">
        <v>150</v>
      </c>
      <c r="F1584" t="s">
        <v>337</v>
      </c>
      <c r="G1584" s="28">
        <v>28</v>
      </c>
      <c r="H1584" s="32">
        <v>4.9800000000000004</v>
      </c>
      <c r="I1584" s="32">
        <v>1017.02</v>
      </c>
      <c r="J1584" t="s">
        <v>239</v>
      </c>
      <c r="K1584" t="s">
        <v>245</v>
      </c>
      <c r="L1584" t="s">
        <v>235</v>
      </c>
      <c r="M1584" t="s">
        <v>236</v>
      </c>
      <c r="N1584" t="s">
        <v>237</v>
      </c>
      <c r="O1584" s="27">
        <v>46063</v>
      </c>
    </row>
    <row r="1585" spans="2:15" hidden="1" x14ac:dyDescent="0.3">
      <c r="B1585">
        <v>11593572</v>
      </c>
      <c r="C1585" t="s">
        <v>231</v>
      </c>
      <c r="D1585">
        <v>22674</v>
      </c>
      <c r="E1585" t="s">
        <v>150</v>
      </c>
      <c r="F1585" t="s">
        <v>301</v>
      </c>
      <c r="G1585" s="28">
        <v>153</v>
      </c>
      <c r="H1585" s="32">
        <v>4.97</v>
      </c>
      <c r="I1585" s="32">
        <v>1229.05</v>
      </c>
      <c r="J1585" t="s">
        <v>267</v>
      </c>
      <c r="K1585" t="s">
        <v>245</v>
      </c>
      <c r="L1585" t="s">
        <v>235</v>
      </c>
      <c r="M1585" t="s">
        <v>236</v>
      </c>
      <c r="N1585" t="s">
        <v>240</v>
      </c>
      <c r="O1585" s="27">
        <v>46056</v>
      </c>
    </row>
    <row r="1586" spans="2:15" hidden="1" x14ac:dyDescent="0.3">
      <c r="B1586">
        <v>3310896</v>
      </c>
      <c r="C1586" t="s">
        <v>260</v>
      </c>
      <c r="D1586">
        <v>21559</v>
      </c>
      <c r="E1586" t="s">
        <v>150</v>
      </c>
      <c r="F1586" t="s">
        <v>298</v>
      </c>
      <c r="G1586" s="28">
        <v>22</v>
      </c>
      <c r="H1586" s="32">
        <v>4.97</v>
      </c>
      <c r="I1586" s="32">
        <v>383.03</v>
      </c>
      <c r="J1586" t="s">
        <v>239</v>
      </c>
      <c r="K1586" t="s">
        <v>245</v>
      </c>
      <c r="L1586" t="s">
        <v>235</v>
      </c>
      <c r="M1586" t="s">
        <v>236</v>
      </c>
      <c r="N1586" t="s">
        <v>237</v>
      </c>
      <c r="O1586" s="27">
        <v>46063</v>
      </c>
    </row>
    <row r="1587" spans="2:15" hidden="1" x14ac:dyDescent="0.3">
      <c r="B1587">
        <v>2013549</v>
      </c>
      <c r="C1587" t="s">
        <v>231</v>
      </c>
      <c r="D1587">
        <v>23648</v>
      </c>
      <c r="E1587" t="s">
        <v>150</v>
      </c>
      <c r="F1587" t="s">
        <v>365</v>
      </c>
      <c r="G1587" s="28">
        <v>26</v>
      </c>
      <c r="H1587" s="32">
        <v>4.96</v>
      </c>
      <c r="I1587" s="32">
        <v>964.7</v>
      </c>
      <c r="J1587" t="s">
        <v>330</v>
      </c>
      <c r="K1587" t="s">
        <v>234</v>
      </c>
      <c r="L1587" t="s">
        <v>235</v>
      </c>
      <c r="M1587" t="s">
        <v>236</v>
      </c>
      <c r="N1587" t="s">
        <v>240</v>
      </c>
      <c r="O1587" s="27">
        <v>46059</v>
      </c>
    </row>
    <row r="1588" spans="2:15" hidden="1" x14ac:dyDescent="0.3">
      <c r="B1588">
        <v>3666312</v>
      </c>
      <c r="C1588" t="s">
        <v>231</v>
      </c>
      <c r="D1588">
        <v>21468</v>
      </c>
      <c r="E1588" t="s">
        <v>150</v>
      </c>
      <c r="F1588" t="s">
        <v>369</v>
      </c>
      <c r="G1588" s="28">
        <v>6</v>
      </c>
      <c r="H1588" s="32">
        <v>4.96</v>
      </c>
      <c r="I1588" s="32">
        <v>310.12</v>
      </c>
      <c r="J1588" t="s">
        <v>239</v>
      </c>
      <c r="K1588" t="s">
        <v>245</v>
      </c>
      <c r="L1588" t="s">
        <v>235</v>
      </c>
      <c r="M1588" t="s">
        <v>236</v>
      </c>
      <c r="N1588" t="s">
        <v>240</v>
      </c>
      <c r="O1588" s="27">
        <v>46055</v>
      </c>
    </row>
    <row r="1589" spans="2:15" hidden="1" x14ac:dyDescent="0.3">
      <c r="B1589">
        <v>3409614</v>
      </c>
      <c r="C1589" t="s">
        <v>231</v>
      </c>
      <c r="D1589">
        <v>71881</v>
      </c>
      <c r="E1589" t="s">
        <v>150</v>
      </c>
      <c r="F1589" t="s">
        <v>271</v>
      </c>
      <c r="G1589" s="28">
        <v>28</v>
      </c>
      <c r="H1589" s="32">
        <v>4.95</v>
      </c>
      <c r="I1589" s="32">
        <v>517.02</v>
      </c>
      <c r="J1589" t="s">
        <v>239</v>
      </c>
      <c r="K1589" t="s">
        <v>245</v>
      </c>
      <c r="L1589" t="s">
        <v>235</v>
      </c>
      <c r="M1589" t="s">
        <v>236</v>
      </c>
      <c r="N1589" t="s">
        <v>237</v>
      </c>
      <c r="O1589" s="27">
        <v>46063</v>
      </c>
    </row>
    <row r="1590" spans="2:15" hidden="1" x14ac:dyDescent="0.3">
      <c r="B1590">
        <v>2826183</v>
      </c>
      <c r="C1590" t="s">
        <v>231</v>
      </c>
      <c r="D1590">
        <v>69493</v>
      </c>
      <c r="E1590" t="s">
        <v>150</v>
      </c>
      <c r="F1590" t="s">
        <v>163</v>
      </c>
      <c r="G1590" s="28">
        <v>52</v>
      </c>
      <c r="H1590" s="32">
        <v>4.93</v>
      </c>
      <c r="I1590" s="32">
        <v>685.06</v>
      </c>
      <c r="J1590" t="s">
        <v>239</v>
      </c>
      <c r="K1590" t="s">
        <v>245</v>
      </c>
      <c r="L1590" t="s">
        <v>235</v>
      </c>
      <c r="M1590" t="s">
        <v>236</v>
      </c>
      <c r="N1590" t="s">
        <v>237</v>
      </c>
      <c r="O1590" s="27">
        <v>46055</v>
      </c>
    </row>
    <row r="1591" spans="2:15" hidden="1" x14ac:dyDescent="0.3">
      <c r="B1591">
        <v>15518055</v>
      </c>
      <c r="C1591" t="s">
        <v>231</v>
      </c>
      <c r="D1591">
        <v>22674</v>
      </c>
      <c r="E1591" t="s">
        <v>150</v>
      </c>
      <c r="F1591" t="s">
        <v>369</v>
      </c>
      <c r="G1591" s="28">
        <v>20</v>
      </c>
      <c r="H1591" s="32">
        <v>4.93</v>
      </c>
      <c r="I1591" s="32">
        <v>1102.0999999999999</v>
      </c>
      <c r="J1591" t="s">
        <v>239</v>
      </c>
      <c r="K1591" t="s">
        <v>245</v>
      </c>
      <c r="L1591" t="s">
        <v>235</v>
      </c>
      <c r="M1591" t="s">
        <v>236</v>
      </c>
      <c r="N1591" t="s">
        <v>240</v>
      </c>
      <c r="O1591" s="27">
        <v>46063</v>
      </c>
    </row>
    <row r="1592" spans="2:15" hidden="1" x14ac:dyDescent="0.3">
      <c r="B1592">
        <v>3953521</v>
      </c>
      <c r="C1592" t="s">
        <v>231</v>
      </c>
      <c r="D1592">
        <v>38517</v>
      </c>
      <c r="E1592" t="s">
        <v>150</v>
      </c>
      <c r="F1592" t="s">
        <v>271</v>
      </c>
      <c r="G1592" s="28">
        <v>28</v>
      </c>
      <c r="H1592" s="32">
        <v>4.92</v>
      </c>
      <c r="I1592" s="32">
        <v>517.02</v>
      </c>
      <c r="J1592" t="s">
        <v>239</v>
      </c>
      <c r="K1592" t="s">
        <v>245</v>
      </c>
      <c r="L1592" t="s">
        <v>235</v>
      </c>
      <c r="M1592" t="s">
        <v>236</v>
      </c>
      <c r="N1592" t="s">
        <v>237</v>
      </c>
      <c r="O1592" s="27">
        <v>46063</v>
      </c>
    </row>
    <row r="1593" spans="2:15" hidden="1" x14ac:dyDescent="0.3">
      <c r="B1593">
        <v>8781959</v>
      </c>
      <c r="C1593" t="s">
        <v>231</v>
      </c>
      <c r="D1593">
        <v>72444</v>
      </c>
      <c r="E1593" t="s">
        <v>150</v>
      </c>
      <c r="F1593" t="s">
        <v>319</v>
      </c>
      <c r="G1593" s="28">
        <v>20</v>
      </c>
      <c r="H1593" s="32">
        <v>4.92</v>
      </c>
      <c r="I1593" s="32">
        <v>807.91</v>
      </c>
      <c r="J1593" t="s">
        <v>239</v>
      </c>
      <c r="K1593" t="s">
        <v>245</v>
      </c>
      <c r="L1593" t="s">
        <v>235</v>
      </c>
      <c r="M1593" t="s">
        <v>236</v>
      </c>
      <c r="N1593" t="s">
        <v>237</v>
      </c>
      <c r="O1593" s="27">
        <v>46063</v>
      </c>
    </row>
    <row r="1594" spans="2:15" hidden="1" x14ac:dyDescent="0.3">
      <c r="B1594">
        <v>8581688</v>
      </c>
      <c r="C1594" t="s">
        <v>231</v>
      </c>
      <c r="D1594">
        <v>23648</v>
      </c>
      <c r="E1594" t="s">
        <v>150</v>
      </c>
      <c r="F1594" t="s">
        <v>282</v>
      </c>
      <c r="G1594" s="28">
        <v>6</v>
      </c>
      <c r="H1594" s="32">
        <v>4.91</v>
      </c>
      <c r="I1594" s="32">
        <v>305.16000000000003</v>
      </c>
      <c r="J1594" t="s">
        <v>239</v>
      </c>
      <c r="K1594" t="s">
        <v>245</v>
      </c>
      <c r="L1594" t="s">
        <v>235</v>
      </c>
      <c r="M1594" t="s">
        <v>236</v>
      </c>
      <c r="N1594" t="s">
        <v>240</v>
      </c>
      <c r="O1594" s="27">
        <v>46055</v>
      </c>
    </row>
    <row r="1595" spans="2:15" x14ac:dyDescent="0.3">
      <c r="B1595">
        <v>79379</v>
      </c>
      <c r="C1595" t="s">
        <v>260</v>
      </c>
      <c r="D1595">
        <v>22103</v>
      </c>
      <c r="E1595" t="s">
        <v>150</v>
      </c>
      <c r="F1595" t="s">
        <v>163</v>
      </c>
      <c r="G1595" s="28">
        <v>13</v>
      </c>
      <c r="H1595" s="32">
        <v>4.91</v>
      </c>
      <c r="I1595" s="32">
        <v>181.51</v>
      </c>
      <c r="J1595" t="s">
        <v>239</v>
      </c>
      <c r="K1595" t="s">
        <v>245</v>
      </c>
      <c r="L1595" t="s">
        <v>235</v>
      </c>
      <c r="M1595" t="s">
        <v>236</v>
      </c>
      <c r="N1595" t="s">
        <v>237</v>
      </c>
      <c r="O1595" s="27">
        <v>46063</v>
      </c>
    </row>
    <row r="1596" spans="2:15" hidden="1" x14ac:dyDescent="0.3">
      <c r="B1596">
        <v>4382412</v>
      </c>
      <c r="C1596" t="s">
        <v>231</v>
      </c>
      <c r="D1596">
        <v>49894</v>
      </c>
      <c r="E1596" t="s">
        <v>150</v>
      </c>
      <c r="F1596" t="s">
        <v>348</v>
      </c>
      <c r="G1596" s="28">
        <v>30</v>
      </c>
      <c r="H1596" s="32">
        <v>4.9000000000000004</v>
      </c>
      <c r="I1596" s="32">
        <v>870.19</v>
      </c>
      <c r="J1596" t="s">
        <v>330</v>
      </c>
      <c r="K1596" t="s">
        <v>245</v>
      </c>
      <c r="L1596" t="s">
        <v>235</v>
      </c>
      <c r="M1596" t="s">
        <v>236</v>
      </c>
      <c r="N1596" t="s">
        <v>237</v>
      </c>
      <c r="O1596" s="27">
        <v>46062</v>
      </c>
    </row>
    <row r="1597" spans="2:15" hidden="1" x14ac:dyDescent="0.3">
      <c r="B1597">
        <v>4089266</v>
      </c>
      <c r="C1597" t="s">
        <v>260</v>
      </c>
      <c r="D1597">
        <v>22674</v>
      </c>
      <c r="E1597" t="s">
        <v>150</v>
      </c>
      <c r="F1597" t="s">
        <v>282</v>
      </c>
      <c r="G1597" s="28">
        <v>14</v>
      </c>
      <c r="H1597" s="32">
        <v>4.9000000000000004</v>
      </c>
      <c r="I1597" s="32">
        <v>731.93</v>
      </c>
      <c r="J1597" t="s">
        <v>239</v>
      </c>
      <c r="K1597" t="s">
        <v>245</v>
      </c>
      <c r="L1597" t="s">
        <v>235</v>
      </c>
      <c r="M1597" t="s">
        <v>236</v>
      </c>
      <c r="N1597" t="s">
        <v>237</v>
      </c>
      <c r="O1597" s="27">
        <v>46072</v>
      </c>
    </row>
    <row r="1598" spans="2:15" hidden="1" x14ac:dyDescent="0.3">
      <c r="B1598">
        <v>4238598</v>
      </c>
      <c r="C1598" t="s">
        <v>231</v>
      </c>
      <c r="D1598">
        <v>38517</v>
      </c>
      <c r="E1598" t="s">
        <v>150</v>
      </c>
      <c r="F1598" t="s">
        <v>282</v>
      </c>
      <c r="G1598" s="28">
        <v>29</v>
      </c>
      <c r="H1598" s="32">
        <v>4.8899999999999997</v>
      </c>
      <c r="I1598" s="32">
        <v>1481.29</v>
      </c>
      <c r="J1598" t="s">
        <v>239</v>
      </c>
      <c r="K1598" t="s">
        <v>245</v>
      </c>
      <c r="L1598" t="s">
        <v>235</v>
      </c>
      <c r="M1598" t="s">
        <v>236</v>
      </c>
      <c r="N1598" t="s">
        <v>240</v>
      </c>
      <c r="O1598" s="27">
        <v>46063</v>
      </c>
    </row>
    <row r="1599" spans="2:15" hidden="1" x14ac:dyDescent="0.3">
      <c r="B1599">
        <v>4358018</v>
      </c>
      <c r="C1599" t="s">
        <v>231</v>
      </c>
      <c r="D1599">
        <v>23410</v>
      </c>
      <c r="E1599" t="s">
        <v>150</v>
      </c>
      <c r="F1599" t="s">
        <v>160</v>
      </c>
      <c r="G1599" s="28">
        <v>10</v>
      </c>
      <c r="H1599" s="32">
        <v>4.8899999999999997</v>
      </c>
      <c r="I1599" s="32">
        <v>848.5</v>
      </c>
      <c r="J1599" t="s">
        <v>239</v>
      </c>
      <c r="K1599" t="s">
        <v>245</v>
      </c>
      <c r="L1599" t="s">
        <v>235</v>
      </c>
      <c r="M1599" t="s">
        <v>236</v>
      </c>
      <c r="N1599" t="s">
        <v>240</v>
      </c>
      <c r="O1599" s="27">
        <v>46055</v>
      </c>
    </row>
    <row r="1600" spans="2:15" hidden="1" x14ac:dyDescent="0.3">
      <c r="B1600">
        <v>3666312</v>
      </c>
      <c r="C1600" t="s">
        <v>231</v>
      </c>
      <c r="D1600">
        <v>21468</v>
      </c>
      <c r="E1600" t="s">
        <v>150</v>
      </c>
      <c r="F1600" t="s">
        <v>282</v>
      </c>
      <c r="G1600" s="28">
        <v>6</v>
      </c>
      <c r="H1600" s="32">
        <v>4.88</v>
      </c>
      <c r="I1600" s="32">
        <v>305.16000000000003</v>
      </c>
      <c r="J1600" t="s">
        <v>239</v>
      </c>
      <c r="K1600" t="s">
        <v>245</v>
      </c>
      <c r="L1600" t="s">
        <v>235</v>
      </c>
      <c r="M1600" t="s">
        <v>236</v>
      </c>
      <c r="N1600" t="s">
        <v>240</v>
      </c>
      <c r="O1600" s="27">
        <v>46055</v>
      </c>
    </row>
    <row r="1601" spans="2:15" hidden="1" x14ac:dyDescent="0.3">
      <c r="B1601">
        <v>4358018</v>
      </c>
      <c r="C1601" t="s">
        <v>231</v>
      </c>
      <c r="D1601">
        <v>23410</v>
      </c>
      <c r="E1601" t="s">
        <v>150</v>
      </c>
      <c r="F1601" t="s">
        <v>337</v>
      </c>
      <c r="G1601" s="28">
        <v>23</v>
      </c>
      <c r="H1601" s="32">
        <v>4.88</v>
      </c>
      <c r="I1601" s="32">
        <v>845.32</v>
      </c>
      <c r="J1601" t="s">
        <v>239</v>
      </c>
      <c r="K1601" t="s">
        <v>245</v>
      </c>
      <c r="L1601" t="s">
        <v>235</v>
      </c>
      <c r="M1601" t="s">
        <v>236</v>
      </c>
      <c r="N1601" t="s">
        <v>237</v>
      </c>
      <c r="O1601" s="27">
        <v>46055</v>
      </c>
    </row>
    <row r="1602" spans="2:15" hidden="1" x14ac:dyDescent="0.3">
      <c r="B1602">
        <v>8781959</v>
      </c>
      <c r="C1602" t="s">
        <v>231</v>
      </c>
      <c r="D1602">
        <v>72444</v>
      </c>
      <c r="E1602" t="s">
        <v>150</v>
      </c>
      <c r="F1602" t="s">
        <v>282</v>
      </c>
      <c r="G1602" s="28">
        <v>10</v>
      </c>
      <c r="H1602" s="32">
        <v>4.87</v>
      </c>
      <c r="I1602" s="32">
        <v>508.61</v>
      </c>
      <c r="J1602" t="s">
        <v>239</v>
      </c>
      <c r="K1602" t="s">
        <v>245</v>
      </c>
      <c r="L1602" t="s">
        <v>235</v>
      </c>
      <c r="M1602" t="s">
        <v>236</v>
      </c>
      <c r="N1602" t="s">
        <v>240</v>
      </c>
      <c r="O1602" s="27">
        <v>46055</v>
      </c>
    </row>
    <row r="1603" spans="2:15" hidden="1" x14ac:dyDescent="0.3">
      <c r="B1603">
        <v>4339096</v>
      </c>
      <c r="C1603" t="s">
        <v>231</v>
      </c>
      <c r="D1603">
        <v>25619</v>
      </c>
      <c r="E1603" t="s">
        <v>150</v>
      </c>
      <c r="F1603" t="s">
        <v>164</v>
      </c>
      <c r="G1603" s="28">
        <v>18</v>
      </c>
      <c r="H1603" s="32">
        <v>4.87</v>
      </c>
      <c r="I1603" s="32">
        <v>875.13</v>
      </c>
      <c r="J1603" t="s">
        <v>239</v>
      </c>
      <c r="K1603" t="s">
        <v>245</v>
      </c>
      <c r="L1603" t="s">
        <v>235</v>
      </c>
      <c r="M1603" t="s">
        <v>236</v>
      </c>
      <c r="N1603" t="s">
        <v>240</v>
      </c>
      <c r="O1603" s="27">
        <v>46063</v>
      </c>
    </row>
    <row r="1604" spans="2:15" hidden="1" x14ac:dyDescent="0.3">
      <c r="B1604">
        <v>17920388</v>
      </c>
      <c r="C1604" t="s">
        <v>231</v>
      </c>
      <c r="D1604">
        <v>40901</v>
      </c>
      <c r="E1604" t="s">
        <v>150</v>
      </c>
      <c r="F1604" t="s">
        <v>163</v>
      </c>
      <c r="G1604" s="28">
        <v>13</v>
      </c>
      <c r="H1604" s="32">
        <v>4.8600000000000003</v>
      </c>
      <c r="I1604" s="32">
        <v>181.49</v>
      </c>
      <c r="J1604" t="s">
        <v>239</v>
      </c>
      <c r="K1604" t="s">
        <v>245</v>
      </c>
      <c r="L1604" t="s">
        <v>235</v>
      </c>
      <c r="M1604" t="s">
        <v>236</v>
      </c>
      <c r="N1604" t="s">
        <v>237</v>
      </c>
      <c r="O1604" s="27">
        <v>46063</v>
      </c>
    </row>
    <row r="1605" spans="2:15" hidden="1" x14ac:dyDescent="0.3">
      <c r="B1605">
        <v>3548394</v>
      </c>
      <c r="C1605" t="s">
        <v>260</v>
      </c>
      <c r="D1605">
        <v>25104</v>
      </c>
      <c r="E1605" t="s">
        <v>150</v>
      </c>
      <c r="F1605" t="s">
        <v>305</v>
      </c>
      <c r="G1605" s="28">
        <v>26</v>
      </c>
      <c r="H1605" s="32">
        <v>4.8499999999999996</v>
      </c>
      <c r="I1605" s="32">
        <v>2746.37</v>
      </c>
      <c r="J1605" t="s">
        <v>267</v>
      </c>
      <c r="K1605" t="s">
        <v>245</v>
      </c>
      <c r="L1605" t="s">
        <v>235</v>
      </c>
      <c r="M1605" t="s">
        <v>236</v>
      </c>
      <c r="N1605" t="s">
        <v>237</v>
      </c>
      <c r="O1605" s="27">
        <v>46057</v>
      </c>
    </row>
    <row r="1606" spans="2:15" hidden="1" x14ac:dyDescent="0.3">
      <c r="B1606">
        <v>3528854</v>
      </c>
      <c r="C1606" t="s">
        <v>231</v>
      </c>
      <c r="D1606">
        <v>71881</v>
      </c>
      <c r="E1606" t="s">
        <v>150</v>
      </c>
      <c r="F1606" t="s">
        <v>163</v>
      </c>
      <c r="G1606" s="28">
        <v>10</v>
      </c>
      <c r="H1606" s="32">
        <v>4.84</v>
      </c>
      <c r="I1606" s="32">
        <v>139.6</v>
      </c>
      <c r="J1606" t="s">
        <v>239</v>
      </c>
      <c r="K1606" t="s">
        <v>245</v>
      </c>
      <c r="L1606" t="s">
        <v>235</v>
      </c>
      <c r="M1606" t="s">
        <v>236</v>
      </c>
      <c r="N1606" t="s">
        <v>237</v>
      </c>
      <c r="O1606" s="27">
        <v>46063</v>
      </c>
    </row>
    <row r="1607" spans="2:15" hidden="1" x14ac:dyDescent="0.3">
      <c r="B1607">
        <v>54685</v>
      </c>
      <c r="C1607" t="s">
        <v>260</v>
      </c>
      <c r="D1607">
        <v>22674</v>
      </c>
      <c r="E1607" t="s">
        <v>150</v>
      </c>
      <c r="F1607" t="s">
        <v>384</v>
      </c>
      <c r="G1607" s="28">
        <v>40</v>
      </c>
      <c r="H1607" s="32">
        <v>4.84</v>
      </c>
      <c r="I1607" s="32">
        <v>836.4</v>
      </c>
      <c r="J1607" t="s">
        <v>330</v>
      </c>
      <c r="K1607" t="s">
        <v>234</v>
      </c>
      <c r="L1607" t="s">
        <v>235</v>
      </c>
      <c r="M1607" t="s">
        <v>236</v>
      </c>
      <c r="N1607" t="s">
        <v>237</v>
      </c>
      <c r="O1607" s="27">
        <v>46063</v>
      </c>
    </row>
    <row r="1608" spans="2:15" x14ac:dyDescent="0.3">
      <c r="B1608">
        <v>5658854</v>
      </c>
      <c r="C1608" t="s">
        <v>231</v>
      </c>
      <c r="D1608">
        <v>22103</v>
      </c>
      <c r="E1608" t="s">
        <v>150</v>
      </c>
      <c r="F1608" t="s">
        <v>360</v>
      </c>
      <c r="G1608" s="28">
        <v>23</v>
      </c>
      <c r="H1608" s="32">
        <v>4.83</v>
      </c>
      <c r="I1608" s="32">
        <v>960.71</v>
      </c>
      <c r="J1608" t="s">
        <v>330</v>
      </c>
      <c r="K1608" t="s">
        <v>234</v>
      </c>
      <c r="L1608" t="s">
        <v>235</v>
      </c>
      <c r="M1608" t="s">
        <v>236</v>
      </c>
      <c r="N1608" t="s">
        <v>240</v>
      </c>
      <c r="O1608" s="27">
        <v>46076</v>
      </c>
    </row>
    <row r="1609" spans="2:15" hidden="1" x14ac:dyDescent="0.3">
      <c r="B1609">
        <v>12629468</v>
      </c>
      <c r="C1609" t="s">
        <v>260</v>
      </c>
      <c r="D1609">
        <v>40901</v>
      </c>
      <c r="E1609" t="s">
        <v>150</v>
      </c>
      <c r="F1609" t="s">
        <v>369</v>
      </c>
      <c r="G1609" s="28">
        <v>8</v>
      </c>
      <c r="H1609" s="32">
        <v>4.82</v>
      </c>
      <c r="I1609" s="32">
        <v>440.84</v>
      </c>
      <c r="J1609" t="s">
        <v>239</v>
      </c>
      <c r="K1609" t="s">
        <v>245</v>
      </c>
      <c r="L1609" t="s">
        <v>235</v>
      </c>
      <c r="M1609" t="s">
        <v>236</v>
      </c>
      <c r="N1609" t="s">
        <v>240</v>
      </c>
      <c r="O1609" s="27">
        <v>46063</v>
      </c>
    </row>
    <row r="1610" spans="2:15" hidden="1" x14ac:dyDescent="0.3">
      <c r="B1610">
        <v>6468519</v>
      </c>
      <c r="C1610" t="s">
        <v>231</v>
      </c>
      <c r="D1610">
        <v>72444</v>
      </c>
      <c r="E1610" t="s">
        <v>150</v>
      </c>
      <c r="F1610" t="s">
        <v>246</v>
      </c>
      <c r="G1610" s="28">
        <v>13</v>
      </c>
      <c r="H1610" s="32">
        <v>4.8099999999999996</v>
      </c>
      <c r="I1610" s="32">
        <v>493.44</v>
      </c>
      <c r="J1610" t="s">
        <v>239</v>
      </c>
      <c r="K1610" t="s">
        <v>245</v>
      </c>
      <c r="L1610" t="s">
        <v>235</v>
      </c>
      <c r="M1610" t="s">
        <v>236</v>
      </c>
      <c r="N1610" t="s">
        <v>240</v>
      </c>
      <c r="O1610" s="27">
        <v>46072</v>
      </c>
    </row>
    <row r="1611" spans="2:15" hidden="1" x14ac:dyDescent="0.3">
      <c r="B1611">
        <v>8218280</v>
      </c>
      <c r="C1611" t="s">
        <v>260</v>
      </c>
      <c r="D1611">
        <v>21559</v>
      </c>
      <c r="E1611" t="s">
        <v>150</v>
      </c>
      <c r="F1611" t="s">
        <v>163</v>
      </c>
      <c r="G1611" s="28">
        <v>10</v>
      </c>
      <c r="H1611" s="32">
        <v>4.8</v>
      </c>
      <c r="I1611" s="32">
        <v>139.6</v>
      </c>
      <c r="J1611" t="s">
        <v>239</v>
      </c>
      <c r="K1611" t="s">
        <v>245</v>
      </c>
      <c r="L1611" t="s">
        <v>235</v>
      </c>
      <c r="M1611" t="s">
        <v>236</v>
      </c>
      <c r="N1611" t="s">
        <v>237</v>
      </c>
      <c r="O1611" s="27">
        <v>46063</v>
      </c>
    </row>
    <row r="1612" spans="2:15" hidden="1" x14ac:dyDescent="0.3">
      <c r="B1612">
        <v>7768707</v>
      </c>
      <c r="C1612" t="s">
        <v>260</v>
      </c>
      <c r="D1612">
        <v>21559</v>
      </c>
      <c r="E1612" t="s">
        <v>150</v>
      </c>
      <c r="F1612" t="s">
        <v>246</v>
      </c>
      <c r="G1612" s="28">
        <v>11</v>
      </c>
      <c r="H1612" s="32">
        <v>4.79</v>
      </c>
      <c r="I1612" s="32">
        <v>408.59</v>
      </c>
      <c r="J1612" t="s">
        <v>239</v>
      </c>
      <c r="K1612" t="s">
        <v>245</v>
      </c>
      <c r="L1612" t="s">
        <v>235</v>
      </c>
      <c r="M1612" t="s">
        <v>236</v>
      </c>
      <c r="N1612" t="s">
        <v>237</v>
      </c>
      <c r="O1612" s="27">
        <v>46063</v>
      </c>
    </row>
    <row r="1613" spans="2:15" x14ac:dyDescent="0.3">
      <c r="B1613">
        <v>5658854</v>
      </c>
      <c r="C1613" t="s">
        <v>231</v>
      </c>
      <c r="D1613">
        <v>22103</v>
      </c>
      <c r="E1613" t="s">
        <v>150</v>
      </c>
      <c r="F1613" t="s">
        <v>358</v>
      </c>
      <c r="G1613" s="28">
        <v>23</v>
      </c>
      <c r="H1613" s="32">
        <v>4.78</v>
      </c>
      <c r="I1613" s="32">
        <v>951.97</v>
      </c>
      <c r="J1613" t="s">
        <v>330</v>
      </c>
      <c r="K1613" t="s">
        <v>234</v>
      </c>
      <c r="L1613" t="s">
        <v>235</v>
      </c>
      <c r="M1613" t="s">
        <v>236</v>
      </c>
      <c r="N1613" t="s">
        <v>240</v>
      </c>
      <c r="O1613" s="27">
        <v>46076</v>
      </c>
    </row>
    <row r="1614" spans="2:15" hidden="1" x14ac:dyDescent="0.3">
      <c r="B1614">
        <v>3255792</v>
      </c>
      <c r="C1614" t="s">
        <v>231</v>
      </c>
      <c r="D1614">
        <v>71881</v>
      </c>
      <c r="E1614" t="s">
        <v>150</v>
      </c>
      <c r="F1614" t="s">
        <v>369</v>
      </c>
      <c r="G1614" s="28">
        <v>9</v>
      </c>
      <c r="H1614" s="32">
        <v>4.7699999999999996</v>
      </c>
      <c r="I1614" s="32">
        <v>495.92</v>
      </c>
      <c r="J1614" t="s">
        <v>239</v>
      </c>
      <c r="K1614" t="s">
        <v>245</v>
      </c>
      <c r="L1614" t="s">
        <v>235</v>
      </c>
      <c r="M1614" t="s">
        <v>236</v>
      </c>
      <c r="N1614" t="s">
        <v>240</v>
      </c>
      <c r="O1614" s="27">
        <v>46063</v>
      </c>
    </row>
    <row r="1615" spans="2:15" hidden="1" x14ac:dyDescent="0.3">
      <c r="B1615">
        <v>6304689</v>
      </c>
      <c r="C1615" t="s">
        <v>231</v>
      </c>
      <c r="D1615">
        <v>25619</v>
      </c>
      <c r="E1615" t="s">
        <v>150</v>
      </c>
      <c r="F1615" t="s">
        <v>282</v>
      </c>
      <c r="G1615" s="28">
        <v>10</v>
      </c>
      <c r="H1615" s="32">
        <v>4.76</v>
      </c>
      <c r="I1615" s="32">
        <v>510.84</v>
      </c>
      <c r="J1615" t="s">
        <v>239</v>
      </c>
      <c r="K1615" t="s">
        <v>245</v>
      </c>
      <c r="L1615" t="s">
        <v>235</v>
      </c>
      <c r="M1615" t="s">
        <v>236</v>
      </c>
      <c r="N1615" t="s">
        <v>240</v>
      </c>
      <c r="O1615" s="27">
        <v>46063</v>
      </c>
    </row>
    <row r="1616" spans="2:15" hidden="1" x14ac:dyDescent="0.3">
      <c r="B1616">
        <v>4089266</v>
      </c>
      <c r="C1616" t="s">
        <v>260</v>
      </c>
      <c r="D1616">
        <v>22674</v>
      </c>
      <c r="E1616" t="s">
        <v>150</v>
      </c>
      <c r="F1616" t="s">
        <v>337</v>
      </c>
      <c r="G1616" s="28">
        <v>20</v>
      </c>
      <c r="H1616" s="32">
        <v>4.75</v>
      </c>
      <c r="I1616" s="32">
        <v>710.31</v>
      </c>
      <c r="J1616" t="s">
        <v>239</v>
      </c>
      <c r="K1616" t="s">
        <v>245</v>
      </c>
      <c r="L1616" t="s">
        <v>235</v>
      </c>
      <c r="M1616" t="s">
        <v>236</v>
      </c>
      <c r="N1616" t="s">
        <v>237</v>
      </c>
      <c r="O1616" s="27">
        <v>46072</v>
      </c>
    </row>
    <row r="1617" spans="2:15" hidden="1" x14ac:dyDescent="0.3">
      <c r="B1617">
        <v>11593572</v>
      </c>
      <c r="C1617" t="s">
        <v>231</v>
      </c>
      <c r="D1617">
        <v>22674</v>
      </c>
      <c r="E1617" t="s">
        <v>150</v>
      </c>
      <c r="F1617" t="s">
        <v>373</v>
      </c>
      <c r="G1617" s="28">
        <v>54</v>
      </c>
      <c r="H1617" s="32">
        <v>4.74</v>
      </c>
      <c r="I1617" s="32">
        <v>535.14</v>
      </c>
      <c r="J1617" t="s">
        <v>267</v>
      </c>
      <c r="K1617" t="s">
        <v>245</v>
      </c>
      <c r="L1617" t="s">
        <v>235</v>
      </c>
      <c r="M1617" t="s">
        <v>236</v>
      </c>
      <c r="N1617" t="s">
        <v>237</v>
      </c>
      <c r="O1617" s="27">
        <v>46056</v>
      </c>
    </row>
    <row r="1618" spans="2:15" hidden="1" x14ac:dyDescent="0.3">
      <c r="B1618">
        <v>3666312</v>
      </c>
      <c r="C1618" t="s">
        <v>231</v>
      </c>
      <c r="D1618">
        <v>21468</v>
      </c>
      <c r="E1618" t="s">
        <v>150</v>
      </c>
      <c r="F1618" t="s">
        <v>298</v>
      </c>
      <c r="G1618" s="28">
        <v>18</v>
      </c>
      <c r="H1618" s="32">
        <v>4.7300000000000004</v>
      </c>
      <c r="I1618" s="32">
        <v>295.51</v>
      </c>
      <c r="J1618" t="s">
        <v>239</v>
      </c>
      <c r="K1618" t="s">
        <v>245</v>
      </c>
      <c r="L1618" t="s">
        <v>235</v>
      </c>
      <c r="M1618" t="s">
        <v>236</v>
      </c>
      <c r="N1618" t="s">
        <v>237</v>
      </c>
      <c r="O1618" s="27">
        <v>46055</v>
      </c>
    </row>
    <row r="1619" spans="2:15" hidden="1" x14ac:dyDescent="0.3">
      <c r="B1619">
        <v>11493548</v>
      </c>
      <c r="C1619" t="s">
        <v>231</v>
      </c>
      <c r="D1619">
        <v>38517</v>
      </c>
      <c r="E1619" t="s">
        <v>150</v>
      </c>
      <c r="F1619" t="s">
        <v>164</v>
      </c>
      <c r="G1619" s="28">
        <v>18</v>
      </c>
      <c r="H1619" s="32">
        <v>4.71</v>
      </c>
      <c r="I1619" s="32">
        <v>875.13</v>
      </c>
      <c r="J1619" t="s">
        <v>239</v>
      </c>
      <c r="K1619" t="s">
        <v>245</v>
      </c>
      <c r="L1619" t="s">
        <v>235</v>
      </c>
      <c r="M1619" t="s">
        <v>236</v>
      </c>
      <c r="N1619" t="s">
        <v>240</v>
      </c>
      <c r="O1619" s="27">
        <v>46063</v>
      </c>
    </row>
    <row r="1620" spans="2:15" hidden="1" x14ac:dyDescent="0.3">
      <c r="B1620">
        <v>2328302</v>
      </c>
      <c r="C1620" t="s">
        <v>231</v>
      </c>
      <c r="D1620">
        <v>22674</v>
      </c>
      <c r="E1620" t="s">
        <v>150</v>
      </c>
      <c r="F1620" t="s">
        <v>160</v>
      </c>
      <c r="G1620" s="28">
        <v>13</v>
      </c>
      <c r="H1620" s="32">
        <v>4.71</v>
      </c>
      <c r="I1620" s="32">
        <v>1103.05</v>
      </c>
      <c r="J1620" t="s">
        <v>239</v>
      </c>
      <c r="K1620" t="s">
        <v>245</v>
      </c>
      <c r="L1620" t="s">
        <v>235</v>
      </c>
      <c r="M1620" t="s">
        <v>236</v>
      </c>
      <c r="N1620" t="s">
        <v>240</v>
      </c>
      <c r="O1620" s="27">
        <v>46055</v>
      </c>
    </row>
    <row r="1621" spans="2:15" x14ac:dyDescent="0.3">
      <c r="B1621">
        <v>5658854</v>
      </c>
      <c r="C1621" t="s">
        <v>231</v>
      </c>
      <c r="D1621">
        <v>22103</v>
      </c>
      <c r="E1621" t="s">
        <v>150</v>
      </c>
      <c r="F1621" t="s">
        <v>380</v>
      </c>
      <c r="G1621" s="28">
        <v>52</v>
      </c>
      <c r="H1621" s="32">
        <v>4.7</v>
      </c>
      <c r="I1621" s="32">
        <v>935.48</v>
      </c>
      <c r="J1621" t="s">
        <v>330</v>
      </c>
      <c r="K1621" t="s">
        <v>234</v>
      </c>
      <c r="L1621" t="s">
        <v>235</v>
      </c>
      <c r="M1621" t="s">
        <v>236</v>
      </c>
      <c r="N1621" t="s">
        <v>237</v>
      </c>
      <c r="O1621" s="27">
        <v>46076</v>
      </c>
    </row>
    <row r="1622" spans="2:15" hidden="1" x14ac:dyDescent="0.3">
      <c r="B1622">
        <v>6978173</v>
      </c>
      <c r="C1622" t="s">
        <v>231</v>
      </c>
      <c r="D1622">
        <v>38517</v>
      </c>
      <c r="E1622" t="s">
        <v>150</v>
      </c>
      <c r="F1622" t="s">
        <v>164</v>
      </c>
      <c r="G1622" s="28">
        <v>17</v>
      </c>
      <c r="H1622" s="32">
        <v>4.7</v>
      </c>
      <c r="I1622" s="32">
        <v>826.58</v>
      </c>
      <c r="J1622" t="s">
        <v>239</v>
      </c>
      <c r="K1622" t="s">
        <v>245</v>
      </c>
      <c r="L1622" t="s">
        <v>235</v>
      </c>
      <c r="M1622" t="s">
        <v>236</v>
      </c>
      <c r="N1622" t="s">
        <v>240</v>
      </c>
      <c r="O1622" s="27">
        <v>46063</v>
      </c>
    </row>
    <row r="1623" spans="2:15" hidden="1" x14ac:dyDescent="0.3">
      <c r="B1623">
        <v>8781959</v>
      </c>
      <c r="C1623" t="s">
        <v>231</v>
      </c>
      <c r="D1623">
        <v>72444</v>
      </c>
      <c r="E1623" t="s">
        <v>150</v>
      </c>
      <c r="F1623" t="s">
        <v>319</v>
      </c>
      <c r="G1623" s="28">
        <v>13</v>
      </c>
      <c r="H1623" s="32">
        <v>4.6900000000000004</v>
      </c>
      <c r="I1623" s="32">
        <v>489.35</v>
      </c>
      <c r="J1623" t="s">
        <v>239</v>
      </c>
      <c r="K1623" t="s">
        <v>245</v>
      </c>
      <c r="L1623" t="s">
        <v>235</v>
      </c>
      <c r="M1623" t="s">
        <v>236</v>
      </c>
      <c r="N1623" t="s">
        <v>237</v>
      </c>
      <c r="O1623" s="27">
        <v>46055</v>
      </c>
    </row>
    <row r="1624" spans="2:15" hidden="1" x14ac:dyDescent="0.3">
      <c r="B1624">
        <v>74468</v>
      </c>
      <c r="C1624" t="s">
        <v>260</v>
      </c>
      <c r="D1624">
        <v>69519</v>
      </c>
      <c r="E1624" t="s">
        <v>150</v>
      </c>
      <c r="F1624" t="s">
        <v>246</v>
      </c>
      <c r="G1624" s="28">
        <v>25</v>
      </c>
      <c r="H1624" s="32">
        <v>4.6900000000000004</v>
      </c>
      <c r="I1624" s="32">
        <v>928.61</v>
      </c>
      <c r="J1624" t="s">
        <v>239</v>
      </c>
      <c r="K1624" t="s">
        <v>245</v>
      </c>
      <c r="L1624" t="s">
        <v>235</v>
      </c>
      <c r="M1624" t="s">
        <v>236</v>
      </c>
      <c r="N1624" t="s">
        <v>237</v>
      </c>
      <c r="O1624" s="27">
        <v>46063</v>
      </c>
    </row>
    <row r="1625" spans="2:15" hidden="1" x14ac:dyDescent="0.3">
      <c r="B1625">
        <v>2727239</v>
      </c>
      <c r="C1625" t="s">
        <v>231</v>
      </c>
      <c r="D1625">
        <v>21559</v>
      </c>
      <c r="E1625" t="s">
        <v>150</v>
      </c>
      <c r="F1625" t="s">
        <v>287</v>
      </c>
      <c r="G1625" s="28">
        <v>24</v>
      </c>
      <c r="H1625" s="32">
        <v>4.68</v>
      </c>
      <c r="I1625" s="32">
        <v>752.87</v>
      </c>
      <c r="J1625" t="s">
        <v>239</v>
      </c>
      <c r="K1625" t="s">
        <v>245</v>
      </c>
      <c r="L1625" t="s">
        <v>235</v>
      </c>
      <c r="M1625" t="s">
        <v>236</v>
      </c>
      <c r="N1625" t="s">
        <v>237</v>
      </c>
      <c r="O1625" s="27">
        <v>46063</v>
      </c>
    </row>
    <row r="1626" spans="2:15" hidden="1" x14ac:dyDescent="0.3">
      <c r="B1626">
        <v>3409614</v>
      </c>
      <c r="C1626" t="s">
        <v>231</v>
      </c>
      <c r="D1626">
        <v>71881</v>
      </c>
      <c r="E1626" t="s">
        <v>150</v>
      </c>
      <c r="F1626" t="s">
        <v>160</v>
      </c>
      <c r="G1626" s="28">
        <v>14</v>
      </c>
      <c r="H1626" s="32">
        <v>4.68</v>
      </c>
      <c r="I1626" s="32">
        <v>1219.81</v>
      </c>
      <c r="J1626" t="s">
        <v>239</v>
      </c>
      <c r="K1626" t="s">
        <v>245</v>
      </c>
      <c r="L1626" t="s">
        <v>235</v>
      </c>
      <c r="M1626" t="s">
        <v>236</v>
      </c>
      <c r="N1626" t="s">
        <v>237</v>
      </c>
      <c r="O1626" s="27">
        <v>46063</v>
      </c>
    </row>
    <row r="1627" spans="2:15" hidden="1" x14ac:dyDescent="0.3">
      <c r="B1627">
        <v>3310896</v>
      </c>
      <c r="C1627" t="s">
        <v>260</v>
      </c>
      <c r="D1627">
        <v>21559</v>
      </c>
      <c r="E1627" t="s">
        <v>150</v>
      </c>
      <c r="F1627" t="s">
        <v>369</v>
      </c>
      <c r="G1627" s="28">
        <v>11</v>
      </c>
      <c r="H1627" s="32">
        <v>4.68</v>
      </c>
      <c r="I1627" s="32">
        <v>606.19000000000005</v>
      </c>
      <c r="J1627" t="s">
        <v>239</v>
      </c>
      <c r="K1627" t="s">
        <v>245</v>
      </c>
      <c r="L1627" t="s">
        <v>235</v>
      </c>
      <c r="M1627" t="s">
        <v>236</v>
      </c>
      <c r="N1627" t="s">
        <v>240</v>
      </c>
      <c r="O1627" s="27">
        <v>46063</v>
      </c>
    </row>
    <row r="1628" spans="2:15" hidden="1" x14ac:dyDescent="0.3">
      <c r="B1628">
        <v>18604718</v>
      </c>
      <c r="C1628" t="s">
        <v>260</v>
      </c>
      <c r="D1628">
        <v>21468</v>
      </c>
      <c r="E1628" t="s">
        <v>150</v>
      </c>
      <c r="F1628" t="s">
        <v>272</v>
      </c>
      <c r="G1628" s="28">
        <v>100</v>
      </c>
      <c r="H1628" s="32">
        <v>4.68</v>
      </c>
      <c r="I1628" s="32">
        <v>640</v>
      </c>
      <c r="J1628" t="s">
        <v>239</v>
      </c>
      <c r="K1628" t="s">
        <v>234</v>
      </c>
      <c r="L1628" t="s">
        <v>235</v>
      </c>
      <c r="M1628" t="s">
        <v>236</v>
      </c>
      <c r="N1628" t="s">
        <v>237</v>
      </c>
      <c r="O1628" s="27">
        <v>46062</v>
      </c>
    </row>
    <row r="1629" spans="2:15" hidden="1" x14ac:dyDescent="0.3">
      <c r="B1629">
        <v>15947590</v>
      </c>
      <c r="C1629" t="s">
        <v>231</v>
      </c>
      <c r="D1629">
        <v>69519</v>
      </c>
      <c r="E1629" t="s">
        <v>150</v>
      </c>
      <c r="F1629" t="s">
        <v>287</v>
      </c>
      <c r="G1629" s="28">
        <v>24</v>
      </c>
      <c r="H1629" s="32">
        <v>4.67</v>
      </c>
      <c r="I1629" s="32">
        <v>752.87</v>
      </c>
      <c r="J1629" t="s">
        <v>239</v>
      </c>
      <c r="K1629" t="s">
        <v>245</v>
      </c>
      <c r="L1629" t="s">
        <v>235</v>
      </c>
      <c r="M1629" t="s">
        <v>236</v>
      </c>
      <c r="N1629" t="s">
        <v>237</v>
      </c>
      <c r="O1629" s="27">
        <v>46063</v>
      </c>
    </row>
    <row r="1630" spans="2:15" hidden="1" x14ac:dyDescent="0.3">
      <c r="B1630">
        <v>3430907</v>
      </c>
      <c r="C1630" t="s">
        <v>260</v>
      </c>
      <c r="D1630">
        <v>21468</v>
      </c>
      <c r="E1630" t="s">
        <v>150</v>
      </c>
      <c r="F1630" t="s">
        <v>164</v>
      </c>
      <c r="G1630" s="28">
        <v>17</v>
      </c>
      <c r="H1630" s="32">
        <v>4.6399999999999997</v>
      </c>
      <c r="I1630" s="32">
        <v>826.57</v>
      </c>
      <c r="J1630" t="s">
        <v>239</v>
      </c>
      <c r="K1630" t="s">
        <v>245</v>
      </c>
      <c r="L1630" t="s">
        <v>235</v>
      </c>
      <c r="M1630" t="s">
        <v>236</v>
      </c>
      <c r="N1630" t="s">
        <v>240</v>
      </c>
      <c r="O1630" s="27">
        <v>46063</v>
      </c>
    </row>
    <row r="1631" spans="2:15" hidden="1" x14ac:dyDescent="0.3">
      <c r="B1631">
        <v>15518055</v>
      </c>
      <c r="C1631" t="s">
        <v>231</v>
      </c>
      <c r="D1631">
        <v>22674</v>
      </c>
      <c r="E1631" t="s">
        <v>150</v>
      </c>
      <c r="F1631" t="s">
        <v>160</v>
      </c>
      <c r="G1631" s="28">
        <v>15</v>
      </c>
      <c r="H1631" s="32">
        <v>4.63</v>
      </c>
      <c r="I1631" s="32">
        <v>1306.67</v>
      </c>
      <c r="J1631" t="s">
        <v>239</v>
      </c>
      <c r="K1631" t="s">
        <v>245</v>
      </c>
      <c r="L1631" t="s">
        <v>235</v>
      </c>
      <c r="M1631" t="s">
        <v>236</v>
      </c>
      <c r="N1631" t="s">
        <v>237</v>
      </c>
      <c r="O1631" s="27">
        <v>46063</v>
      </c>
    </row>
    <row r="1632" spans="2:15" hidden="1" x14ac:dyDescent="0.3">
      <c r="B1632">
        <v>3953521</v>
      </c>
      <c r="C1632" t="s">
        <v>231</v>
      </c>
      <c r="D1632">
        <v>38517</v>
      </c>
      <c r="E1632" t="s">
        <v>150</v>
      </c>
      <c r="F1632" t="s">
        <v>160</v>
      </c>
      <c r="G1632" s="28">
        <v>14</v>
      </c>
      <c r="H1632" s="32">
        <v>4.63</v>
      </c>
      <c r="I1632" s="32">
        <v>1219.81</v>
      </c>
      <c r="J1632" t="s">
        <v>239</v>
      </c>
      <c r="K1632" t="s">
        <v>245</v>
      </c>
      <c r="L1632" t="s">
        <v>235</v>
      </c>
      <c r="M1632" t="s">
        <v>236</v>
      </c>
      <c r="N1632" t="s">
        <v>237</v>
      </c>
      <c r="O1632" s="27">
        <v>46063</v>
      </c>
    </row>
    <row r="1633" spans="2:15" hidden="1" x14ac:dyDescent="0.3">
      <c r="B1633">
        <v>250134</v>
      </c>
      <c r="C1633" t="s">
        <v>231</v>
      </c>
      <c r="D1633">
        <v>22674</v>
      </c>
      <c r="E1633" t="s">
        <v>150</v>
      </c>
      <c r="F1633" t="s">
        <v>287</v>
      </c>
      <c r="G1633" s="28">
        <v>24</v>
      </c>
      <c r="H1633" s="32">
        <v>4.62</v>
      </c>
      <c r="I1633" s="32">
        <v>752.87</v>
      </c>
      <c r="J1633" t="s">
        <v>239</v>
      </c>
      <c r="K1633" t="s">
        <v>245</v>
      </c>
      <c r="L1633" t="s">
        <v>235</v>
      </c>
      <c r="M1633" t="s">
        <v>236</v>
      </c>
      <c r="N1633" t="s">
        <v>237</v>
      </c>
      <c r="O1633" s="27">
        <v>46063</v>
      </c>
    </row>
    <row r="1634" spans="2:15" hidden="1" x14ac:dyDescent="0.3">
      <c r="B1634">
        <v>7372714</v>
      </c>
      <c r="C1634" t="s">
        <v>231</v>
      </c>
      <c r="D1634">
        <v>22674</v>
      </c>
      <c r="E1634" t="s">
        <v>150</v>
      </c>
      <c r="F1634" t="s">
        <v>164</v>
      </c>
      <c r="G1634" s="28">
        <v>17</v>
      </c>
      <c r="H1634" s="32">
        <v>4.62</v>
      </c>
      <c r="I1634" s="32">
        <v>826.58</v>
      </c>
      <c r="J1634" t="s">
        <v>239</v>
      </c>
      <c r="K1634" t="s">
        <v>245</v>
      </c>
      <c r="L1634" t="s">
        <v>235</v>
      </c>
      <c r="M1634" t="s">
        <v>236</v>
      </c>
      <c r="N1634" t="s">
        <v>240</v>
      </c>
      <c r="O1634" s="27">
        <v>46063</v>
      </c>
    </row>
    <row r="1635" spans="2:15" hidden="1" x14ac:dyDescent="0.3">
      <c r="B1635">
        <v>2051406</v>
      </c>
      <c r="C1635" t="s">
        <v>231</v>
      </c>
      <c r="D1635">
        <v>25104</v>
      </c>
      <c r="E1635" t="s">
        <v>150</v>
      </c>
      <c r="F1635" t="s">
        <v>246</v>
      </c>
      <c r="G1635" s="28">
        <v>11</v>
      </c>
      <c r="H1635" s="32">
        <v>4.6100000000000003</v>
      </c>
      <c r="I1635" s="32">
        <v>406.46</v>
      </c>
      <c r="J1635" t="s">
        <v>239</v>
      </c>
      <c r="K1635" t="s">
        <v>245</v>
      </c>
      <c r="L1635" t="s">
        <v>235</v>
      </c>
      <c r="M1635" t="s">
        <v>236</v>
      </c>
      <c r="N1635" t="s">
        <v>237</v>
      </c>
      <c r="O1635" s="27">
        <v>46055</v>
      </c>
    </row>
    <row r="1636" spans="2:15" hidden="1" x14ac:dyDescent="0.3">
      <c r="B1636">
        <v>2802178</v>
      </c>
      <c r="C1636" t="s">
        <v>260</v>
      </c>
      <c r="D1636">
        <v>72444</v>
      </c>
      <c r="E1636" t="s">
        <v>150</v>
      </c>
      <c r="F1636" t="s">
        <v>246</v>
      </c>
      <c r="G1636" s="28">
        <v>8</v>
      </c>
      <c r="H1636" s="32">
        <v>4.6100000000000003</v>
      </c>
      <c r="I1636" s="32">
        <v>295.60000000000002</v>
      </c>
      <c r="J1636" t="s">
        <v>239</v>
      </c>
      <c r="K1636" t="s">
        <v>245</v>
      </c>
      <c r="L1636" t="s">
        <v>235</v>
      </c>
      <c r="M1636" t="s">
        <v>236</v>
      </c>
      <c r="N1636" t="s">
        <v>237</v>
      </c>
      <c r="O1636" s="27">
        <v>46055</v>
      </c>
    </row>
    <row r="1637" spans="2:15" hidden="1" x14ac:dyDescent="0.3">
      <c r="B1637">
        <v>3310896</v>
      </c>
      <c r="C1637" t="s">
        <v>260</v>
      </c>
      <c r="D1637">
        <v>21559</v>
      </c>
      <c r="E1637" t="s">
        <v>150</v>
      </c>
      <c r="F1637" t="s">
        <v>246</v>
      </c>
      <c r="G1637" s="28">
        <v>14</v>
      </c>
      <c r="H1637" s="32">
        <v>4.6100000000000003</v>
      </c>
      <c r="I1637" s="32">
        <v>520.04</v>
      </c>
      <c r="J1637" t="s">
        <v>239</v>
      </c>
      <c r="K1637" t="s">
        <v>245</v>
      </c>
      <c r="L1637" t="s">
        <v>235</v>
      </c>
      <c r="M1637" t="s">
        <v>236</v>
      </c>
      <c r="N1637" t="s">
        <v>237</v>
      </c>
      <c r="O1637" s="27">
        <v>46063</v>
      </c>
    </row>
    <row r="1638" spans="2:15" hidden="1" x14ac:dyDescent="0.3">
      <c r="B1638">
        <v>4333412</v>
      </c>
      <c r="C1638" t="s">
        <v>231</v>
      </c>
      <c r="D1638">
        <v>69579</v>
      </c>
      <c r="E1638" t="s">
        <v>150</v>
      </c>
      <c r="F1638" t="s">
        <v>163</v>
      </c>
      <c r="G1638" s="28">
        <v>12</v>
      </c>
      <c r="H1638" s="32">
        <v>4.59</v>
      </c>
      <c r="I1638" s="32">
        <v>167.53</v>
      </c>
      <c r="J1638" t="s">
        <v>239</v>
      </c>
      <c r="K1638" t="s">
        <v>245</v>
      </c>
      <c r="L1638" t="s">
        <v>235</v>
      </c>
      <c r="M1638" t="s">
        <v>236</v>
      </c>
      <c r="N1638" t="s">
        <v>237</v>
      </c>
      <c r="O1638" s="27">
        <v>46063</v>
      </c>
    </row>
    <row r="1639" spans="2:15" hidden="1" x14ac:dyDescent="0.3">
      <c r="B1639">
        <v>12629468</v>
      </c>
      <c r="C1639" t="s">
        <v>260</v>
      </c>
      <c r="D1639">
        <v>40901</v>
      </c>
      <c r="E1639" t="s">
        <v>150</v>
      </c>
      <c r="F1639" t="s">
        <v>163</v>
      </c>
      <c r="G1639" s="28">
        <v>12</v>
      </c>
      <c r="H1639" s="32">
        <v>4.59</v>
      </c>
      <c r="I1639" s="32">
        <v>167.53</v>
      </c>
      <c r="J1639" t="s">
        <v>239</v>
      </c>
      <c r="K1639" t="s">
        <v>245</v>
      </c>
      <c r="L1639" t="s">
        <v>235</v>
      </c>
      <c r="M1639" t="s">
        <v>236</v>
      </c>
      <c r="N1639" t="s">
        <v>237</v>
      </c>
      <c r="O1639" s="27">
        <v>46063</v>
      </c>
    </row>
    <row r="1640" spans="2:15" hidden="1" x14ac:dyDescent="0.3">
      <c r="B1640">
        <v>7131667</v>
      </c>
      <c r="C1640" t="s">
        <v>231</v>
      </c>
      <c r="D1640">
        <v>21468</v>
      </c>
      <c r="E1640" t="s">
        <v>150</v>
      </c>
      <c r="F1640" t="s">
        <v>369</v>
      </c>
      <c r="G1640" s="28">
        <v>5</v>
      </c>
      <c r="H1640" s="32">
        <v>4.58</v>
      </c>
      <c r="I1640" s="32">
        <v>258.43</v>
      </c>
      <c r="J1640" t="s">
        <v>239</v>
      </c>
      <c r="K1640" t="s">
        <v>245</v>
      </c>
      <c r="L1640" t="s">
        <v>235</v>
      </c>
      <c r="M1640" t="s">
        <v>236</v>
      </c>
      <c r="N1640" t="s">
        <v>240</v>
      </c>
      <c r="O1640" s="27">
        <v>46055</v>
      </c>
    </row>
    <row r="1641" spans="2:15" hidden="1" x14ac:dyDescent="0.3">
      <c r="B1641">
        <v>3918792</v>
      </c>
      <c r="C1641" t="s">
        <v>260</v>
      </c>
      <c r="D1641">
        <v>23648</v>
      </c>
      <c r="E1641" t="s">
        <v>150</v>
      </c>
      <c r="F1641" t="s">
        <v>369</v>
      </c>
      <c r="G1641" s="28">
        <v>5</v>
      </c>
      <c r="H1641" s="32">
        <v>4.58</v>
      </c>
      <c r="I1641" s="32">
        <v>258.43</v>
      </c>
      <c r="J1641" t="s">
        <v>239</v>
      </c>
      <c r="K1641" t="s">
        <v>245</v>
      </c>
      <c r="L1641" t="s">
        <v>235</v>
      </c>
      <c r="M1641" t="s">
        <v>236</v>
      </c>
      <c r="N1641" t="s">
        <v>240</v>
      </c>
      <c r="O1641" s="27">
        <v>46055</v>
      </c>
    </row>
    <row r="1642" spans="2:15" hidden="1" x14ac:dyDescent="0.3">
      <c r="B1642">
        <v>9945666</v>
      </c>
      <c r="C1642" t="s">
        <v>260</v>
      </c>
      <c r="D1642">
        <v>68710</v>
      </c>
      <c r="E1642" t="s">
        <v>150</v>
      </c>
      <c r="F1642" t="s">
        <v>369</v>
      </c>
      <c r="G1642" s="28">
        <v>5</v>
      </c>
      <c r="H1642" s="32">
        <v>4.58</v>
      </c>
      <c r="I1642" s="32">
        <v>258.43</v>
      </c>
      <c r="J1642" t="s">
        <v>239</v>
      </c>
      <c r="K1642" t="s">
        <v>245</v>
      </c>
      <c r="L1642" t="s">
        <v>235</v>
      </c>
      <c r="M1642" t="s">
        <v>236</v>
      </c>
      <c r="N1642" t="s">
        <v>240</v>
      </c>
      <c r="O1642" s="27">
        <v>46055</v>
      </c>
    </row>
    <row r="1643" spans="2:15" hidden="1" x14ac:dyDescent="0.3">
      <c r="B1643">
        <v>4658833</v>
      </c>
      <c r="C1643" t="s">
        <v>260</v>
      </c>
      <c r="D1643">
        <v>38517</v>
      </c>
      <c r="E1643" t="s">
        <v>150</v>
      </c>
      <c r="F1643" t="s">
        <v>160</v>
      </c>
      <c r="G1643" s="28">
        <v>13</v>
      </c>
      <c r="H1643" s="32">
        <v>4.58</v>
      </c>
      <c r="I1643" s="32">
        <v>1102.6500000000001</v>
      </c>
      <c r="J1643" t="s">
        <v>239</v>
      </c>
      <c r="K1643" t="s">
        <v>245</v>
      </c>
      <c r="L1643" t="s">
        <v>235</v>
      </c>
      <c r="M1643" t="s">
        <v>236</v>
      </c>
      <c r="N1643" t="s">
        <v>237</v>
      </c>
      <c r="O1643" s="27">
        <v>46055</v>
      </c>
    </row>
    <row r="1644" spans="2:15" hidden="1" x14ac:dyDescent="0.3">
      <c r="B1644">
        <v>389066</v>
      </c>
      <c r="C1644" t="s">
        <v>260</v>
      </c>
      <c r="D1644">
        <v>21559</v>
      </c>
      <c r="E1644" t="s">
        <v>150</v>
      </c>
      <c r="F1644" t="s">
        <v>384</v>
      </c>
      <c r="G1644" s="28">
        <v>42</v>
      </c>
      <c r="H1644" s="32">
        <v>4.57</v>
      </c>
      <c r="I1644" s="32">
        <v>896.28</v>
      </c>
      <c r="J1644" t="s">
        <v>330</v>
      </c>
      <c r="K1644" t="s">
        <v>234</v>
      </c>
      <c r="L1644" t="s">
        <v>235</v>
      </c>
      <c r="M1644" t="s">
        <v>236</v>
      </c>
      <c r="N1644" t="s">
        <v>237</v>
      </c>
      <c r="O1644" s="27">
        <v>46072</v>
      </c>
    </row>
    <row r="1645" spans="2:15" hidden="1" x14ac:dyDescent="0.3">
      <c r="B1645">
        <v>3770553</v>
      </c>
      <c r="C1645" t="s">
        <v>260</v>
      </c>
      <c r="D1645">
        <v>69519</v>
      </c>
      <c r="E1645" t="s">
        <v>150</v>
      </c>
      <c r="F1645" t="s">
        <v>461</v>
      </c>
      <c r="G1645" s="28">
        <v>2100</v>
      </c>
      <c r="H1645" s="32">
        <v>4.5599999999999996</v>
      </c>
      <c r="I1645" s="32">
        <v>1575</v>
      </c>
      <c r="J1645" t="s">
        <v>233</v>
      </c>
      <c r="K1645" t="s">
        <v>234</v>
      </c>
      <c r="L1645" t="s">
        <v>235</v>
      </c>
      <c r="M1645" t="s">
        <v>236</v>
      </c>
      <c r="N1645" t="s">
        <v>240</v>
      </c>
      <c r="O1645" s="27">
        <v>46066</v>
      </c>
    </row>
    <row r="1646" spans="2:15" hidden="1" x14ac:dyDescent="0.3">
      <c r="B1646">
        <v>15518055</v>
      </c>
      <c r="C1646" t="s">
        <v>231</v>
      </c>
      <c r="D1646">
        <v>22674</v>
      </c>
      <c r="E1646" t="s">
        <v>150</v>
      </c>
      <c r="F1646" t="s">
        <v>319</v>
      </c>
      <c r="G1646" s="28">
        <v>21</v>
      </c>
      <c r="H1646" s="32">
        <v>4.55</v>
      </c>
      <c r="I1646" s="32">
        <v>848.1</v>
      </c>
      <c r="J1646" t="s">
        <v>239</v>
      </c>
      <c r="K1646" t="s">
        <v>245</v>
      </c>
      <c r="L1646" t="s">
        <v>235</v>
      </c>
      <c r="M1646" t="s">
        <v>236</v>
      </c>
      <c r="N1646" t="s">
        <v>237</v>
      </c>
      <c r="O1646" s="27">
        <v>46063</v>
      </c>
    </row>
    <row r="1647" spans="2:15" hidden="1" x14ac:dyDescent="0.3">
      <c r="B1647">
        <v>2747758</v>
      </c>
      <c r="C1647" t="s">
        <v>231</v>
      </c>
      <c r="D1647">
        <v>96553</v>
      </c>
      <c r="E1647" t="s">
        <v>150</v>
      </c>
      <c r="F1647" t="s">
        <v>164</v>
      </c>
      <c r="G1647" s="28">
        <v>16</v>
      </c>
      <c r="H1647" s="32">
        <v>4.54</v>
      </c>
      <c r="I1647" s="32">
        <v>777.64</v>
      </c>
      <c r="J1647" t="s">
        <v>239</v>
      </c>
      <c r="K1647" t="s">
        <v>245</v>
      </c>
      <c r="L1647" t="s">
        <v>235</v>
      </c>
      <c r="M1647" t="s">
        <v>236</v>
      </c>
      <c r="N1647" t="s">
        <v>240</v>
      </c>
      <c r="O1647" s="27">
        <v>46063</v>
      </c>
    </row>
    <row r="1648" spans="2:15" hidden="1" x14ac:dyDescent="0.3">
      <c r="B1648">
        <v>325473</v>
      </c>
      <c r="C1648" t="s">
        <v>231</v>
      </c>
      <c r="D1648">
        <v>22674</v>
      </c>
      <c r="E1648" t="s">
        <v>150</v>
      </c>
      <c r="F1648" t="s">
        <v>287</v>
      </c>
      <c r="G1648" s="28">
        <v>23</v>
      </c>
      <c r="H1648" s="32">
        <v>4.53</v>
      </c>
      <c r="I1648" s="32">
        <v>721.33</v>
      </c>
      <c r="J1648" t="s">
        <v>239</v>
      </c>
      <c r="K1648" t="s">
        <v>245</v>
      </c>
      <c r="L1648" t="s">
        <v>235</v>
      </c>
      <c r="M1648" t="s">
        <v>236</v>
      </c>
      <c r="N1648" t="s">
        <v>237</v>
      </c>
      <c r="O1648" s="27">
        <v>46063</v>
      </c>
    </row>
    <row r="1649" spans="2:15" hidden="1" x14ac:dyDescent="0.3">
      <c r="B1649">
        <v>8668372</v>
      </c>
      <c r="C1649" t="s">
        <v>231</v>
      </c>
      <c r="D1649">
        <v>25619</v>
      </c>
      <c r="E1649" t="s">
        <v>150</v>
      </c>
      <c r="F1649" t="s">
        <v>282</v>
      </c>
      <c r="G1649" s="28">
        <v>9</v>
      </c>
      <c r="H1649" s="32">
        <v>4.53</v>
      </c>
      <c r="I1649" s="32">
        <v>457.74</v>
      </c>
      <c r="J1649" t="s">
        <v>239</v>
      </c>
      <c r="K1649" t="s">
        <v>245</v>
      </c>
      <c r="L1649" t="s">
        <v>235</v>
      </c>
      <c r="M1649" t="s">
        <v>236</v>
      </c>
      <c r="N1649" t="s">
        <v>240</v>
      </c>
      <c r="O1649" s="27">
        <v>46055</v>
      </c>
    </row>
    <row r="1650" spans="2:15" hidden="1" x14ac:dyDescent="0.3">
      <c r="B1650">
        <v>11409889</v>
      </c>
      <c r="C1650" t="s">
        <v>231</v>
      </c>
      <c r="D1650">
        <v>25104</v>
      </c>
      <c r="E1650" t="s">
        <v>150</v>
      </c>
      <c r="F1650" t="s">
        <v>346</v>
      </c>
      <c r="G1650" s="28">
        <v>40</v>
      </c>
      <c r="H1650" s="32">
        <v>4.53</v>
      </c>
      <c r="I1650" s="32">
        <v>855.13</v>
      </c>
      <c r="J1650" t="s">
        <v>330</v>
      </c>
      <c r="K1650" t="s">
        <v>234</v>
      </c>
      <c r="L1650" t="s">
        <v>235</v>
      </c>
      <c r="M1650" t="s">
        <v>236</v>
      </c>
      <c r="N1650" t="s">
        <v>240</v>
      </c>
      <c r="O1650" s="27">
        <v>46072</v>
      </c>
    </row>
    <row r="1651" spans="2:15" x14ac:dyDescent="0.3">
      <c r="B1651">
        <v>8907980</v>
      </c>
      <c r="C1651" t="s">
        <v>231</v>
      </c>
      <c r="D1651">
        <v>22103</v>
      </c>
      <c r="E1651" t="s">
        <v>150</v>
      </c>
      <c r="F1651" t="s">
        <v>369</v>
      </c>
      <c r="G1651" s="28">
        <v>5</v>
      </c>
      <c r="H1651" s="32">
        <v>4.5199999999999996</v>
      </c>
      <c r="I1651" s="32">
        <v>258.43</v>
      </c>
      <c r="J1651" t="s">
        <v>239</v>
      </c>
      <c r="K1651" t="s">
        <v>245</v>
      </c>
      <c r="L1651" t="s">
        <v>235</v>
      </c>
      <c r="M1651" t="s">
        <v>236</v>
      </c>
      <c r="N1651" t="s">
        <v>240</v>
      </c>
      <c r="O1651" s="27">
        <v>46055</v>
      </c>
    </row>
    <row r="1652" spans="2:15" hidden="1" x14ac:dyDescent="0.3">
      <c r="B1652">
        <v>15518055</v>
      </c>
      <c r="C1652" t="s">
        <v>231</v>
      </c>
      <c r="D1652">
        <v>22674</v>
      </c>
      <c r="E1652" t="s">
        <v>150</v>
      </c>
      <c r="F1652" t="s">
        <v>271</v>
      </c>
      <c r="G1652" s="28">
        <v>26</v>
      </c>
      <c r="H1652" s="32">
        <v>4.51</v>
      </c>
      <c r="I1652" s="32">
        <v>480.09</v>
      </c>
      <c r="J1652" t="s">
        <v>239</v>
      </c>
      <c r="K1652" t="s">
        <v>245</v>
      </c>
      <c r="L1652" t="s">
        <v>235</v>
      </c>
      <c r="M1652" t="s">
        <v>236</v>
      </c>
      <c r="N1652" t="s">
        <v>237</v>
      </c>
      <c r="O1652" s="27">
        <v>46063</v>
      </c>
    </row>
    <row r="1653" spans="2:15" hidden="1" x14ac:dyDescent="0.3">
      <c r="B1653">
        <v>9673848</v>
      </c>
      <c r="C1653" t="s">
        <v>231</v>
      </c>
      <c r="D1653">
        <v>22674</v>
      </c>
      <c r="E1653" t="s">
        <v>150</v>
      </c>
      <c r="F1653" t="s">
        <v>246</v>
      </c>
      <c r="G1653" s="28">
        <v>10</v>
      </c>
      <c r="H1653" s="32">
        <v>4.51</v>
      </c>
      <c r="I1653" s="32">
        <v>371.44</v>
      </c>
      <c r="J1653" t="s">
        <v>239</v>
      </c>
      <c r="K1653" t="s">
        <v>245</v>
      </c>
      <c r="L1653" t="s">
        <v>235</v>
      </c>
      <c r="M1653" t="s">
        <v>236</v>
      </c>
      <c r="N1653" t="s">
        <v>237</v>
      </c>
      <c r="O1653" s="27">
        <v>46063</v>
      </c>
    </row>
    <row r="1654" spans="2:15" hidden="1" x14ac:dyDescent="0.3">
      <c r="B1654">
        <v>11610966</v>
      </c>
      <c r="C1654" t="s">
        <v>260</v>
      </c>
      <c r="D1654">
        <v>40901</v>
      </c>
      <c r="E1654" t="s">
        <v>150</v>
      </c>
      <c r="F1654" t="s">
        <v>395</v>
      </c>
      <c r="G1654" s="28">
        <v>82</v>
      </c>
      <c r="H1654" s="32">
        <v>4.51</v>
      </c>
      <c r="I1654" s="32">
        <v>537.1</v>
      </c>
      <c r="J1654" t="s">
        <v>330</v>
      </c>
      <c r="K1654" t="s">
        <v>234</v>
      </c>
      <c r="L1654" t="s">
        <v>235</v>
      </c>
      <c r="M1654" t="s">
        <v>236</v>
      </c>
      <c r="N1654" t="s">
        <v>237</v>
      </c>
      <c r="O1654" s="27">
        <v>46056</v>
      </c>
    </row>
    <row r="1655" spans="2:15" hidden="1" x14ac:dyDescent="0.3">
      <c r="B1655">
        <v>6468519</v>
      </c>
      <c r="C1655" t="s">
        <v>231</v>
      </c>
      <c r="D1655">
        <v>72444</v>
      </c>
      <c r="E1655" t="s">
        <v>150</v>
      </c>
      <c r="F1655" t="s">
        <v>298</v>
      </c>
      <c r="G1655" s="28">
        <v>41</v>
      </c>
      <c r="H1655" s="32">
        <v>4.5</v>
      </c>
      <c r="I1655" s="32">
        <v>673.1</v>
      </c>
      <c r="J1655" t="s">
        <v>239</v>
      </c>
      <c r="K1655" t="s">
        <v>245</v>
      </c>
      <c r="L1655" t="s">
        <v>235</v>
      </c>
      <c r="M1655" t="s">
        <v>236</v>
      </c>
      <c r="N1655" t="s">
        <v>237</v>
      </c>
      <c r="O1655" s="27">
        <v>46055</v>
      </c>
    </row>
    <row r="1656" spans="2:15" hidden="1" x14ac:dyDescent="0.3">
      <c r="B1656">
        <v>4686193</v>
      </c>
      <c r="C1656" t="s">
        <v>231</v>
      </c>
      <c r="D1656">
        <v>21468</v>
      </c>
      <c r="E1656" t="s">
        <v>150</v>
      </c>
      <c r="F1656" t="s">
        <v>164</v>
      </c>
      <c r="G1656" s="28">
        <v>16</v>
      </c>
      <c r="H1656" s="32">
        <v>4.49</v>
      </c>
      <c r="I1656" s="32">
        <v>777.64</v>
      </c>
      <c r="J1656" t="s">
        <v>239</v>
      </c>
      <c r="K1656" t="s">
        <v>245</v>
      </c>
      <c r="L1656" t="s">
        <v>235</v>
      </c>
      <c r="M1656" t="s">
        <v>236</v>
      </c>
      <c r="N1656" t="s">
        <v>240</v>
      </c>
      <c r="O1656" s="27">
        <v>46063</v>
      </c>
    </row>
    <row r="1657" spans="2:15" hidden="1" x14ac:dyDescent="0.3">
      <c r="B1657">
        <v>307208</v>
      </c>
      <c r="C1657" t="s">
        <v>231</v>
      </c>
      <c r="D1657">
        <v>25619</v>
      </c>
      <c r="E1657" t="s">
        <v>150</v>
      </c>
      <c r="F1657" t="s">
        <v>319</v>
      </c>
      <c r="G1657" s="28">
        <v>24</v>
      </c>
      <c r="H1657" s="32">
        <v>4.49</v>
      </c>
      <c r="I1657" s="32">
        <v>969.27</v>
      </c>
      <c r="J1657" t="s">
        <v>239</v>
      </c>
      <c r="K1657" t="s">
        <v>245</v>
      </c>
      <c r="L1657" t="s">
        <v>235</v>
      </c>
      <c r="M1657" t="s">
        <v>236</v>
      </c>
      <c r="N1657" t="s">
        <v>240</v>
      </c>
      <c r="O1657" s="27">
        <v>46063</v>
      </c>
    </row>
    <row r="1658" spans="2:15" hidden="1" x14ac:dyDescent="0.3">
      <c r="B1658">
        <v>3270381</v>
      </c>
      <c r="C1658" t="s">
        <v>260</v>
      </c>
      <c r="D1658">
        <v>21559</v>
      </c>
      <c r="E1658" t="s">
        <v>150</v>
      </c>
      <c r="F1658" t="s">
        <v>369</v>
      </c>
      <c r="G1658" s="28">
        <v>5</v>
      </c>
      <c r="H1658" s="32">
        <v>4.4800000000000004</v>
      </c>
      <c r="I1658" s="32">
        <v>258.43</v>
      </c>
      <c r="J1658" t="s">
        <v>239</v>
      </c>
      <c r="K1658" t="s">
        <v>245</v>
      </c>
      <c r="L1658" t="s">
        <v>235</v>
      </c>
      <c r="M1658" t="s">
        <v>236</v>
      </c>
      <c r="N1658" t="s">
        <v>240</v>
      </c>
      <c r="O1658" s="27">
        <v>46055</v>
      </c>
    </row>
    <row r="1659" spans="2:15" hidden="1" x14ac:dyDescent="0.3">
      <c r="B1659">
        <v>9635202</v>
      </c>
      <c r="C1659" t="s">
        <v>231</v>
      </c>
      <c r="D1659">
        <v>71881</v>
      </c>
      <c r="E1659" t="s">
        <v>150</v>
      </c>
      <c r="F1659" t="s">
        <v>160</v>
      </c>
      <c r="G1659" s="28">
        <v>13</v>
      </c>
      <c r="H1659" s="32">
        <v>4.47</v>
      </c>
      <c r="I1659" s="32">
        <v>1132.6099999999999</v>
      </c>
      <c r="J1659" t="s">
        <v>239</v>
      </c>
      <c r="K1659" t="s">
        <v>245</v>
      </c>
      <c r="L1659" t="s">
        <v>235</v>
      </c>
      <c r="M1659" t="s">
        <v>236</v>
      </c>
      <c r="N1659" t="s">
        <v>237</v>
      </c>
      <c r="O1659" s="27">
        <v>46063</v>
      </c>
    </row>
    <row r="1660" spans="2:15" hidden="1" x14ac:dyDescent="0.3">
      <c r="B1660">
        <v>7863027</v>
      </c>
      <c r="C1660" t="s">
        <v>231</v>
      </c>
      <c r="D1660">
        <v>71997</v>
      </c>
      <c r="E1660" t="s">
        <v>150</v>
      </c>
      <c r="F1660" t="s">
        <v>345</v>
      </c>
      <c r="G1660" s="28">
        <v>15</v>
      </c>
      <c r="H1660" s="32">
        <v>4.46</v>
      </c>
      <c r="I1660" s="32">
        <v>713.7</v>
      </c>
      <c r="J1660" t="s">
        <v>330</v>
      </c>
      <c r="K1660" t="s">
        <v>234</v>
      </c>
      <c r="L1660" t="s">
        <v>235</v>
      </c>
      <c r="M1660" t="s">
        <v>236</v>
      </c>
      <c r="N1660" t="s">
        <v>240</v>
      </c>
      <c r="O1660" s="27">
        <v>46066</v>
      </c>
    </row>
    <row r="1661" spans="2:15" hidden="1" x14ac:dyDescent="0.3">
      <c r="B1661">
        <v>325473</v>
      </c>
      <c r="C1661" t="s">
        <v>231</v>
      </c>
      <c r="D1661">
        <v>22674</v>
      </c>
      <c r="E1661" t="s">
        <v>150</v>
      </c>
      <c r="F1661" t="s">
        <v>371</v>
      </c>
      <c r="G1661" s="28">
        <v>41</v>
      </c>
      <c r="H1661" s="32">
        <v>4.45</v>
      </c>
      <c r="I1661" s="32">
        <v>396.88</v>
      </c>
      <c r="J1661" t="s">
        <v>267</v>
      </c>
      <c r="K1661" t="s">
        <v>245</v>
      </c>
      <c r="L1661" t="s">
        <v>235</v>
      </c>
      <c r="M1661" t="s">
        <v>236</v>
      </c>
      <c r="N1661" t="s">
        <v>237</v>
      </c>
      <c r="O1661" s="27">
        <v>46056</v>
      </c>
    </row>
    <row r="1662" spans="2:15" hidden="1" x14ac:dyDescent="0.3">
      <c r="B1662">
        <v>440722</v>
      </c>
      <c r="C1662" t="s">
        <v>231</v>
      </c>
      <c r="D1662">
        <v>21468</v>
      </c>
      <c r="E1662" t="s">
        <v>150</v>
      </c>
      <c r="F1662" t="s">
        <v>337</v>
      </c>
      <c r="G1662" s="28">
        <v>18</v>
      </c>
      <c r="H1662" s="32">
        <v>4.43</v>
      </c>
      <c r="I1662" s="32">
        <v>627.9</v>
      </c>
      <c r="J1662" t="s">
        <v>239</v>
      </c>
      <c r="K1662" t="s">
        <v>245</v>
      </c>
      <c r="L1662" t="s">
        <v>235</v>
      </c>
      <c r="M1662" t="s">
        <v>236</v>
      </c>
      <c r="N1662" t="s">
        <v>237</v>
      </c>
      <c r="O1662" s="27">
        <v>46062</v>
      </c>
    </row>
    <row r="1663" spans="2:15" hidden="1" x14ac:dyDescent="0.3">
      <c r="B1663">
        <v>440722</v>
      </c>
      <c r="C1663" t="s">
        <v>231</v>
      </c>
      <c r="D1663">
        <v>21468</v>
      </c>
      <c r="E1663" t="s">
        <v>150</v>
      </c>
      <c r="F1663" t="s">
        <v>271</v>
      </c>
      <c r="G1663" s="28">
        <v>34</v>
      </c>
      <c r="H1663" s="32">
        <v>4.42</v>
      </c>
      <c r="I1663" s="32">
        <v>625.41</v>
      </c>
      <c r="J1663" t="s">
        <v>239</v>
      </c>
      <c r="K1663" t="s">
        <v>245</v>
      </c>
      <c r="L1663" t="s">
        <v>235</v>
      </c>
      <c r="M1663" t="s">
        <v>236</v>
      </c>
      <c r="N1663" t="s">
        <v>237</v>
      </c>
      <c r="O1663" s="27">
        <v>46062</v>
      </c>
    </row>
    <row r="1664" spans="2:15" hidden="1" x14ac:dyDescent="0.3">
      <c r="B1664">
        <v>6468519</v>
      </c>
      <c r="C1664" t="s">
        <v>231</v>
      </c>
      <c r="D1664">
        <v>72444</v>
      </c>
      <c r="E1664" t="s">
        <v>150</v>
      </c>
      <c r="F1664" t="s">
        <v>282</v>
      </c>
      <c r="G1664" s="28">
        <v>13</v>
      </c>
      <c r="H1664" s="32">
        <v>4.42</v>
      </c>
      <c r="I1664" s="32">
        <v>661.19</v>
      </c>
      <c r="J1664" t="s">
        <v>239</v>
      </c>
      <c r="K1664" t="s">
        <v>245</v>
      </c>
      <c r="L1664" t="s">
        <v>235</v>
      </c>
      <c r="M1664" t="s">
        <v>236</v>
      </c>
      <c r="N1664" t="s">
        <v>240</v>
      </c>
      <c r="O1664" s="27">
        <v>46055</v>
      </c>
    </row>
    <row r="1665" spans="2:15" hidden="1" x14ac:dyDescent="0.3">
      <c r="B1665">
        <v>2340782</v>
      </c>
      <c r="C1665" t="s">
        <v>231</v>
      </c>
      <c r="D1665">
        <v>49894</v>
      </c>
      <c r="E1665" t="s">
        <v>150</v>
      </c>
      <c r="F1665" t="s">
        <v>164</v>
      </c>
      <c r="G1665" s="28">
        <v>16</v>
      </c>
      <c r="H1665" s="32">
        <v>4.4000000000000004</v>
      </c>
      <c r="I1665" s="32">
        <v>777.64</v>
      </c>
      <c r="J1665" t="s">
        <v>239</v>
      </c>
      <c r="K1665" t="s">
        <v>245</v>
      </c>
      <c r="L1665" t="s">
        <v>235</v>
      </c>
      <c r="M1665" t="s">
        <v>236</v>
      </c>
      <c r="N1665" t="s">
        <v>240</v>
      </c>
      <c r="O1665" s="27">
        <v>46063</v>
      </c>
    </row>
    <row r="1666" spans="2:15" hidden="1" x14ac:dyDescent="0.3">
      <c r="B1666">
        <v>15974810</v>
      </c>
      <c r="C1666" t="s">
        <v>231</v>
      </c>
      <c r="D1666">
        <v>49894</v>
      </c>
      <c r="E1666" t="s">
        <v>150</v>
      </c>
      <c r="F1666" t="s">
        <v>287</v>
      </c>
      <c r="G1666" s="28">
        <v>22</v>
      </c>
      <c r="H1666" s="32">
        <v>4.38</v>
      </c>
      <c r="I1666" s="32">
        <v>690.23</v>
      </c>
      <c r="J1666" t="s">
        <v>239</v>
      </c>
      <c r="K1666" t="s">
        <v>245</v>
      </c>
      <c r="L1666" t="s">
        <v>235</v>
      </c>
      <c r="M1666" t="s">
        <v>236</v>
      </c>
      <c r="N1666" t="s">
        <v>237</v>
      </c>
      <c r="O1666" s="27">
        <v>46063</v>
      </c>
    </row>
    <row r="1667" spans="2:15" hidden="1" x14ac:dyDescent="0.3">
      <c r="B1667">
        <v>325473</v>
      </c>
      <c r="C1667" t="s">
        <v>231</v>
      </c>
      <c r="D1667">
        <v>22674</v>
      </c>
      <c r="E1667" t="s">
        <v>150</v>
      </c>
      <c r="F1667" t="s">
        <v>291</v>
      </c>
      <c r="G1667" s="28">
        <v>40</v>
      </c>
      <c r="H1667" s="32">
        <v>4.38</v>
      </c>
      <c r="I1667" s="32">
        <v>395.27</v>
      </c>
      <c r="J1667" t="s">
        <v>267</v>
      </c>
      <c r="K1667" t="s">
        <v>245</v>
      </c>
      <c r="L1667" t="s">
        <v>235</v>
      </c>
      <c r="M1667" t="s">
        <v>236</v>
      </c>
      <c r="N1667" t="s">
        <v>240</v>
      </c>
      <c r="O1667" s="27">
        <v>46056</v>
      </c>
    </row>
    <row r="1668" spans="2:15" hidden="1" x14ac:dyDescent="0.3">
      <c r="B1668">
        <v>4333412</v>
      </c>
      <c r="C1668" t="s">
        <v>231</v>
      </c>
      <c r="D1668">
        <v>69579</v>
      </c>
      <c r="E1668" t="s">
        <v>150</v>
      </c>
      <c r="F1668" t="s">
        <v>369</v>
      </c>
      <c r="G1668" s="28">
        <v>7</v>
      </c>
      <c r="H1668" s="32">
        <v>4.37</v>
      </c>
      <c r="I1668" s="32">
        <v>385.76</v>
      </c>
      <c r="J1668" t="s">
        <v>239</v>
      </c>
      <c r="K1668" t="s">
        <v>245</v>
      </c>
      <c r="L1668" t="s">
        <v>235</v>
      </c>
      <c r="M1668" t="s">
        <v>236</v>
      </c>
      <c r="N1668" t="s">
        <v>240</v>
      </c>
      <c r="O1668" s="27">
        <v>46063</v>
      </c>
    </row>
    <row r="1669" spans="2:15" hidden="1" x14ac:dyDescent="0.3">
      <c r="B1669">
        <v>15255517</v>
      </c>
      <c r="C1669" t="s">
        <v>231</v>
      </c>
      <c r="D1669">
        <v>23648</v>
      </c>
      <c r="E1669" t="s">
        <v>150</v>
      </c>
      <c r="F1669" t="s">
        <v>276</v>
      </c>
      <c r="G1669" s="28">
        <v>22</v>
      </c>
      <c r="H1669" s="32">
        <v>4.3600000000000003</v>
      </c>
      <c r="I1669" s="32">
        <v>665.96</v>
      </c>
      <c r="J1669" t="s">
        <v>239</v>
      </c>
      <c r="K1669" t="s">
        <v>245</v>
      </c>
      <c r="L1669" t="s">
        <v>235</v>
      </c>
      <c r="M1669" t="s">
        <v>236</v>
      </c>
      <c r="N1669" t="s">
        <v>240</v>
      </c>
      <c r="O1669" s="27">
        <v>46055</v>
      </c>
    </row>
    <row r="1670" spans="2:15" hidden="1" x14ac:dyDescent="0.3">
      <c r="B1670">
        <v>7768707</v>
      </c>
      <c r="C1670" t="s">
        <v>260</v>
      </c>
      <c r="D1670">
        <v>21559</v>
      </c>
      <c r="E1670" t="s">
        <v>150</v>
      </c>
      <c r="F1670" t="s">
        <v>282</v>
      </c>
      <c r="G1670" s="28">
        <v>9</v>
      </c>
      <c r="H1670" s="32">
        <v>4.3600000000000003</v>
      </c>
      <c r="I1670" s="32">
        <v>459.72</v>
      </c>
      <c r="J1670" t="s">
        <v>239</v>
      </c>
      <c r="K1670" t="s">
        <v>245</v>
      </c>
      <c r="L1670" t="s">
        <v>235</v>
      </c>
      <c r="M1670" t="s">
        <v>236</v>
      </c>
      <c r="N1670" t="s">
        <v>240</v>
      </c>
      <c r="O1670" s="27">
        <v>46063</v>
      </c>
    </row>
    <row r="1671" spans="2:15" hidden="1" x14ac:dyDescent="0.3">
      <c r="B1671">
        <v>11824888</v>
      </c>
      <c r="C1671" t="s">
        <v>231</v>
      </c>
      <c r="D1671">
        <v>71881</v>
      </c>
      <c r="E1671" t="s">
        <v>150</v>
      </c>
      <c r="F1671" t="s">
        <v>160</v>
      </c>
      <c r="G1671" s="28">
        <v>23</v>
      </c>
      <c r="H1671" s="32">
        <v>4.3499999999999996</v>
      </c>
      <c r="I1671" s="32">
        <v>2003.65</v>
      </c>
      <c r="J1671" t="s">
        <v>239</v>
      </c>
      <c r="K1671" t="s">
        <v>245</v>
      </c>
      <c r="L1671" t="s">
        <v>235</v>
      </c>
      <c r="M1671" t="s">
        <v>236</v>
      </c>
      <c r="N1671" t="s">
        <v>240</v>
      </c>
      <c r="O1671" s="27">
        <v>46063</v>
      </c>
    </row>
    <row r="1672" spans="2:15" hidden="1" x14ac:dyDescent="0.3">
      <c r="B1672">
        <v>3270381</v>
      </c>
      <c r="C1672" t="s">
        <v>260</v>
      </c>
      <c r="D1672">
        <v>21559</v>
      </c>
      <c r="E1672" t="s">
        <v>150</v>
      </c>
      <c r="F1672" t="s">
        <v>282</v>
      </c>
      <c r="G1672" s="28">
        <v>5</v>
      </c>
      <c r="H1672" s="32">
        <v>4.3499999999999996</v>
      </c>
      <c r="I1672" s="32">
        <v>254.3</v>
      </c>
      <c r="J1672" t="s">
        <v>239</v>
      </c>
      <c r="K1672" t="s">
        <v>245</v>
      </c>
      <c r="L1672" t="s">
        <v>235</v>
      </c>
      <c r="M1672" t="s">
        <v>236</v>
      </c>
      <c r="N1672" t="s">
        <v>240</v>
      </c>
      <c r="O1672" s="27">
        <v>46055</v>
      </c>
    </row>
    <row r="1673" spans="2:15" hidden="1" x14ac:dyDescent="0.3">
      <c r="B1673">
        <v>440722</v>
      </c>
      <c r="C1673" t="s">
        <v>231</v>
      </c>
      <c r="D1673">
        <v>21468</v>
      </c>
      <c r="E1673" t="s">
        <v>150</v>
      </c>
      <c r="F1673" t="s">
        <v>282</v>
      </c>
      <c r="G1673" s="28">
        <v>12</v>
      </c>
      <c r="H1673" s="32">
        <v>4.33</v>
      </c>
      <c r="I1673" s="32">
        <v>613.38</v>
      </c>
      <c r="J1673" t="s">
        <v>239</v>
      </c>
      <c r="K1673" t="s">
        <v>245</v>
      </c>
      <c r="L1673" t="s">
        <v>235</v>
      </c>
      <c r="M1673" t="s">
        <v>236</v>
      </c>
      <c r="N1673" t="s">
        <v>237</v>
      </c>
      <c r="O1673" s="27">
        <v>46062</v>
      </c>
    </row>
    <row r="1674" spans="2:15" hidden="1" x14ac:dyDescent="0.3">
      <c r="B1674">
        <v>3065087</v>
      </c>
      <c r="C1674" t="s">
        <v>231</v>
      </c>
      <c r="D1674">
        <v>22674</v>
      </c>
      <c r="E1674" t="s">
        <v>150</v>
      </c>
      <c r="F1674" t="s">
        <v>164</v>
      </c>
      <c r="G1674" s="28">
        <v>15</v>
      </c>
      <c r="H1674" s="32">
        <v>4.32</v>
      </c>
      <c r="I1674" s="32">
        <v>729.21</v>
      </c>
      <c r="J1674" t="s">
        <v>239</v>
      </c>
      <c r="K1674" t="s">
        <v>245</v>
      </c>
      <c r="L1674" t="s">
        <v>235</v>
      </c>
      <c r="M1674" t="s">
        <v>236</v>
      </c>
      <c r="N1674" t="s">
        <v>240</v>
      </c>
      <c r="O1674" s="27">
        <v>46063</v>
      </c>
    </row>
    <row r="1675" spans="2:15" hidden="1" x14ac:dyDescent="0.3">
      <c r="B1675">
        <v>325473</v>
      </c>
      <c r="C1675" t="s">
        <v>231</v>
      </c>
      <c r="D1675">
        <v>22674</v>
      </c>
      <c r="E1675" t="s">
        <v>150</v>
      </c>
      <c r="F1675" t="s">
        <v>421</v>
      </c>
      <c r="G1675" s="28">
        <v>40</v>
      </c>
      <c r="H1675" s="32">
        <v>4.32</v>
      </c>
      <c r="I1675" s="32">
        <v>380.15</v>
      </c>
      <c r="J1675" t="s">
        <v>267</v>
      </c>
      <c r="K1675" t="s">
        <v>245</v>
      </c>
      <c r="L1675" t="s">
        <v>235</v>
      </c>
      <c r="M1675" t="s">
        <v>236</v>
      </c>
      <c r="N1675" t="s">
        <v>240</v>
      </c>
      <c r="O1675" s="27">
        <v>46056</v>
      </c>
    </row>
    <row r="1676" spans="2:15" hidden="1" x14ac:dyDescent="0.3">
      <c r="B1676">
        <v>2411460</v>
      </c>
      <c r="C1676" t="s">
        <v>231</v>
      </c>
      <c r="D1676">
        <v>72444</v>
      </c>
      <c r="E1676" t="s">
        <v>150</v>
      </c>
      <c r="F1676" t="s">
        <v>246</v>
      </c>
      <c r="G1676" s="28">
        <v>15</v>
      </c>
      <c r="H1676" s="32">
        <v>4.32</v>
      </c>
      <c r="I1676" s="32">
        <v>554.26</v>
      </c>
      <c r="J1676" t="s">
        <v>239</v>
      </c>
      <c r="K1676" t="s">
        <v>245</v>
      </c>
      <c r="L1676" t="s">
        <v>235</v>
      </c>
      <c r="M1676" t="s">
        <v>236</v>
      </c>
      <c r="N1676" t="s">
        <v>237</v>
      </c>
      <c r="O1676" s="27">
        <v>46055</v>
      </c>
    </row>
    <row r="1677" spans="2:15" hidden="1" x14ac:dyDescent="0.3">
      <c r="B1677">
        <v>8810663</v>
      </c>
      <c r="C1677" t="s">
        <v>231</v>
      </c>
      <c r="D1677">
        <v>72444</v>
      </c>
      <c r="E1677" t="s">
        <v>150</v>
      </c>
      <c r="F1677" t="s">
        <v>246</v>
      </c>
      <c r="G1677" s="28">
        <v>15</v>
      </c>
      <c r="H1677" s="32">
        <v>4.32</v>
      </c>
      <c r="I1677" s="32">
        <v>554.16</v>
      </c>
      <c r="J1677" t="s">
        <v>239</v>
      </c>
      <c r="K1677" t="s">
        <v>245</v>
      </c>
      <c r="L1677" t="s">
        <v>235</v>
      </c>
      <c r="M1677" t="s">
        <v>236</v>
      </c>
      <c r="N1677" t="s">
        <v>240</v>
      </c>
      <c r="O1677" s="27">
        <v>46055</v>
      </c>
    </row>
    <row r="1678" spans="2:15" hidden="1" x14ac:dyDescent="0.3">
      <c r="B1678">
        <v>2973255</v>
      </c>
      <c r="C1678" t="s">
        <v>260</v>
      </c>
      <c r="D1678">
        <v>69519</v>
      </c>
      <c r="E1678" t="s">
        <v>150</v>
      </c>
      <c r="F1678" t="s">
        <v>331</v>
      </c>
      <c r="G1678" s="28">
        <v>56</v>
      </c>
      <c r="H1678" s="32">
        <v>4.32</v>
      </c>
      <c r="I1678" s="32">
        <v>540.64</v>
      </c>
      <c r="J1678" t="s">
        <v>267</v>
      </c>
      <c r="K1678" t="s">
        <v>245</v>
      </c>
      <c r="L1678" t="s">
        <v>235</v>
      </c>
      <c r="M1678" t="s">
        <v>236</v>
      </c>
      <c r="N1678" t="s">
        <v>240</v>
      </c>
      <c r="O1678" s="27">
        <v>46063</v>
      </c>
    </row>
    <row r="1679" spans="2:15" hidden="1" x14ac:dyDescent="0.3">
      <c r="B1679">
        <v>6024970</v>
      </c>
      <c r="C1679" t="s">
        <v>260</v>
      </c>
      <c r="D1679">
        <v>72444</v>
      </c>
      <c r="E1679" t="s">
        <v>150</v>
      </c>
      <c r="F1679" t="s">
        <v>163</v>
      </c>
      <c r="G1679" s="28">
        <v>41</v>
      </c>
      <c r="H1679" s="32">
        <v>4.3099999999999996</v>
      </c>
      <c r="I1679" s="32">
        <v>540.14</v>
      </c>
      <c r="J1679" t="s">
        <v>239</v>
      </c>
      <c r="K1679" t="s">
        <v>245</v>
      </c>
      <c r="L1679" t="s">
        <v>235</v>
      </c>
      <c r="M1679" t="s">
        <v>236</v>
      </c>
      <c r="N1679" t="s">
        <v>237</v>
      </c>
      <c r="O1679" s="27">
        <v>46055</v>
      </c>
    </row>
    <row r="1680" spans="2:15" hidden="1" x14ac:dyDescent="0.3">
      <c r="B1680">
        <v>3548394</v>
      </c>
      <c r="C1680" t="s">
        <v>260</v>
      </c>
      <c r="D1680">
        <v>25104</v>
      </c>
      <c r="E1680" t="s">
        <v>150</v>
      </c>
      <c r="F1680" t="s">
        <v>328</v>
      </c>
      <c r="G1680" s="28">
        <v>30</v>
      </c>
      <c r="H1680" s="32">
        <v>4.3</v>
      </c>
      <c r="I1680" s="32">
        <v>2099.7600000000002</v>
      </c>
      <c r="J1680" t="s">
        <v>267</v>
      </c>
      <c r="K1680" t="s">
        <v>245</v>
      </c>
      <c r="L1680" t="s">
        <v>235</v>
      </c>
      <c r="M1680" t="s">
        <v>236</v>
      </c>
      <c r="N1680" t="s">
        <v>237</v>
      </c>
      <c r="O1680" s="27">
        <v>46057</v>
      </c>
    </row>
    <row r="1681" spans="2:15" hidden="1" x14ac:dyDescent="0.3">
      <c r="B1681">
        <v>3731792</v>
      </c>
      <c r="C1681" t="s">
        <v>260</v>
      </c>
      <c r="D1681">
        <v>69579</v>
      </c>
      <c r="E1681" t="s">
        <v>150</v>
      </c>
      <c r="F1681" t="s">
        <v>163</v>
      </c>
      <c r="G1681" s="28">
        <v>11</v>
      </c>
      <c r="H1681" s="32">
        <v>4.29</v>
      </c>
      <c r="I1681" s="32">
        <v>153.57</v>
      </c>
      <c r="J1681" t="s">
        <v>239</v>
      </c>
      <c r="K1681" t="s">
        <v>245</v>
      </c>
      <c r="L1681" t="s">
        <v>235</v>
      </c>
      <c r="M1681" t="s">
        <v>236</v>
      </c>
      <c r="N1681" t="s">
        <v>237</v>
      </c>
      <c r="O1681" s="27">
        <v>46063</v>
      </c>
    </row>
    <row r="1682" spans="2:15" hidden="1" x14ac:dyDescent="0.3">
      <c r="B1682">
        <v>6468519</v>
      </c>
      <c r="C1682" t="s">
        <v>231</v>
      </c>
      <c r="D1682">
        <v>72444</v>
      </c>
      <c r="E1682" t="s">
        <v>150</v>
      </c>
      <c r="F1682" t="s">
        <v>272</v>
      </c>
      <c r="G1682" s="28">
        <v>98</v>
      </c>
      <c r="H1682" s="32">
        <v>4.28</v>
      </c>
      <c r="I1682" s="32">
        <v>640.22</v>
      </c>
      <c r="J1682" t="s">
        <v>239</v>
      </c>
      <c r="K1682" t="s">
        <v>245</v>
      </c>
      <c r="L1682" t="s">
        <v>235</v>
      </c>
      <c r="M1682" t="s">
        <v>236</v>
      </c>
      <c r="N1682" t="s">
        <v>240</v>
      </c>
      <c r="O1682" s="27">
        <v>46055</v>
      </c>
    </row>
    <row r="1683" spans="2:15" hidden="1" x14ac:dyDescent="0.3">
      <c r="B1683">
        <v>74468</v>
      </c>
      <c r="C1683" t="s">
        <v>260</v>
      </c>
      <c r="D1683">
        <v>69519</v>
      </c>
      <c r="E1683" t="s">
        <v>150</v>
      </c>
      <c r="F1683" t="s">
        <v>386</v>
      </c>
      <c r="G1683" s="28">
        <v>26</v>
      </c>
      <c r="H1683" s="32">
        <v>4.28</v>
      </c>
      <c r="I1683" s="32">
        <v>2533.56</v>
      </c>
      <c r="J1683" t="s">
        <v>267</v>
      </c>
      <c r="K1683" t="s">
        <v>245</v>
      </c>
      <c r="L1683" t="s">
        <v>235</v>
      </c>
      <c r="M1683" t="s">
        <v>236</v>
      </c>
      <c r="N1683" t="s">
        <v>237</v>
      </c>
      <c r="O1683" s="27">
        <v>46063</v>
      </c>
    </row>
    <row r="1684" spans="2:15" hidden="1" x14ac:dyDescent="0.3">
      <c r="B1684">
        <v>9796204</v>
      </c>
      <c r="C1684" t="s">
        <v>260</v>
      </c>
      <c r="D1684">
        <v>21468</v>
      </c>
      <c r="E1684" t="s">
        <v>150</v>
      </c>
      <c r="F1684" t="s">
        <v>318</v>
      </c>
      <c r="G1684" s="28">
        <v>2</v>
      </c>
      <c r="H1684" s="32">
        <v>4.28</v>
      </c>
      <c r="I1684" s="32">
        <v>307.07</v>
      </c>
      <c r="J1684" t="s">
        <v>239</v>
      </c>
      <c r="K1684" t="s">
        <v>245</v>
      </c>
      <c r="L1684" t="s">
        <v>235</v>
      </c>
      <c r="M1684" t="s">
        <v>236</v>
      </c>
      <c r="N1684" t="s">
        <v>237</v>
      </c>
      <c r="O1684" s="27">
        <v>46072</v>
      </c>
    </row>
    <row r="1685" spans="2:15" hidden="1" x14ac:dyDescent="0.3">
      <c r="B1685">
        <v>750270</v>
      </c>
      <c r="C1685" t="s">
        <v>231</v>
      </c>
      <c r="D1685">
        <v>22674</v>
      </c>
      <c r="E1685" t="s">
        <v>150</v>
      </c>
      <c r="F1685" t="s">
        <v>384</v>
      </c>
      <c r="G1685" s="28">
        <v>34</v>
      </c>
      <c r="H1685" s="32">
        <v>4.2699999999999996</v>
      </c>
      <c r="I1685" s="32">
        <v>727.6</v>
      </c>
      <c r="J1685" t="s">
        <v>330</v>
      </c>
      <c r="K1685" t="s">
        <v>234</v>
      </c>
      <c r="L1685" t="s">
        <v>235</v>
      </c>
      <c r="M1685" t="s">
        <v>236</v>
      </c>
      <c r="N1685" t="s">
        <v>237</v>
      </c>
      <c r="O1685" s="27">
        <v>46065</v>
      </c>
    </row>
    <row r="1686" spans="2:15" x14ac:dyDescent="0.3">
      <c r="B1686">
        <v>79379</v>
      </c>
      <c r="C1686" t="s">
        <v>260</v>
      </c>
      <c r="D1686">
        <v>22103</v>
      </c>
      <c r="E1686" t="s">
        <v>150</v>
      </c>
      <c r="F1686" t="s">
        <v>369</v>
      </c>
      <c r="G1686" s="28">
        <v>7</v>
      </c>
      <c r="H1686" s="32">
        <v>4.26</v>
      </c>
      <c r="I1686" s="32">
        <v>385.76</v>
      </c>
      <c r="J1686" t="s">
        <v>239</v>
      </c>
      <c r="K1686" t="s">
        <v>245</v>
      </c>
      <c r="L1686" t="s">
        <v>235</v>
      </c>
      <c r="M1686" t="s">
        <v>236</v>
      </c>
      <c r="N1686" t="s">
        <v>240</v>
      </c>
      <c r="O1686" s="27">
        <v>46063</v>
      </c>
    </row>
    <row r="1687" spans="2:15" hidden="1" x14ac:dyDescent="0.3">
      <c r="B1687">
        <v>3322497</v>
      </c>
      <c r="C1687" t="s">
        <v>231</v>
      </c>
      <c r="D1687">
        <v>40901</v>
      </c>
      <c r="E1687" t="s">
        <v>150</v>
      </c>
      <c r="F1687" t="s">
        <v>305</v>
      </c>
      <c r="G1687" s="28">
        <v>7</v>
      </c>
      <c r="H1687" s="32">
        <v>4.24</v>
      </c>
      <c r="I1687" s="32">
        <v>741.39</v>
      </c>
      <c r="J1687" t="s">
        <v>267</v>
      </c>
      <c r="K1687" t="s">
        <v>245</v>
      </c>
      <c r="L1687" t="s">
        <v>235</v>
      </c>
      <c r="M1687" t="s">
        <v>236</v>
      </c>
      <c r="N1687" t="s">
        <v>237</v>
      </c>
      <c r="O1687" s="27">
        <v>46055</v>
      </c>
    </row>
    <row r="1688" spans="2:15" hidden="1" x14ac:dyDescent="0.3">
      <c r="B1688">
        <v>15255517</v>
      </c>
      <c r="C1688" t="s">
        <v>231</v>
      </c>
      <c r="D1688">
        <v>23648</v>
      </c>
      <c r="E1688" t="s">
        <v>150</v>
      </c>
      <c r="F1688" t="s">
        <v>274</v>
      </c>
      <c r="G1688" s="28">
        <v>44</v>
      </c>
      <c r="H1688" s="32">
        <v>4.2300000000000004</v>
      </c>
      <c r="I1688" s="32">
        <v>646.23</v>
      </c>
      <c r="J1688" t="s">
        <v>239</v>
      </c>
      <c r="K1688" t="s">
        <v>245</v>
      </c>
      <c r="L1688" t="s">
        <v>235</v>
      </c>
      <c r="M1688" t="s">
        <v>236</v>
      </c>
      <c r="N1688" t="s">
        <v>237</v>
      </c>
      <c r="O1688" s="27">
        <v>46055</v>
      </c>
    </row>
    <row r="1689" spans="2:15" hidden="1" x14ac:dyDescent="0.3">
      <c r="B1689">
        <v>374210</v>
      </c>
      <c r="C1689" t="s">
        <v>260</v>
      </c>
      <c r="D1689">
        <v>24415</v>
      </c>
      <c r="E1689" t="s">
        <v>150</v>
      </c>
      <c r="F1689" t="s">
        <v>163</v>
      </c>
      <c r="G1689" s="28">
        <v>32</v>
      </c>
      <c r="H1689" s="32">
        <v>4.2300000000000004</v>
      </c>
      <c r="I1689" s="32">
        <v>455.58</v>
      </c>
      <c r="J1689" t="s">
        <v>239</v>
      </c>
      <c r="K1689" t="s">
        <v>245</v>
      </c>
      <c r="L1689" t="s">
        <v>235</v>
      </c>
      <c r="M1689" t="s">
        <v>236</v>
      </c>
      <c r="N1689" t="s">
        <v>237</v>
      </c>
      <c r="O1689" s="27">
        <v>46072</v>
      </c>
    </row>
    <row r="1690" spans="2:15" hidden="1" x14ac:dyDescent="0.3">
      <c r="B1690">
        <v>307208</v>
      </c>
      <c r="C1690" t="s">
        <v>231</v>
      </c>
      <c r="D1690">
        <v>25619</v>
      </c>
      <c r="E1690" t="s">
        <v>150</v>
      </c>
      <c r="F1690" t="s">
        <v>337</v>
      </c>
      <c r="G1690" s="28">
        <v>23</v>
      </c>
      <c r="H1690" s="32">
        <v>4.21</v>
      </c>
      <c r="I1690" s="32">
        <v>835.59</v>
      </c>
      <c r="J1690" t="s">
        <v>239</v>
      </c>
      <c r="K1690" t="s">
        <v>245</v>
      </c>
      <c r="L1690" t="s">
        <v>235</v>
      </c>
      <c r="M1690" t="s">
        <v>236</v>
      </c>
      <c r="N1690" t="s">
        <v>237</v>
      </c>
      <c r="O1690" s="27">
        <v>46063</v>
      </c>
    </row>
    <row r="1691" spans="2:15" hidden="1" x14ac:dyDescent="0.3">
      <c r="B1691">
        <v>8781959</v>
      </c>
      <c r="C1691" t="s">
        <v>231</v>
      </c>
      <c r="D1691">
        <v>72444</v>
      </c>
      <c r="E1691" t="s">
        <v>150</v>
      </c>
      <c r="F1691" t="s">
        <v>271</v>
      </c>
      <c r="G1691" s="28">
        <v>21</v>
      </c>
      <c r="H1691" s="32">
        <v>4.1900000000000004</v>
      </c>
      <c r="I1691" s="32">
        <v>387.7</v>
      </c>
      <c r="J1691" t="s">
        <v>239</v>
      </c>
      <c r="K1691" t="s">
        <v>245</v>
      </c>
      <c r="L1691" t="s">
        <v>235</v>
      </c>
      <c r="M1691" t="s">
        <v>236</v>
      </c>
      <c r="N1691" t="s">
        <v>237</v>
      </c>
      <c r="O1691" s="27">
        <v>46063</v>
      </c>
    </row>
    <row r="1692" spans="2:15" hidden="1" x14ac:dyDescent="0.3">
      <c r="B1692">
        <v>2496015</v>
      </c>
      <c r="C1692" t="s">
        <v>231</v>
      </c>
      <c r="D1692">
        <v>38517</v>
      </c>
      <c r="E1692" t="s">
        <v>150</v>
      </c>
      <c r="F1692" t="s">
        <v>164</v>
      </c>
      <c r="G1692" s="28">
        <v>26</v>
      </c>
      <c r="H1692" s="32">
        <v>4.1900000000000004</v>
      </c>
      <c r="I1692" s="32">
        <v>1264.19</v>
      </c>
      <c r="J1692" t="s">
        <v>239</v>
      </c>
      <c r="K1692" t="s">
        <v>245</v>
      </c>
      <c r="L1692" t="s">
        <v>235</v>
      </c>
      <c r="M1692" t="s">
        <v>236</v>
      </c>
      <c r="N1692" t="s">
        <v>240</v>
      </c>
      <c r="O1692" s="27">
        <v>46063</v>
      </c>
    </row>
    <row r="1693" spans="2:15" hidden="1" x14ac:dyDescent="0.3">
      <c r="B1693">
        <v>3317498</v>
      </c>
      <c r="C1693" t="s">
        <v>231</v>
      </c>
      <c r="D1693">
        <v>69493</v>
      </c>
      <c r="E1693" t="s">
        <v>150</v>
      </c>
      <c r="F1693" t="s">
        <v>287</v>
      </c>
      <c r="G1693" s="28">
        <v>21</v>
      </c>
      <c r="H1693" s="32">
        <v>4.18</v>
      </c>
      <c r="I1693" s="32">
        <v>658.69</v>
      </c>
      <c r="J1693" t="s">
        <v>239</v>
      </c>
      <c r="K1693" t="s">
        <v>245</v>
      </c>
      <c r="L1693" t="s">
        <v>235</v>
      </c>
      <c r="M1693" t="s">
        <v>236</v>
      </c>
      <c r="N1693" t="s">
        <v>237</v>
      </c>
      <c r="O1693" s="27">
        <v>46063</v>
      </c>
    </row>
    <row r="1694" spans="2:15" hidden="1" x14ac:dyDescent="0.3">
      <c r="B1694">
        <v>4382412</v>
      </c>
      <c r="C1694" t="s">
        <v>231</v>
      </c>
      <c r="D1694">
        <v>49894</v>
      </c>
      <c r="E1694" t="s">
        <v>150</v>
      </c>
      <c r="F1694" t="s">
        <v>164</v>
      </c>
      <c r="G1694" s="28">
        <v>13</v>
      </c>
      <c r="H1694" s="32">
        <v>4.17</v>
      </c>
      <c r="I1694" s="32">
        <v>632.08000000000004</v>
      </c>
      <c r="J1694" t="s">
        <v>239</v>
      </c>
      <c r="K1694" t="s">
        <v>245</v>
      </c>
      <c r="L1694" t="s">
        <v>235</v>
      </c>
      <c r="M1694" t="s">
        <v>236</v>
      </c>
      <c r="N1694" t="s">
        <v>240</v>
      </c>
      <c r="O1694" s="27">
        <v>46063</v>
      </c>
    </row>
    <row r="1695" spans="2:15" hidden="1" x14ac:dyDescent="0.3">
      <c r="B1695">
        <v>215083</v>
      </c>
      <c r="C1695" t="s">
        <v>231</v>
      </c>
      <c r="D1695">
        <v>23410</v>
      </c>
      <c r="E1695" t="s">
        <v>150</v>
      </c>
      <c r="F1695" t="s">
        <v>246</v>
      </c>
      <c r="G1695" s="28">
        <v>20</v>
      </c>
      <c r="H1695" s="32">
        <v>4.17</v>
      </c>
      <c r="I1695" s="32">
        <v>738.88</v>
      </c>
      <c r="J1695" t="s">
        <v>239</v>
      </c>
      <c r="K1695" t="s">
        <v>245</v>
      </c>
      <c r="L1695" t="s">
        <v>235</v>
      </c>
      <c r="M1695" t="s">
        <v>236</v>
      </c>
      <c r="N1695" t="s">
        <v>240</v>
      </c>
      <c r="O1695" s="27">
        <v>46055</v>
      </c>
    </row>
    <row r="1696" spans="2:15" hidden="1" x14ac:dyDescent="0.3">
      <c r="B1696">
        <v>2569374</v>
      </c>
      <c r="C1696" t="s">
        <v>231</v>
      </c>
      <c r="D1696">
        <v>71997</v>
      </c>
      <c r="E1696" t="s">
        <v>150</v>
      </c>
      <c r="F1696" t="s">
        <v>282</v>
      </c>
      <c r="G1696" s="28">
        <v>23</v>
      </c>
      <c r="H1696" s="32">
        <v>4.16</v>
      </c>
      <c r="I1696" s="32">
        <v>1175.02</v>
      </c>
      <c r="J1696" t="s">
        <v>239</v>
      </c>
      <c r="K1696" t="s">
        <v>245</v>
      </c>
      <c r="L1696" t="s">
        <v>235</v>
      </c>
      <c r="M1696" t="s">
        <v>236</v>
      </c>
      <c r="N1696" t="s">
        <v>237</v>
      </c>
      <c r="O1696" s="27">
        <v>46063</v>
      </c>
    </row>
    <row r="1697" spans="2:15" hidden="1" x14ac:dyDescent="0.3">
      <c r="B1697">
        <v>8581688</v>
      </c>
      <c r="C1697" t="s">
        <v>231</v>
      </c>
      <c r="D1697">
        <v>23648</v>
      </c>
      <c r="E1697" t="s">
        <v>150</v>
      </c>
      <c r="F1697" t="s">
        <v>246</v>
      </c>
      <c r="G1697" s="28">
        <v>7</v>
      </c>
      <c r="H1697" s="32">
        <v>4.16</v>
      </c>
      <c r="I1697" s="32">
        <v>258.64999999999998</v>
      </c>
      <c r="J1697" t="s">
        <v>239</v>
      </c>
      <c r="K1697" t="s">
        <v>245</v>
      </c>
      <c r="L1697" t="s">
        <v>235</v>
      </c>
      <c r="M1697" t="s">
        <v>236</v>
      </c>
      <c r="N1697" t="s">
        <v>237</v>
      </c>
      <c r="O1697" s="27">
        <v>46055</v>
      </c>
    </row>
    <row r="1698" spans="2:15" hidden="1" x14ac:dyDescent="0.3">
      <c r="B1698">
        <v>3687422</v>
      </c>
      <c r="C1698" t="s">
        <v>260</v>
      </c>
      <c r="D1698">
        <v>68542</v>
      </c>
      <c r="E1698" t="s">
        <v>150</v>
      </c>
      <c r="F1698" t="s">
        <v>305</v>
      </c>
      <c r="G1698" s="28">
        <v>9</v>
      </c>
      <c r="H1698" s="32">
        <v>4.16</v>
      </c>
      <c r="I1698" s="32">
        <v>950.67</v>
      </c>
      <c r="J1698" t="s">
        <v>267</v>
      </c>
      <c r="K1698" t="s">
        <v>245</v>
      </c>
      <c r="L1698" t="s">
        <v>235</v>
      </c>
      <c r="M1698" t="s">
        <v>236</v>
      </c>
      <c r="N1698" t="s">
        <v>237</v>
      </c>
      <c r="O1698" s="27">
        <v>46057</v>
      </c>
    </row>
    <row r="1699" spans="2:15" hidden="1" x14ac:dyDescent="0.3">
      <c r="B1699">
        <v>17920388</v>
      </c>
      <c r="C1699" t="s">
        <v>231</v>
      </c>
      <c r="D1699">
        <v>40901</v>
      </c>
      <c r="E1699" t="s">
        <v>150</v>
      </c>
      <c r="F1699" t="s">
        <v>369</v>
      </c>
      <c r="G1699" s="28">
        <v>7</v>
      </c>
      <c r="H1699" s="32">
        <v>4.1500000000000004</v>
      </c>
      <c r="I1699" s="32">
        <v>385.76</v>
      </c>
      <c r="J1699" t="s">
        <v>239</v>
      </c>
      <c r="K1699" t="s">
        <v>245</v>
      </c>
      <c r="L1699" t="s">
        <v>235</v>
      </c>
      <c r="M1699" t="s">
        <v>236</v>
      </c>
      <c r="N1699" t="s">
        <v>240</v>
      </c>
      <c r="O1699" s="27">
        <v>46063</v>
      </c>
    </row>
    <row r="1700" spans="2:15" hidden="1" x14ac:dyDescent="0.3">
      <c r="B1700">
        <v>2932273</v>
      </c>
      <c r="C1700" t="s">
        <v>260</v>
      </c>
      <c r="D1700">
        <v>40901</v>
      </c>
      <c r="E1700" t="s">
        <v>150</v>
      </c>
      <c r="F1700" t="s">
        <v>395</v>
      </c>
      <c r="G1700" s="28">
        <v>70</v>
      </c>
      <c r="H1700" s="32">
        <v>4.1500000000000004</v>
      </c>
      <c r="I1700" s="32">
        <v>452.19</v>
      </c>
      <c r="J1700" t="s">
        <v>330</v>
      </c>
      <c r="K1700" t="s">
        <v>234</v>
      </c>
      <c r="L1700" t="s">
        <v>235</v>
      </c>
      <c r="M1700" t="s">
        <v>236</v>
      </c>
      <c r="N1700" t="s">
        <v>237</v>
      </c>
      <c r="O1700" s="27">
        <v>46063</v>
      </c>
    </row>
    <row r="1701" spans="2:15" x14ac:dyDescent="0.3">
      <c r="B1701">
        <v>3105908</v>
      </c>
      <c r="C1701" t="s">
        <v>231</v>
      </c>
      <c r="D1701">
        <v>22103</v>
      </c>
      <c r="E1701" t="s">
        <v>150</v>
      </c>
      <c r="F1701" t="s">
        <v>274</v>
      </c>
      <c r="G1701" s="28">
        <v>41</v>
      </c>
      <c r="H1701" s="32">
        <v>4.1399999999999997</v>
      </c>
      <c r="I1701" s="32">
        <v>602.16999999999996</v>
      </c>
      <c r="J1701" t="s">
        <v>239</v>
      </c>
      <c r="K1701" t="s">
        <v>245</v>
      </c>
      <c r="L1701" t="s">
        <v>235</v>
      </c>
      <c r="M1701" t="s">
        <v>236</v>
      </c>
      <c r="N1701" t="s">
        <v>237</v>
      </c>
      <c r="O1701" s="27">
        <v>46055</v>
      </c>
    </row>
    <row r="1702" spans="2:15" hidden="1" x14ac:dyDescent="0.3">
      <c r="B1702">
        <v>2033851</v>
      </c>
      <c r="C1702" t="s">
        <v>231</v>
      </c>
      <c r="D1702">
        <v>24415</v>
      </c>
      <c r="E1702" t="s">
        <v>150</v>
      </c>
      <c r="F1702" t="s">
        <v>320</v>
      </c>
      <c r="G1702" s="28">
        <v>17</v>
      </c>
      <c r="H1702" s="32">
        <v>4.13</v>
      </c>
      <c r="I1702" s="32">
        <v>697.85</v>
      </c>
      <c r="J1702" t="s">
        <v>239</v>
      </c>
      <c r="K1702" t="s">
        <v>245</v>
      </c>
      <c r="L1702" t="s">
        <v>235</v>
      </c>
      <c r="M1702" t="s">
        <v>236</v>
      </c>
      <c r="N1702" t="s">
        <v>237</v>
      </c>
      <c r="O1702" s="27">
        <v>46072</v>
      </c>
    </row>
    <row r="1703" spans="2:15" x14ac:dyDescent="0.3">
      <c r="B1703">
        <v>5658854</v>
      </c>
      <c r="C1703" t="s">
        <v>231</v>
      </c>
      <c r="D1703">
        <v>22103</v>
      </c>
      <c r="E1703" t="s">
        <v>150</v>
      </c>
      <c r="F1703" t="s">
        <v>379</v>
      </c>
      <c r="G1703" s="28">
        <v>56</v>
      </c>
      <c r="H1703" s="32">
        <v>4.13</v>
      </c>
      <c r="I1703" s="32">
        <v>821.52</v>
      </c>
      <c r="J1703" t="s">
        <v>330</v>
      </c>
      <c r="K1703" t="s">
        <v>234</v>
      </c>
      <c r="L1703" t="s">
        <v>235</v>
      </c>
      <c r="M1703" t="s">
        <v>236</v>
      </c>
      <c r="N1703" t="s">
        <v>237</v>
      </c>
      <c r="O1703" s="27">
        <v>46076</v>
      </c>
    </row>
    <row r="1704" spans="2:15" hidden="1" x14ac:dyDescent="0.3">
      <c r="B1704">
        <v>2987541</v>
      </c>
      <c r="C1704" t="s">
        <v>231</v>
      </c>
      <c r="D1704">
        <v>23648</v>
      </c>
      <c r="E1704" t="s">
        <v>150</v>
      </c>
      <c r="F1704" t="s">
        <v>164</v>
      </c>
      <c r="G1704" s="28">
        <v>14</v>
      </c>
      <c r="H1704" s="32">
        <v>4.13</v>
      </c>
      <c r="I1704" s="32">
        <v>680.66</v>
      </c>
      <c r="J1704" t="s">
        <v>239</v>
      </c>
      <c r="K1704" t="s">
        <v>245</v>
      </c>
      <c r="L1704" t="s">
        <v>235</v>
      </c>
      <c r="M1704" t="s">
        <v>236</v>
      </c>
      <c r="N1704" t="s">
        <v>240</v>
      </c>
      <c r="O1704" s="27">
        <v>46063</v>
      </c>
    </row>
    <row r="1705" spans="2:15" hidden="1" x14ac:dyDescent="0.3">
      <c r="B1705">
        <v>3906862</v>
      </c>
      <c r="C1705" t="s">
        <v>231</v>
      </c>
      <c r="D1705">
        <v>71881</v>
      </c>
      <c r="E1705" t="s">
        <v>150</v>
      </c>
      <c r="F1705" t="s">
        <v>369</v>
      </c>
      <c r="G1705" s="28">
        <v>7</v>
      </c>
      <c r="H1705" s="32">
        <v>4.12</v>
      </c>
      <c r="I1705" s="32">
        <v>385.76</v>
      </c>
      <c r="J1705" t="s">
        <v>239</v>
      </c>
      <c r="K1705" t="s">
        <v>245</v>
      </c>
      <c r="L1705" t="s">
        <v>235</v>
      </c>
      <c r="M1705" t="s">
        <v>236</v>
      </c>
      <c r="N1705" t="s">
        <v>240</v>
      </c>
      <c r="O1705" s="27">
        <v>46063</v>
      </c>
    </row>
    <row r="1706" spans="2:15" hidden="1" x14ac:dyDescent="0.3">
      <c r="B1706">
        <v>3255792</v>
      </c>
      <c r="C1706" t="s">
        <v>231</v>
      </c>
      <c r="D1706">
        <v>71881</v>
      </c>
      <c r="E1706" t="s">
        <v>150</v>
      </c>
      <c r="F1706" t="s">
        <v>282</v>
      </c>
      <c r="G1706" s="28">
        <v>8</v>
      </c>
      <c r="H1706" s="32">
        <v>4.1100000000000003</v>
      </c>
      <c r="I1706" s="32">
        <v>408.67</v>
      </c>
      <c r="J1706" t="s">
        <v>239</v>
      </c>
      <c r="K1706" t="s">
        <v>245</v>
      </c>
      <c r="L1706" t="s">
        <v>235</v>
      </c>
      <c r="M1706" t="s">
        <v>236</v>
      </c>
      <c r="N1706" t="s">
        <v>240</v>
      </c>
      <c r="O1706" s="27">
        <v>46063</v>
      </c>
    </row>
    <row r="1707" spans="2:15" hidden="1" x14ac:dyDescent="0.3">
      <c r="B1707">
        <v>2255037</v>
      </c>
      <c r="C1707" t="s">
        <v>231</v>
      </c>
      <c r="D1707">
        <v>22674</v>
      </c>
      <c r="E1707" t="s">
        <v>150</v>
      </c>
      <c r="F1707" t="s">
        <v>164</v>
      </c>
      <c r="G1707" s="28">
        <v>14</v>
      </c>
      <c r="H1707" s="32">
        <v>4.1100000000000003</v>
      </c>
      <c r="I1707" s="32">
        <v>680.66</v>
      </c>
      <c r="J1707" t="s">
        <v>239</v>
      </c>
      <c r="K1707" t="s">
        <v>245</v>
      </c>
      <c r="L1707" t="s">
        <v>235</v>
      </c>
      <c r="M1707" t="s">
        <v>236</v>
      </c>
      <c r="N1707" t="s">
        <v>240</v>
      </c>
      <c r="O1707" s="27">
        <v>46063</v>
      </c>
    </row>
    <row r="1708" spans="2:15" hidden="1" x14ac:dyDescent="0.3">
      <c r="B1708">
        <v>2403987</v>
      </c>
      <c r="C1708" t="s">
        <v>231</v>
      </c>
      <c r="D1708">
        <v>23648</v>
      </c>
      <c r="E1708" t="s">
        <v>150</v>
      </c>
      <c r="F1708" t="s">
        <v>164</v>
      </c>
      <c r="G1708" s="28">
        <v>14</v>
      </c>
      <c r="H1708" s="32">
        <v>4.1100000000000003</v>
      </c>
      <c r="I1708" s="32">
        <v>680.66</v>
      </c>
      <c r="J1708" t="s">
        <v>239</v>
      </c>
      <c r="K1708" t="s">
        <v>245</v>
      </c>
      <c r="L1708" t="s">
        <v>235</v>
      </c>
      <c r="M1708" t="s">
        <v>236</v>
      </c>
      <c r="N1708" t="s">
        <v>240</v>
      </c>
      <c r="O1708" s="27">
        <v>46063</v>
      </c>
    </row>
    <row r="1709" spans="2:15" hidden="1" x14ac:dyDescent="0.3">
      <c r="B1709">
        <v>6027332</v>
      </c>
      <c r="C1709" t="s">
        <v>231</v>
      </c>
      <c r="D1709">
        <v>23410</v>
      </c>
      <c r="E1709" t="s">
        <v>150</v>
      </c>
      <c r="F1709" t="s">
        <v>263</v>
      </c>
      <c r="G1709" s="28">
        <v>55</v>
      </c>
      <c r="H1709" s="32">
        <v>4.0999999999999996</v>
      </c>
      <c r="I1709" s="32">
        <v>760.05</v>
      </c>
      <c r="J1709" t="s">
        <v>239</v>
      </c>
      <c r="K1709" t="s">
        <v>245</v>
      </c>
      <c r="L1709" t="s">
        <v>235</v>
      </c>
      <c r="M1709" t="s">
        <v>236</v>
      </c>
      <c r="N1709" t="s">
        <v>237</v>
      </c>
      <c r="O1709" s="27">
        <v>46055</v>
      </c>
    </row>
    <row r="1710" spans="2:15" hidden="1" x14ac:dyDescent="0.3">
      <c r="B1710">
        <v>3255792</v>
      </c>
      <c r="C1710" t="s">
        <v>231</v>
      </c>
      <c r="D1710">
        <v>71881</v>
      </c>
      <c r="E1710" t="s">
        <v>150</v>
      </c>
      <c r="F1710" t="s">
        <v>246</v>
      </c>
      <c r="G1710" s="28">
        <v>9</v>
      </c>
      <c r="H1710" s="32">
        <v>4.0999999999999996</v>
      </c>
      <c r="I1710" s="32">
        <v>334.33</v>
      </c>
      <c r="J1710" t="s">
        <v>239</v>
      </c>
      <c r="K1710" t="s">
        <v>245</v>
      </c>
      <c r="L1710" t="s">
        <v>235</v>
      </c>
      <c r="M1710" t="s">
        <v>236</v>
      </c>
      <c r="N1710" t="s">
        <v>237</v>
      </c>
      <c r="O1710" s="27">
        <v>46063</v>
      </c>
    </row>
    <row r="1711" spans="2:15" hidden="1" x14ac:dyDescent="0.3">
      <c r="B1711">
        <v>325473</v>
      </c>
      <c r="C1711" t="s">
        <v>231</v>
      </c>
      <c r="D1711">
        <v>22674</v>
      </c>
      <c r="E1711" t="s">
        <v>150</v>
      </c>
      <c r="F1711" t="s">
        <v>293</v>
      </c>
      <c r="G1711" s="28">
        <v>72</v>
      </c>
      <c r="H1711" s="32">
        <v>4.09</v>
      </c>
      <c r="I1711" s="32">
        <v>622.86</v>
      </c>
      <c r="J1711" t="s">
        <v>267</v>
      </c>
      <c r="K1711" t="s">
        <v>245</v>
      </c>
      <c r="L1711" t="s">
        <v>235</v>
      </c>
      <c r="M1711" t="s">
        <v>236</v>
      </c>
      <c r="N1711" t="s">
        <v>240</v>
      </c>
      <c r="O1711" s="27">
        <v>46056</v>
      </c>
    </row>
    <row r="1712" spans="2:15" hidden="1" x14ac:dyDescent="0.3">
      <c r="B1712">
        <v>5599981</v>
      </c>
      <c r="C1712" t="s">
        <v>231</v>
      </c>
      <c r="D1712">
        <v>69493</v>
      </c>
      <c r="E1712" t="s">
        <v>150</v>
      </c>
      <c r="F1712" t="s">
        <v>164</v>
      </c>
      <c r="G1712" s="28">
        <v>14</v>
      </c>
      <c r="H1712" s="32">
        <v>4.08</v>
      </c>
      <c r="I1712" s="32">
        <v>680.66</v>
      </c>
      <c r="J1712" t="s">
        <v>239</v>
      </c>
      <c r="K1712" t="s">
        <v>245</v>
      </c>
      <c r="L1712" t="s">
        <v>235</v>
      </c>
      <c r="M1712" t="s">
        <v>236</v>
      </c>
      <c r="N1712" t="s">
        <v>240</v>
      </c>
      <c r="O1712" s="27">
        <v>46063</v>
      </c>
    </row>
    <row r="1713" spans="2:15" hidden="1" x14ac:dyDescent="0.3">
      <c r="B1713">
        <v>6859448</v>
      </c>
      <c r="C1713" t="s">
        <v>231</v>
      </c>
      <c r="D1713">
        <v>25619</v>
      </c>
      <c r="E1713" t="s">
        <v>150</v>
      </c>
      <c r="F1713" t="s">
        <v>164</v>
      </c>
      <c r="G1713" s="28">
        <v>13</v>
      </c>
      <c r="H1713" s="32">
        <v>4.08</v>
      </c>
      <c r="I1713" s="32">
        <v>632.07000000000005</v>
      </c>
      <c r="J1713" t="s">
        <v>239</v>
      </c>
      <c r="K1713" t="s">
        <v>245</v>
      </c>
      <c r="L1713" t="s">
        <v>235</v>
      </c>
      <c r="M1713" t="s">
        <v>236</v>
      </c>
      <c r="N1713" t="s">
        <v>240</v>
      </c>
      <c r="O1713" s="27">
        <v>46063</v>
      </c>
    </row>
    <row r="1714" spans="2:15" hidden="1" x14ac:dyDescent="0.3">
      <c r="B1714">
        <v>6901714</v>
      </c>
      <c r="C1714" t="s">
        <v>260</v>
      </c>
      <c r="D1714">
        <v>71997</v>
      </c>
      <c r="E1714" t="s">
        <v>150</v>
      </c>
      <c r="F1714" t="s">
        <v>287</v>
      </c>
      <c r="G1714" s="28">
        <v>20</v>
      </c>
      <c r="H1714" s="32">
        <v>4.07</v>
      </c>
      <c r="I1714" s="32">
        <v>627.5</v>
      </c>
      <c r="J1714" t="s">
        <v>239</v>
      </c>
      <c r="K1714" t="s">
        <v>245</v>
      </c>
      <c r="L1714" t="s">
        <v>235</v>
      </c>
      <c r="M1714" t="s">
        <v>236</v>
      </c>
      <c r="N1714" t="s">
        <v>237</v>
      </c>
      <c r="O1714" s="27">
        <v>46063</v>
      </c>
    </row>
    <row r="1715" spans="2:15" x14ac:dyDescent="0.3">
      <c r="B1715">
        <v>3105908</v>
      </c>
      <c r="C1715" t="s">
        <v>231</v>
      </c>
      <c r="D1715">
        <v>22103</v>
      </c>
      <c r="E1715" t="s">
        <v>150</v>
      </c>
      <c r="F1715" t="s">
        <v>246</v>
      </c>
      <c r="G1715" s="28">
        <v>16</v>
      </c>
      <c r="H1715" s="32">
        <v>4.0599999999999996</v>
      </c>
      <c r="I1715" s="32">
        <v>591.1</v>
      </c>
      <c r="J1715" t="s">
        <v>239</v>
      </c>
      <c r="K1715" t="s">
        <v>245</v>
      </c>
      <c r="L1715" t="s">
        <v>235</v>
      </c>
      <c r="M1715" t="s">
        <v>236</v>
      </c>
      <c r="N1715" t="s">
        <v>240</v>
      </c>
      <c r="O1715" s="27">
        <v>46055</v>
      </c>
    </row>
    <row r="1716" spans="2:15" hidden="1" x14ac:dyDescent="0.3">
      <c r="B1716">
        <v>9796204</v>
      </c>
      <c r="C1716" t="s">
        <v>260</v>
      </c>
      <c r="D1716">
        <v>21468</v>
      </c>
      <c r="E1716" t="s">
        <v>150</v>
      </c>
      <c r="F1716" t="s">
        <v>164</v>
      </c>
      <c r="G1716" s="28">
        <v>6</v>
      </c>
      <c r="H1716" s="32">
        <v>4.0599999999999996</v>
      </c>
      <c r="I1716" s="32">
        <v>291.27</v>
      </c>
      <c r="J1716" t="s">
        <v>239</v>
      </c>
      <c r="K1716" t="s">
        <v>245</v>
      </c>
      <c r="L1716" t="s">
        <v>235</v>
      </c>
      <c r="M1716" t="s">
        <v>236</v>
      </c>
      <c r="N1716" t="s">
        <v>240</v>
      </c>
      <c r="O1716" s="27">
        <v>46072</v>
      </c>
    </row>
    <row r="1717" spans="2:15" hidden="1" x14ac:dyDescent="0.3">
      <c r="B1717">
        <v>12629468</v>
      </c>
      <c r="C1717" t="s">
        <v>260</v>
      </c>
      <c r="D1717">
        <v>40901</v>
      </c>
      <c r="E1717" t="s">
        <v>150</v>
      </c>
      <c r="F1717" t="s">
        <v>246</v>
      </c>
      <c r="G1717" s="28">
        <v>8</v>
      </c>
      <c r="H1717" s="32">
        <v>4.0599999999999996</v>
      </c>
      <c r="I1717" s="32">
        <v>297.19</v>
      </c>
      <c r="J1717" t="s">
        <v>239</v>
      </c>
      <c r="K1717" t="s">
        <v>245</v>
      </c>
      <c r="L1717" t="s">
        <v>235</v>
      </c>
      <c r="M1717" t="s">
        <v>236</v>
      </c>
      <c r="N1717" t="s">
        <v>237</v>
      </c>
      <c r="O1717" s="27">
        <v>46063</v>
      </c>
    </row>
    <row r="1718" spans="2:15" hidden="1" x14ac:dyDescent="0.3">
      <c r="B1718">
        <v>9673848</v>
      </c>
      <c r="C1718" t="s">
        <v>231</v>
      </c>
      <c r="D1718">
        <v>22674</v>
      </c>
      <c r="E1718" t="s">
        <v>150</v>
      </c>
      <c r="F1718" t="s">
        <v>282</v>
      </c>
      <c r="G1718" s="28">
        <v>8</v>
      </c>
      <c r="H1718" s="32">
        <v>4.05</v>
      </c>
      <c r="I1718" s="32">
        <v>408.66</v>
      </c>
      <c r="J1718" t="s">
        <v>239</v>
      </c>
      <c r="K1718" t="s">
        <v>245</v>
      </c>
      <c r="L1718" t="s">
        <v>235</v>
      </c>
      <c r="M1718" t="s">
        <v>236</v>
      </c>
      <c r="N1718" t="s">
        <v>240</v>
      </c>
      <c r="O1718" s="27">
        <v>46063</v>
      </c>
    </row>
    <row r="1719" spans="2:15" x14ac:dyDescent="0.3">
      <c r="B1719">
        <v>4745805</v>
      </c>
      <c r="C1719" t="s">
        <v>231</v>
      </c>
      <c r="D1719">
        <v>22103</v>
      </c>
      <c r="E1719" t="s">
        <v>150</v>
      </c>
      <c r="F1719" t="s">
        <v>319</v>
      </c>
      <c r="G1719" s="28">
        <v>21</v>
      </c>
      <c r="H1719" s="32">
        <v>4.03</v>
      </c>
      <c r="I1719" s="32">
        <v>848.23</v>
      </c>
      <c r="J1719" t="s">
        <v>239</v>
      </c>
      <c r="K1719" t="s">
        <v>245</v>
      </c>
      <c r="L1719" t="s">
        <v>235</v>
      </c>
      <c r="M1719" t="s">
        <v>236</v>
      </c>
      <c r="N1719" t="s">
        <v>240</v>
      </c>
      <c r="O1719" s="27">
        <v>46063</v>
      </c>
    </row>
    <row r="1720" spans="2:15" hidden="1" x14ac:dyDescent="0.3">
      <c r="B1720">
        <v>8810663</v>
      </c>
      <c r="C1720" t="s">
        <v>231</v>
      </c>
      <c r="D1720">
        <v>72444</v>
      </c>
      <c r="E1720" t="s">
        <v>150</v>
      </c>
      <c r="F1720" t="s">
        <v>276</v>
      </c>
      <c r="G1720" s="28">
        <v>17</v>
      </c>
      <c r="H1720" s="32">
        <v>4.0199999999999996</v>
      </c>
      <c r="I1720" s="32">
        <v>514.6</v>
      </c>
      <c r="J1720" t="s">
        <v>239</v>
      </c>
      <c r="K1720" t="s">
        <v>245</v>
      </c>
      <c r="L1720" t="s">
        <v>235</v>
      </c>
      <c r="M1720" t="s">
        <v>236</v>
      </c>
      <c r="N1720" t="s">
        <v>240</v>
      </c>
      <c r="O1720" s="27">
        <v>46055</v>
      </c>
    </row>
    <row r="1721" spans="2:15" hidden="1" x14ac:dyDescent="0.3">
      <c r="B1721">
        <v>74468</v>
      </c>
      <c r="C1721" t="s">
        <v>260</v>
      </c>
      <c r="D1721">
        <v>69519</v>
      </c>
      <c r="E1721" t="s">
        <v>150</v>
      </c>
      <c r="F1721" t="s">
        <v>282</v>
      </c>
      <c r="G1721" s="28">
        <v>20</v>
      </c>
      <c r="H1721" s="32">
        <v>4.01</v>
      </c>
      <c r="I1721" s="32">
        <v>1021.66</v>
      </c>
      <c r="J1721" t="s">
        <v>239</v>
      </c>
      <c r="K1721" t="s">
        <v>245</v>
      </c>
      <c r="L1721" t="s">
        <v>235</v>
      </c>
      <c r="M1721" t="s">
        <v>236</v>
      </c>
      <c r="N1721" t="s">
        <v>240</v>
      </c>
      <c r="O1721" s="27">
        <v>46063</v>
      </c>
    </row>
    <row r="1722" spans="2:15" hidden="1" x14ac:dyDescent="0.3">
      <c r="B1722">
        <v>17005725</v>
      </c>
      <c r="C1722" t="s">
        <v>260</v>
      </c>
      <c r="D1722">
        <v>22674</v>
      </c>
      <c r="E1722" t="s">
        <v>150</v>
      </c>
      <c r="F1722" t="s">
        <v>164</v>
      </c>
      <c r="G1722" s="28">
        <v>12</v>
      </c>
      <c r="H1722" s="32">
        <v>4</v>
      </c>
      <c r="I1722" s="32">
        <v>583.32000000000005</v>
      </c>
      <c r="J1722" t="s">
        <v>239</v>
      </c>
      <c r="K1722" t="s">
        <v>245</v>
      </c>
      <c r="L1722" t="s">
        <v>235</v>
      </c>
      <c r="M1722" t="s">
        <v>236</v>
      </c>
      <c r="N1722" t="s">
        <v>240</v>
      </c>
      <c r="O1722" s="27">
        <v>46063</v>
      </c>
    </row>
    <row r="1723" spans="2:15" hidden="1" x14ac:dyDescent="0.3">
      <c r="B1723">
        <v>3321439</v>
      </c>
      <c r="C1723" t="s">
        <v>231</v>
      </c>
      <c r="D1723">
        <v>22674</v>
      </c>
      <c r="E1723" t="s">
        <v>150</v>
      </c>
      <c r="F1723" t="s">
        <v>164</v>
      </c>
      <c r="G1723" s="28">
        <v>13</v>
      </c>
      <c r="H1723" s="32">
        <v>3.99</v>
      </c>
      <c r="I1723" s="32">
        <v>632.07000000000005</v>
      </c>
      <c r="J1723" t="s">
        <v>239</v>
      </c>
      <c r="K1723" t="s">
        <v>245</v>
      </c>
      <c r="L1723" t="s">
        <v>235</v>
      </c>
      <c r="M1723" t="s">
        <v>236</v>
      </c>
      <c r="N1723" t="s">
        <v>240</v>
      </c>
      <c r="O1723" s="27">
        <v>46063</v>
      </c>
    </row>
    <row r="1724" spans="2:15" hidden="1" x14ac:dyDescent="0.3">
      <c r="B1724">
        <v>3343807</v>
      </c>
      <c r="C1724" t="s">
        <v>231</v>
      </c>
      <c r="D1724">
        <v>69519</v>
      </c>
      <c r="E1724" t="s">
        <v>150</v>
      </c>
      <c r="F1724" t="s">
        <v>386</v>
      </c>
      <c r="G1724" s="28">
        <v>11</v>
      </c>
      <c r="H1724" s="32">
        <v>3.98</v>
      </c>
      <c r="I1724" s="32">
        <v>1071.8599999999999</v>
      </c>
      <c r="J1724" t="s">
        <v>267</v>
      </c>
      <c r="K1724" t="s">
        <v>245</v>
      </c>
      <c r="L1724" t="s">
        <v>235</v>
      </c>
      <c r="M1724" t="s">
        <v>236</v>
      </c>
      <c r="N1724" t="s">
        <v>237</v>
      </c>
      <c r="O1724" s="27">
        <v>46063</v>
      </c>
    </row>
    <row r="1725" spans="2:15" hidden="1" x14ac:dyDescent="0.3">
      <c r="B1725">
        <v>3906862</v>
      </c>
      <c r="C1725" t="s">
        <v>231</v>
      </c>
      <c r="D1725">
        <v>71881</v>
      </c>
      <c r="E1725" t="s">
        <v>150</v>
      </c>
      <c r="F1725" t="s">
        <v>246</v>
      </c>
      <c r="G1725" s="28">
        <v>8</v>
      </c>
      <c r="H1725" s="32">
        <v>3.98</v>
      </c>
      <c r="I1725" s="32">
        <v>297.19</v>
      </c>
      <c r="J1725" t="s">
        <v>239</v>
      </c>
      <c r="K1725" t="s">
        <v>245</v>
      </c>
      <c r="L1725" t="s">
        <v>235</v>
      </c>
      <c r="M1725" t="s">
        <v>236</v>
      </c>
      <c r="N1725" t="s">
        <v>237</v>
      </c>
      <c r="O1725" s="27">
        <v>46063</v>
      </c>
    </row>
    <row r="1726" spans="2:15" hidden="1" x14ac:dyDescent="0.3">
      <c r="B1726">
        <v>4078178</v>
      </c>
      <c r="C1726" t="s">
        <v>231</v>
      </c>
      <c r="D1726">
        <v>49894</v>
      </c>
      <c r="E1726" t="s">
        <v>150</v>
      </c>
      <c r="F1726" t="s">
        <v>287</v>
      </c>
      <c r="G1726" s="28">
        <v>19</v>
      </c>
      <c r="H1726" s="32">
        <v>3.97</v>
      </c>
      <c r="I1726" s="32">
        <v>595.94000000000005</v>
      </c>
      <c r="J1726" t="s">
        <v>239</v>
      </c>
      <c r="K1726" t="s">
        <v>245</v>
      </c>
      <c r="L1726" t="s">
        <v>235</v>
      </c>
      <c r="M1726" t="s">
        <v>236</v>
      </c>
      <c r="N1726" t="s">
        <v>237</v>
      </c>
      <c r="O1726" s="27">
        <v>46063</v>
      </c>
    </row>
    <row r="1727" spans="2:15" hidden="1" x14ac:dyDescent="0.3">
      <c r="B1727">
        <v>4358018</v>
      </c>
      <c r="C1727" t="s">
        <v>231</v>
      </c>
      <c r="D1727">
        <v>23410</v>
      </c>
      <c r="E1727" t="s">
        <v>150</v>
      </c>
      <c r="F1727" t="s">
        <v>163</v>
      </c>
      <c r="G1727" s="28">
        <v>10</v>
      </c>
      <c r="H1727" s="32">
        <v>3.97</v>
      </c>
      <c r="I1727" s="32">
        <v>139.6</v>
      </c>
      <c r="J1727" t="s">
        <v>239</v>
      </c>
      <c r="K1727" t="s">
        <v>245</v>
      </c>
      <c r="L1727" t="s">
        <v>235</v>
      </c>
      <c r="M1727" t="s">
        <v>236</v>
      </c>
      <c r="N1727" t="s">
        <v>237</v>
      </c>
      <c r="O1727" s="27">
        <v>46063</v>
      </c>
    </row>
    <row r="1728" spans="2:15" hidden="1" x14ac:dyDescent="0.3">
      <c r="B1728">
        <v>4358018</v>
      </c>
      <c r="C1728" t="s">
        <v>231</v>
      </c>
      <c r="D1728">
        <v>23410</v>
      </c>
      <c r="E1728" t="s">
        <v>150</v>
      </c>
      <c r="F1728" t="s">
        <v>369</v>
      </c>
      <c r="G1728" s="28">
        <v>6</v>
      </c>
      <c r="H1728" s="32">
        <v>3.97</v>
      </c>
      <c r="I1728" s="32">
        <v>330.63</v>
      </c>
      <c r="J1728" t="s">
        <v>239</v>
      </c>
      <c r="K1728" t="s">
        <v>245</v>
      </c>
      <c r="L1728" t="s">
        <v>235</v>
      </c>
      <c r="M1728" t="s">
        <v>236</v>
      </c>
      <c r="N1728" t="s">
        <v>240</v>
      </c>
      <c r="O1728" s="27">
        <v>46063</v>
      </c>
    </row>
    <row r="1729" spans="2:15" x14ac:dyDescent="0.3">
      <c r="B1729">
        <v>3105908</v>
      </c>
      <c r="C1729" t="s">
        <v>231</v>
      </c>
      <c r="D1729">
        <v>22103</v>
      </c>
      <c r="E1729" t="s">
        <v>150</v>
      </c>
      <c r="F1729" t="s">
        <v>276</v>
      </c>
      <c r="G1729" s="28">
        <v>19</v>
      </c>
      <c r="H1729" s="32">
        <v>3.95</v>
      </c>
      <c r="I1729" s="32">
        <v>575.14</v>
      </c>
      <c r="J1729" t="s">
        <v>239</v>
      </c>
      <c r="K1729" t="s">
        <v>245</v>
      </c>
      <c r="L1729" t="s">
        <v>235</v>
      </c>
      <c r="M1729" t="s">
        <v>236</v>
      </c>
      <c r="N1729" t="s">
        <v>240</v>
      </c>
      <c r="O1729" s="27">
        <v>46055</v>
      </c>
    </row>
    <row r="1730" spans="2:15" x14ac:dyDescent="0.3">
      <c r="B1730">
        <v>4745805</v>
      </c>
      <c r="C1730" t="s">
        <v>231</v>
      </c>
      <c r="D1730">
        <v>22103</v>
      </c>
      <c r="E1730" t="s">
        <v>150</v>
      </c>
      <c r="F1730" t="s">
        <v>337</v>
      </c>
      <c r="G1730" s="28">
        <v>21</v>
      </c>
      <c r="H1730" s="32">
        <v>3.95</v>
      </c>
      <c r="I1730" s="32">
        <v>762.6</v>
      </c>
      <c r="J1730" t="s">
        <v>239</v>
      </c>
      <c r="K1730" t="s">
        <v>245</v>
      </c>
      <c r="L1730" t="s">
        <v>235</v>
      </c>
      <c r="M1730" t="s">
        <v>236</v>
      </c>
      <c r="N1730" t="s">
        <v>237</v>
      </c>
      <c r="O1730" s="27">
        <v>46063</v>
      </c>
    </row>
    <row r="1731" spans="2:15" hidden="1" x14ac:dyDescent="0.3">
      <c r="B1731">
        <v>3684655</v>
      </c>
      <c r="C1731" t="s">
        <v>260</v>
      </c>
      <c r="D1731">
        <v>38517</v>
      </c>
      <c r="E1731" t="s">
        <v>150</v>
      </c>
      <c r="F1731" t="s">
        <v>164</v>
      </c>
      <c r="G1731" s="28">
        <v>13</v>
      </c>
      <c r="H1731" s="32">
        <v>3.95</v>
      </c>
      <c r="I1731" s="32">
        <v>632.07000000000005</v>
      </c>
      <c r="J1731" t="s">
        <v>239</v>
      </c>
      <c r="K1731" t="s">
        <v>245</v>
      </c>
      <c r="L1731" t="s">
        <v>235</v>
      </c>
      <c r="M1731" t="s">
        <v>236</v>
      </c>
      <c r="N1731" t="s">
        <v>240</v>
      </c>
      <c r="O1731" s="27">
        <v>46063</v>
      </c>
    </row>
    <row r="1732" spans="2:15" hidden="1" x14ac:dyDescent="0.3">
      <c r="B1732">
        <v>2033851</v>
      </c>
      <c r="C1732" t="s">
        <v>231</v>
      </c>
      <c r="D1732">
        <v>24415</v>
      </c>
      <c r="E1732" t="s">
        <v>150</v>
      </c>
      <c r="F1732" t="s">
        <v>346</v>
      </c>
      <c r="G1732" s="28">
        <v>31</v>
      </c>
      <c r="H1732" s="32">
        <v>3.94</v>
      </c>
      <c r="I1732" s="32">
        <v>664.55</v>
      </c>
      <c r="J1732" t="s">
        <v>330</v>
      </c>
      <c r="K1732" t="s">
        <v>245</v>
      </c>
      <c r="L1732" t="s">
        <v>235</v>
      </c>
      <c r="M1732" t="s">
        <v>236</v>
      </c>
      <c r="N1732" t="s">
        <v>240</v>
      </c>
      <c r="O1732" s="27">
        <v>46072</v>
      </c>
    </row>
    <row r="1733" spans="2:15" hidden="1" x14ac:dyDescent="0.3">
      <c r="B1733">
        <v>3824485</v>
      </c>
      <c r="C1733" t="s">
        <v>260</v>
      </c>
      <c r="D1733">
        <v>69579</v>
      </c>
      <c r="E1733" t="s">
        <v>150</v>
      </c>
      <c r="F1733" t="s">
        <v>246</v>
      </c>
      <c r="G1733" s="28">
        <v>7</v>
      </c>
      <c r="H1733" s="32">
        <v>3.94</v>
      </c>
      <c r="I1733" s="32">
        <v>265.70999999999998</v>
      </c>
      <c r="J1733" t="s">
        <v>239</v>
      </c>
      <c r="K1733" t="s">
        <v>245</v>
      </c>
      <c r="L1733" t="s">
        <v>235</v>
      </c>
      <c r="M1733" t="s">
        <v>236</v>
      </c>
      <c r="N1733" t="s">
        <v>240</v>
      </c>
      <c r="O1733" s="27">
        <v>46072</v>
      </c>
    </row>
    <row r="1734" spans="2:15" hidden="1" x14ac:dyDescent="0.3">
      <c r="B1734">
        <v>325473</v>
      </c>
      <c r="C1734" t="s">
        <v>231</v>
      </c>
      <c r="D1734">
        <v>22674</v>
      </c>
      <c r="E1734" t="s">
        <v>150</v>
      </c>
      <c r="F1734" t="s">
        <v>399</v>
      </c>
      <c r="G1734" s="28">
        <v>43</v>
      </c>
      <c r="H1734" s="32">
        <v>3.93</v>
      </c>
      <c r="I1734" s="32">
        <v>308.41000000000003</v>
      </c>
      <c r="J1734" t="s">
        <v>267</v>
      </c>
      <c r="K1734" t="s">
        <v>245</v>
      </c>
      <c r="L1734" t="s">
        <v>235</v>
      </c>
      <c r="M1734" t="s">
        <v>236</v>
      </c>
      <c r="N1734" t="s">
        <v>237</v>
      </c>
      <c r="O1734" s="27">
        <v>46056</v>
      </c>
    </row>
    <row r="1735" spans="2:15" hidden="1" x14ac:dyDescent="0.3">
      <c r="B1735">
        <v>3270381</v>
      </c>
      <c r="C1735" t="s">
        <v>260</v>
      </c>
      <c r="D1735">
        <v>21559</v>
      </c>
      <c r="E1735" t="s">
        <v>150</v>
      </c>
      <c r="F1735" t="s">
        <v>298</v>
      </c>
      <c r="G1735" s="28">
        <v>14</v>
      </c>
      <c r="H1735" s="32">
        <v>3.93</v>
      </c>
      <c r="I1735" s="32">
        <v>229.84</v>
      </c>
      <c r="J1735" t="s">
        <v>239</v>
      </c>
      <c r="K1735" t="s">
        <v>245</v>
      </c>
      <c r="L1735" t="s">
        <v>235</v>
      </c>
      <c r="M1735" t="s">
        <v>236</v>
      </c>
      <c r="N1735" t="s">
        <v>237</v>
      </c>
      <c r="O1735" s="27">
        <v>46055</v>
      </c>
    </row>
    <row r="1736" spans="2:15" hidden="1" x14ac:dyDescent="0.3">
      <c r="B1736">
        <v>6027332</v>
      </c>
      <c r="C1736" t="s">
        <v>231</v>
      </c>
      <c r="D1736">
        <v>23410</v>
      </c>
      <c r="E1736" t="s">
        <v>150</v>
      </c>
      <c r="F1736" t="s">
        <v>276</v>
      </c>
      <c r="G1736" s="28">
        <v>24</v>
      </c>
      <c r="H1736" s="32">
        <v>3.92</v>
      </c>
      <c r="I1736" s="32">
        <v>726.5</v>
      </c>
      <c r="J1736" t="s">
        <v>239</v>
      </c>
      <c r="K1736" t="s">
        <v>245</v>
      </c>
      <c r="L1736" t="s">
        <v>235</v>
      </c>
      <c r="M1736" t="s">
        <v>236</v>
      </c>
      <c r="N1736" t="s">
        <v>240</v>
      </c>
      <c r="O1736" s="27">
        <v>46055</v>
      </c>
    </row>
    <row r="1737" spans="2:15" hidden="1" x14ac:dyDescent="0.3">
      <c r="B1737">
        <v>5933489</v>
      </c>
      <c r="C1737" t="s">
        <v>231</v>
      </c>
      <c r="D1737">
        <v>23648</v>
      </c>
      <c r="E1737" t="s">
        <v>150</v>
      </c>
      <c r="F1737" t="s">
        <v>287</v>
      </c>
      <c r="G1737" s="28">
        <v>19</v>
      </c>
      <c r="H1737" s="32">
        <v>3.9</v>
      </c>
      <c r="I1737" s="32">
        <v>595.94000000000005</v>
      </c>
      <c r="J1737" t="s">
        <v>239</v>
      </c>
      <c r="K1737" t="s">
        <v>245</v>
      </c>
      <c r="L1737" t="s">
        <v>235</v>
      </c>
      <c r="M1737" t="s">
        <v>236</v>
      </c>
      <c r="N1737" t="s">
        <v>237</v>
      </c>
      <c r="O1737" s="27">
        <v>46063</v>
      </c>
    </row>
    <row r="1738" spans="2:15" hidden="1" x14ac:dyDescent="0.3">
      <c r="B1738">
        <v>8841219</v>
      </c>
      <c r="C1738" t="s">
        <v>231</v>
      </c>
      <c r="D1738">
        <v>21468</v>
      </c>
      <c r="E1738" t="s">
        <v>150</v>
      </c>
      <c r="F1738" t="s">
        <v>163</v>
      </c>
      <c r="G1738" s="28">
        <v>10</v>
      </c>
      <c r="H1738" s="32">
        <v>3.9</v>
      </c>
      <c r="I1738" s="32">
        <v>139.6</v>
      </c>
      <c r="J1738" t="s">
        <v>239</v>
      </c>
      <c r="K1738" t="s">
        <v>245</v>
      </c>
      <c r="L1738" t="s">
        <v>235</v>
      </c>
      <c r="M1738" t="s">
        <v>236</v>
      </c>
      <c r="N1738" t="s">
        <v>237</v>
      </c>
      <c r="O1738" s="27">
        <v>46063</v>
      </c>
    </row>
    <row r="1739" spans="2:15" hidden="1" x14ac:dyDescent="0.3">
      <c r="B1739">
        <v>3687422</v>
      </c>
      <c r="C1739" t="s">
        <v>260</v>
      </c>
      <c r="D1739">
        <v>68542</v>
      </c>
      <c r="E1739" t="s">
        <v>150</v>
      </c>
      <c r="F1739" t="s">
        <v>326</v>
      </c>
      <c r="G1739" s="28">
        <v>94</v>
      </c>
      <c r="H1739" s="32">
        <v>3.89</v>
      </c>
      <c r="I1739" s="32">
        <v>835.64</v>
      </c>
      <c r="J1739" t="s">
        <v>267</v>
      </c>
      <c r="K1739" t="s">
        <v>245</v>
      </c>
      <c r="L1739" t="s">
        <v>235</v>
      </c>
      <c r="M1739" t="s">
        <v>236</v>
      </c>
      <c r="N1739" t="s">
        <v>237</v>
      </c>
      <c r="O1739" s="27">
        <v>46057</v>
      </c>
    </row>
    <row r="1740" spans="2:15" hidden="1" x14ac:dyDescent="0.3">
      <c r="B1740">
        <v>11593572</v>
      </c>
      <c r="C1740" t="s">
        <v>231</v>
      </c>
      <c r="D1740">
        <v>22674</v>
      </c>
      <c r="E1740" t="s">
        <v>150</v>
      </c>
      <c r="F1740" t="s">
        <v>305</v>
      </c>
      <c r="G1740" s="28">
        <v>20</v>
      </c>
      <c r="H1740" s="32">
        <v>3.88</v>
      </c>
      <c r="I1740" s="32">
        <v>2114.69</v>
      </c>
      <c r="J1740" t="s">
        <v>267</v>
      </c>
      <c r="K1740" t="s">
        <v>245</v>
      </c>
      <c r="L1740" t="s">
        <v>235</v>
      </c>
      <c r="M1740" t="s">
        <v>236</v>
      </c>
      <c r="N1740" t="s">
        <v>237</v>
      </c>
      <c r="O1740" s="27">
        <v>46056</v>
      </c>
    </row>
    <row r="1741" spans="2:15" hidden="1" x14ac:dyDescent="0.3">
      <c r="B1741">
        <v>2229229</v>
      </c>
      <c r="C1741" t="s">
        <v>260</v>
      </c>
      <c r="D1741">
        <v>40901</v>
      </c>
      <c r="E1741" t="s">
        <v>150</v>
      </c>
      <c r="F1741" t="s">
        <v>246</v>
      </c>
      <c r="G1741" s="28">
        <v>15</v>
      </c>
      <c r="H1741" s="32">
        <v>3.88</v>
      </c>
      <c r="I1741" s="32">
        <v>554.16</v>
      </c>
      <c r="J1741" t="s">
        <v>239</v>
      </c>
      <c r="K1741" t="s">
        <v>245</v>
      </c>
      <c r="L1741" t="s">
        <v>235</v>
      </c>
      <c r="M1741" t="s">
        <v>236</v>
      </c>
      <c r="N1741" t="s">
        <v>240</v>
      </c>
      <c r="O1741" s="27">
        <v>46055</v>
      </c>
    </row>
    <row r="1742" spans="2:15" hidden="1" x14ac:dyDescent="0.3">
      <c r="B1742">
        <v>3824485</v>
      </c>
      <c r="C1742" t="s">
        <v>260</v>
      </c>
      <c r="D1742">
        <v>69579</v>
      </c>
      <c r="E1742" t="s">
        <v>150</v>
      </c>
      <c r="F1742" t="s">
        <v>243</v>
      </c>
      <c r="G1742" s="28">
        <v>10</v>
      </c>
      <c r="H1742" s="32">
        <v>3.88</v>
      </c>
      <c r="I1742" s="32">
        <v>270.98</v>
      </c>
      <c r="J1742" t="s">
        <v>239</v>
      </c>
      <c r="K1742" t="s">
        <v>245</v>
      </c>
      <c r="L1742" t="s">
        <v>235</v>
      </c>
      <c r="M1742" t="s">
        <v>236</v>
      </c>
      <c r="N1742" t="s">
        <v>240</v>
      </c>
      <c r="O1742" s="27">
        <v>46072</v>
      </c>
    </row>
    <row r="1743" spans="2:15" hidden="1" x14ac:dyDescent="0.3">
      <c r="B1743">
        <v>5740954</v>
      </c>
      <c r="C1743" t="s">
        <v>260</v>
      </c>
      <c r="D1743">
        <v>23648</v>
      </c>
      <c r="E1743" t="s">
        <v>150</v>
      </c>
      <c r="F1743" t="s">
        <v>163</v>
      </c>
      <c r="G1743" s="28">
        <v>33</v>
      </c>
      <c r="H1743" s="32">
        <v>3.87</v>
      </c>
      <c r="I1743" s="32">
        <v>434.75</v>
      </c>
      <c r="J1743" t="s">
        <v>239</v>
      </c>
      <c r="K1743" t="s">
        <v>245</v>
      </c>
      <c r="L1743" t="s">
        <v>235</v>
      </c>
      <c r="M1743" t="s">
        <v>236</v>
      </c>
      <c r="N1743" t="s">
        <v>237</v>
      </c>
      <c r="O1743" s="27">
        <v>46055</v>
      </c>
    </row>
    <row r="1744" spans="2:15" hidden="1" x14ac:dyDescent="0.3">
      <c r="B1744">
        <v>6905571</v>
      </c>
      <c r="C1744" t="s">
        <v>260</v>
      </c>
      <c r="D1744">
        <v>38517</v>
      </c>
      <c r="E1744" t="s">
        <v>150</v>
      </c>
      <c r="F1744" t="s">
        <v>246</v>
      </c>
      <c r="G1744" s="28">
        <v>12</v>
      </c>
      <c r="H1744" s="32">
        <v>3.87</v>
      </c>
      <c r="I1744" s="32">
        <v>443.32</v>
      </c>
      <c r="J1744" t="s">
        <v>239</v>
      </c>
      <c r="K1744" t="s">
        <v>245</v>
      </c>
      <c r="L1744" t="s">
        <v>235</v>
      </c>
      <c r="M1744" t="s">
        <v>236</v>
      </c>
      <c r="N1744" t="s">
        <v>240</v>
      </c>
      <c r="O1744" s="27">
        <v>46055</v>
      </c>
    </row>
    <row r="1745" spans="2:15" hidden="1" x14ac:dyDescent="0.3">
      <c r="B1745">
        <v>54685</v>
      </c>
      <c r="C1745" t="s">
        <v>260</v>
      </c>
      <c r="D1745">
        <v>22674</v>
      </c>
      <c r="E1745" t="s">
        <v>150</v>
      </c>
      <c r="F1745" t="s">
        <v>342</v>
      </c>
      <c r="G1745" s="28">
        <v>12</v>
      </c>
      <c r="H1745" s="32">
        <v>3.86</v>
      </c>
      <c r="I1745" s="32">
        <v>667.44</v>
      </c>
      <c r="J1745" t="s">
        <v>330</v>
      </c>
      <c r="K1745" t="s">
        <v>234</v>
      </c>
      <c r="L1745" t="s">
        <v>235</v>
      </c>
      <c r="M1745" t="s">
        <v>236</v>
      </c>
      <c r="N1745" t="s">
        <v>240</v>
      </c>
      <c r="O1745" s="27">
        <v>46063</v>
      </c>
    </row>
    <row r="1746" spans="2:15" hidden="1" x14ac:dyDescent="0.3">
      <c r="B1746">
        <v>5567161</v>
      </c>
      <c r="C1746" t="s">
        <v>231</v>
      </c>
      <c r="D1746">
        <v>24415</v>
      </c>
      <c r="E1746" t="s">
        <v>150</v>
      </c>
      <c r="F1746" t="s">
        <v>387</v>
      </c>
      <c r="G1746" s="28">
        <v>66</v>
      </c>
      <c r="H1746" s="32">
        <v>3.85</v>
      </c>
      <c r="I1746" s="32">
        <v>748.45</v>
      </c>
      <c r="J1746" t="s">
        <v>330</v>
      </c>
      <c r="K1746" t="s">
        <v>245</v>
      </c>
      <c r="L1746" t="s">
        <v>235</v>
      </c>
      <c r="M1746" t="s">
        <v>236</v>
      </c>
      <c r="N1746" t="s">
        <v>240</v>
      </c>
      <c r="O1746" s="27">
        <v>46063</v>
      </c>
    </row>
    <row r="1747" spans="2:15" hidden="1" x14ac:dyDescent="0.3">
      <c r="B1747">
        <v>4216928</v>
      </c>
      <c r="C1747" t="s">
        <v>231</v>
      </c>
      <c r="D1747">
        <v>69519</v>
      </c>
      <c r="E1747" t="s">
        <v>150</v>
      </c>
      <c r="F1747" t="s">
        <v>282</v>
      </c>
      <c r="G1747" s="28">
        <v>7</v>
      </c>
      <c r="H1747" s="32">
        <v>3.83</v>
      </c>
      <c r="I1747" s="32">
        <v>357.58</v>
      </c>
      <c r="J1747" t="s">
        <v>239</v>
      </c>
      <c r="K1747" t="s">
        <v>245</v>
      </c>
      <c r="L1747" t="s">
        <v>235</v>
      </c>
      <c r="M1747" t="s">
        <v>236</v>
      </c>
      <c r="N1747" t="s">
        <v>240</v>
      </c>
      <c r="O1747" s="27">
        <v>46063</v>
      </c>
    </row>
    <row r="1748" spans="2:15" hidden="1" x14ac:dyDescent="0.3">
      <c r="B1748">
        <v>4216928</v>
      </c>
      <c r="C1748" t="s">
        <v>231</v>
      </c>
      <c r="D1748">
        <v>69519</v>
      </c>
      <c r="E1748" t="s">
        <v>150</v>
      </c>
      <c r="F1748" t="s">
        <v>246</v>
      </c>
      <c r="G1748" s="28">
        <v>8</v>
      </c>
      <c r="H1748" s="32">
        <v>3.83</v>
      </c>
      <c r="I1748" s="32">
        <v>297.19</v>
      </c>
      <c r="J1748" t="s">
        <v>239</v>
      </c>
      <c r="K1748" t="s">
        <v>245</v>
      </c>
      <c r="L1748" t="s">
        <v>235</v>
      </c>
      <c r="M1748" t="s">
        <v>236</v>
      </c>
      <c r="N1748" t="s">
        <v>237</v>
      </c>
      <c r="O1748" s="27">
        <v>46063</v>
      </c>
    </row>
    <row r="1749" spans="2:15" hidden="1" x14ac:dyDescent="0.3">
      <c r="B1749">
        <v>8781959</v>
      </c>
      <c r="C1749" t="s">
        <v>231</v>
      </c>
      <c r="D1749">
        <v>72444</v>
      </c>
      <c r="E1749" t="s">
        <v>150</v>
      </c>
      <c r="F1749" t="s">
        <v>160</v>
      </c>
      <c r="G1749" s="28">
        <v>11</v>
      </c>
      <c r="H1749" s="32">
        <v>3.82</v>
      </c>
      <c r="I1749" s="32">
        <v>958.36</v>
      </c>
      <c r="J1749" t="s">
        <v>239</v>
      </c>
      <c r="K1749" t="s">
        <v>245</v>
      </c>
      <c r="L1749" t="s">
        <v>235</v>
      </c>
      <c r="M1749" t="s">
        <v>236</v>
      </c>
      <c r="N1749" t="s">
        <v>237</v>
      </c>
      <c r="O1749" s="27">
        <v>46063</v>
      </c>
    </row>
    <row r="1750" spans="2:15" hidden="1" x14ac:dyDescent="0.3">
      <c r="B1750">
        <v>8841219</v>
      </c>
      <c r="C1750" t="s">
        <v>231</v>
      </c>
      <c r="D1750">
        <v>21468</v>
      </c>
      <c r="E1750" t="s">
        <v>150</v>
      </c>
      <c r="F1750" t="s">
        <v>369</v>
      </c>
      <c r="G1750" s="28">
        <v>6</v>
      </c>
      <c r="H1750" s="32">
        <v>3.81</v>
      </c>
      <c r="I1750" s="32">
        <v>330.63</v>
      </c>
      <c r="J1750" t="s">
        <v>239</v>
      </c>
      <c r="K1750" t="s">
        <v>245</v>
      </c>
      <c r="L1750" t="s">
        <v>235</v>
      </c>
      <c r="M1750" t="s">
        <v>236</v>
      </c>
      <c r="N1750" t="s">
        <v>240</v>
      </c>
      <c r="O1750" s="27">
        <v>46063</v>
      </c>
    </row>
    <row r="1751" spans="2:15" hidden="1" x14ac:dyDescent="0.3">
      <c r="B1751">
        <v>3731792</v>
      </c>
      <c r="C1751" t="s">
        <v>260</v>
      </c>
      <c r="D1751">
        <v>69579</v>
      </c>
      <c r="E1751" t="s">
        <v>150</v>
      </c>
      <c r="F1751" t="s">
        <v>369</v>
      </c>
      <c r="G1751" s="28">
        <v>6</v>
      </c>
      <c r="H1751" s="32">
        <v>3.81</v>
      </c>
      <c r="I1751" s="32">
        <v>330.63</v>
      </c>
      <c r="J1751" t="s">
        <v>239</v>
      </c>
      <c r="K1751" t="s">
        <v>245</v>
      </c>
      <c r="L1751" t="s">
        <v>235</v>
      </c>
      <c r="M1751" t="s">
        <v>236</v>
      </c>
      <c r="N1751" t="s">
        <v>240</v>
      </c>
      <c r="O1751" s="27">
        <v>46063</v>
      </c>
    </row>
    <row r="1752" spans="2:15" hidden="1" x14ac:dyDescent="0.3">
      <c r="B1752">
        <v>2041860</v>
      </c>
      <c r="C1752" t="s">
        <v>231</v>
      </c>
      <c r="D1752">
        <v>40901</v>
      </c>
      <c r="E1752" t="s">
        <v>150</v>
      </c>
      <c r="F1752" t="s">
        <v>301</v>
      </c>
      <c r="G1752" s="28">
        <v>13</v>
      </c>
      <c r="H1752" s="32">
        <v>3.8</v>
      </c>
      <c r="I1752" s="32">
        <v>105.83</v>
      </c>
      <c r="J1752" t="s">
        <v>267</v>
      </c>
      <c r="K1752" t="s">
        <v>245</v>
      </c>
      <c r="L1752" t="s">
        <v>235</v>
      </c>
      <c r="M1752" t="s">
        <v>236</v>
      </c>
      <c r="N1752" t="s">
        <v>240</v>
      </c>
      <c r="O1752" s="27">
        <v>46055</v>
      </c>
    </row>
    <row r="1753" spans="2:15" hidden="1" x14ac:dyDescent="0.3">
      <c r="B1753">
        <v>4927477</v>
      </c>
      <c r="C1753" t="s">
        <v>231</v>
      </c>
      <c r="D1753">
        <v>21468</v>
      </c>
      <c r="E1753" t="s">
        <v>150</v>
      </c>
      <c r="F1753" t="s">
        <v>369</v>
      </c>
      <c r="G1753" s="28">
        <v>4</v>
      </c>
      <c r="H1753" s="32">
        <v>3.8</v>
      </c>
      <c r="I1753" s="32">
        <v>206.74</v>
      </c>
      <c r="J1753" t="s">
        <v>239</v>
      </c>
      <c r="K1753" t="s">
        <v>245</v>
      </c>
      <c r="L1753" t="s">
        <v>235</v>
      </c>
      <c r="M1753" t="s">
        <v>236</v>
      </c>
      <c r="N1753" t="s">
        <v>240</v>
      </c>
      <c r="O1753" s="27">
        <v>46055</v>
      </c>
    </row>
    <row r="1754" spans="2:15" hidden="1" x14ac:dyDescent="0.3">
      <c r="B1754">
        <v>12025620</v>
      </c>
      <c r="C1754" t="s">
        <v>231</v>
      </c>
      <c r="D1754">
        <v>38517</v>
      </c>
      <c r="E1754" t="s">
        <v>150</v>
      </c>
      <c r="F1754" t="s">
        <v>287</v>
      </c>
      <c r="G1754" s="28">
        <v>18</v>
      </c>
      <c r="H1754" s="32">
        <v>3.78</v>
      </c>
      <c r="I1754" s="32">
        <v>564.73</v>
      </c>
      <c r="J1754" t="s">
        <v>239</v>
      </c>
      <c r="K1754" t="s">
        <v>245</v>
      </c>
      <c r="L1754" t="s">
        <v>235</v>
      </c>
      <c r="M1754" t="s">
        <v>236</v>
      </c>
      <c r="N1754" t="s">
        <v>237</v>
      </c>
      <c r="O1754" s="27">
        <v>46063</v>
      </c>
    </row>
    <row r="1755" spans="2:15" hidden="1" x14ac:dyDescent="0.3">
      <c r="B1755">
        <v>3461330</v>
      </c>
      <c r="C1755" t="s">
        <v>260</v>
      </c>
      <c r="D1755">
        <v>21468</v>
      </c>
      <c r="E1755" t="s">
        <v>150</v>
      </c>
      <c r="F1755" t="s">
        <v>164</v>
      </c>
      <c r="G1755" s="28">
        <v>12</v>
      </c>
      <c r="H1755" s="32">
        <v>3.78</v>
      </c>
      <c r="I1755" s="32">
        <v>583.34</v>
      </c>
      <c r="J1755" t="s">
        <v>239</v>
      </c>
      <c r="K1755" t="s">
        <v>245</v>
      </c>
      <c r="L1755" t="s">
        <v>235</v>
      </c>
      <c r="M1755" t="s">
        <v>236</v>
      </c>
      <c r="N1755" t="s">
        <v>240</v>
      </c>
      <c r="O1755" s="27">
        <v>46063</v>
      </c>
    </row>
    <row r="1756" spans="2:15" hidden="1" x14ac:dyDescent="0.3">
      <c r="B1756">
        <v>9796204</v>
      </c>
      <c r="C1756" t="s">
        <v>260</v>
      </c>
      <c r="D1756">
        <v>21468</v>
      </c>
      <c r="E1756" t="s">
        <v>150</v>
      </c>
      <c r="F1756" t="s">
        <v>243</v>
      </c>
      <c r="G1756" s="28">
        <v>10</v>
      </c>
      <c r="H1756" s="32">
        <v>3.78</v>
      </c>
      <c r="I1756" s="32">
        <v>270.95</v>
      </c>
      <c r="J1756" t="s">
        <v>239</v>
      </c>
      <c r="K1756" t="s">
        <v>245</v>
      </c>
      <c r="L1756" t="s">
        <v>235</v>
      </c>
      <c r="M1756" t="s">
        <v>236</v>
      </c>
      <c r="N1756" t="s">
        <v>240</v>
      </c>
      <c r="O1756" s="27">
        <v>46072</v>
      </c>
    </row>
    <row r="1757" spans="2:15" hidden="1" x14ac:dyDescent="0.3">
      <c r="B1757">
        <v>2412490</v>
      </c>
      <c r="C1757" t="s">
        <v>231</v>
      </c>
      <c r="D1757">
        <v>71881</v>
      </c>
      <c r="E1757" t="s">
        <v>150</v>
      </c>
      <c r="F1757" t="s">
        <v>388</v>
      </c>
      <c r="G1757" s="28">
        <v>32</v>
      </c>
      <c r="H1757" s="32">
        <v>3.76</v>
      </c>
      <c r="I1757" s="32">
        <v>427.2</v>
      </c>
      <c r="J1757" t="s">
        <v>330</v>
      </c>
      <c r="K1757" t="s">
        <v>234</v>
      </c>
      <c r="L1757" t="s">
        <v>235</v>
      </c>
      <c r="M1757" t="s">
        <v>236</v>
      </c>
      <c r="N1757" t="s">
        <v>237</v>
      </c>
      <c r="O1757" s="27">
        <v>46057</v>
      </c>
    </row>
    <row r="1758" spans="2:15" hidden="1" x14ac:dyDescent="0.3">
      <c r="B1758">
        <v>8230892</v>
      </c>
      <c r="C1758" t="s">
        <v>231</v>
      </c>
      <c r="D1758">
        <v>69519</v>
      </c>
      <c r="E1758" t="s">
        <v>150</v>
      </c>
      <c r="F1758" t="s">
        <v>287</v>
      </c>
      <c r="G1758" s="28">
        <v>18</v>
      </c>
      <c r="H1758" s="32">
        <v>3.75</v>
      </c>
      <c r="I1758" s="32">
        <v>564.73</v>
      </c>
      <c r="J1758" t="s">
        <v>239</v>
      </c>
      <c r="K1758" t="s">
        <v>245</v>
      </c>
      <c r="L1758" t="s">
        <v>235</v>
      </c>
      <c r="M1758" t="s">
        <v>236</v>
      </c>
      <c r="N1758" t="s">
        <v>237</v>
      </c>
      <c r="O1758" s="27">
        <v>46063</v>
      </c>
    </row>
    <row r="1759" spans="2:15" hidden="1" x14ac:dyDescent="0.3">
      <c r="B1759">
        <v>15518055</v>
      </c>
      <c r="C1759" t="s">
        <v>231</v>
      </c>
      <c r="D1759">
        <v>22674</v>
      </c>
      <c r="E1759" t="s">
        <v>150</v>
      </c>
      <c r="F1759" t="s">
        <v>337</v>
      </c>
      <c r="G1759" s="28">
        <v>18</v>
      </c>
      <c r="H1759" s="32">
        <v>3.75</v>
      </c>
      <c r="I1759" s="32">
        <v>653.83000000000004</v>
      </c>
      <c r="J1759" t="s">
        <v>239</v>
      </c>
      <c r="K1759" t="s">
        <v>245</v>
      </c>
      <c r="L1759" t="s">
        <v>235</v>
      </c>
      <c r="M1759" t="s">
        <v>236</v>
      </c>
      <c r="N1759" t="s">
        <v>237</v>
      </c>
      <c r="O1759" s="27">
        <v>46063</v>
      </c>
    </row>
    <row r="1760" spans="2:15" hidden="1" x14ac:dyDescent="0.3">
      <c r="B1760">
        <v>9303108</v>
      </c>
      <c r="C1760" t="s">
        <v>260</v>
      </c>
      <c r="D1760">
        <v>69493</v>
      </c>
      <c r="E1760" t="s">
        <v>150</v>
      </c>
      <c r="F1760" t="s">
        <v>274</v>
      </c>
      <c r="G1760" s="28">
        <v>45</v>
      </c>
      <c r="H1760" s="32">
        <v>3.75</v>
      </c>
      <c r="I1760" s="32">
        <v>660.92</v>
      </c>
      <c r="J1760" t="s">
        <v>239</v>
      </c>
      <c r="K1760" t="s">
        <v>245</v>
      </c>
      <c r="L1760" t="s">
        <v>235</v>
      </c>
      <c r="M1760" t="s">
        <v>236</v>
      </c>
      <c r="N1760" t="s">
        <v>237</v>
      </c>
      <c r="O1760" s="27">
        <v>46055</v>
      </c>
    </row>
    <row r="1761" spans="2:15" hidden="1" x14ac:dyDescent="0.3">
      <c r="B1761">
        <v>3911170</v>
      </c>
      <c r="C1761" t="s">
        <v>231</v>
      </c>
      <c r="D1761">
        <v>21468</v>
      </c>
      <c r="E1761" t="s">
        <v>150</v>
      </c>
      <c r="F1761" t="s">
        <v>164</v>
      </c>
      <c r="G1761" s="28">
        <v>11</v>
      </c>
      <c r="H1761" s="32">
        <v>3.74</v>
      </c>
      <c r="I1761" s="32">
        <v>534.83000000000004</v>
      </c>
      <c r="J1761" t="s">
        <v>239</v>
      </c>
      <c r="K1761" t="s">
        <v>245</v>
      </c>
      <c r="L1761" t="s">
        <v>235</v>
      </c>
      <c r="M1761" t="s">
        <v>236</v>
      </c>
      <c r="N1761" t="s">
        <v>240</v>
      </c>
      <c r="O1761" s="27">
        <v>46063</v>
      </c>
    </row>
    <row r="1762" spans="2:15" hidden="1" x14ac:dyDescent="0.3">
      <c r="B1762">
        <v>9796204</v>
      </c>
      <c r="C1762" t="s">
        <v>260</v>
      </c>
      <c r="D1762">
        <v>21468</v>
      </c>
      <c r="E1762" t="s">
        <v>150</v>
      </c>
      <c r="F1762" t="s">
        <v>298</v>
      </c>
      <c r="G1762" s="28">
        <v>13</v>
      </c>
      <c r="H1762" s="32">
        <v>3.74</v>
      </c>
      <c r="I1762" s="32">
        <v>231.28</v>
      </c>
      <c r="J1762" t="s">
        <v>239</v>
      </c>
      <c r="K1762" t="s">
        <v>245</v>
      </c>
      <c r="L1762" t="s">
        <v>235</v>
      </c>
      <c r="M1762" t="s">
        <v>236</v>
      </c>
      <c r="N1762" t="s">
        <v>240</v>
      </c>
      <c r="O1762" s="27">
        <v>46072</v>
      </c>
    </row>
    <row r="1763" spans="2:15" hidden="1" x14ac:dyDescent="0.3">
      <c r="B1763">
        <v>9673848</v>
      </c>
      <c r="C1763" t="s">
        <v>231</v>
      </c>
      <c r="D1763">
        <v>22674</v>
      </c>
      <c r="E1763" t="s">
        <v>150</v>
      </c>
      <c r="F1763" t="s">
        <v>369</v>
      </c>
      <c r="G1763" s="28">
        <v>4</v>
      </c>
      <c r="H1763" s="32">
        <v>3.73</v>
      </c>
      <c r="I1763" s="32">
        <v>206.74</v>
      </c>
      <c r="J1763" t="s">
        <v>239</v>
      </c>
      <c r="K1763" t="s">
        <v>245</v>
      </c>
      <c r="L1763" t="s">
        <v>235</v>
      </c>
      <c r="M1763" t="s">
        <v>236</v>
      </c>
      <c r="N1763" t="s">
        <v>240</v>
      </c>
      <c r="O1763" s="27">
        <v>46055</v>
      </c>
    </row>
    <row r="1764" spans="2:15" hidden="1" x14ac:dyDescent="0.3">
      <c r="B1764">
        <v>4415330</v>
      </c>
      <c r="C1764" t="s">
        <v>260</v>
      </c>
      <c r="D1764">
        <v>22674</v>
      </c>
      <c r="E1764" t="s">
        <v>150</v>
      </c>
      <c r="F1764" t="s">
        <v>287</v>
      </c>
      <c r="G1764" s="28">
        <v>18</v>
      </c>
      <c r="H1764" s="32">
        <v>3.73</v>
      </c>
      <c r="I1764" s="32">
        <v>564.73</v>
      </c>
      <c r="J1764" t="s">
        <v>239</v>
      </c>
      <c r="K1764" t="s">
        <v>245</v>
      </c>
      <c r="L1764" t="s">
        <v>235</v>
      </c>
      <c r="M1764" t="s">
        <v>236</v>
      </c>
      <c r="N1764" t="s">
        <v>237</v>
      </c>
      <c r="O1764" s="27">
        <v>46063</v>
      </c>
    </row>
    <row r="1765" spans="2:15" hidden="1" x14ac:dyDescent="0.3">
      <c r="B1765">
        <v>3436001</v>
      </c>
      <c r="C1765" t="s">
        <v>260</v>
      </c>
      <c r="D1765">
        <v>21468</v>
      </c>
      <c r="E1765" t="s">
        <v>150</v>
      </c>
      <c r="F1765" t="s">
        <v>163</v>
      </c>
      <c r="G1765" s="28">
        <v>31</v>
      </c>
      <c r="H1765" s="32">
        <v>3.73</v>
      </c>
      <c r="I1765" s="32">
        <v>408.4</v>
      </c>
      <c r="J1765" t="s">
        <v>239</v>
      </c>
      <c r="K1765" t="s">
        <v>245</v>
      </c>
      <c r="L1765" t="s">
        <v>235</v>
      </c>
      <c r="M1765" t="s">
        <v>236</v>
      </c>
      <c r="N1765" t="s">
        <v>237</v>
      </c>
      <c r="O1765" s="27">
        <v>46055</v>
      </c>
    </row>
    <row r="1766" spans="2:15" hidden="1" x14ac:dyDescent="0.3">
      <c r="B1766">
        <v>3663401</v>
      </c>
      <c r="C1766" t="s">
        <v>231</v>
      </c>
      <c r="D1766">
        <v>21468</v>
      </c>
      <c r="E1766" t="s">
        <v>150</v>
      </c>
      <c r="F1766" t="s">
        <v>163</v>
      </c>
      <c r="G1766" s="28">
        <v>34</v>
      </c>
      <c r="H1766" s="32">
        <v>3.71</v>
      </c>
      <c r="I1766" s="32">
        <v>447.92</v>
      </c>
      <c r="J1766" t="s">
        <v>239</v>
      </c>
      <c r="K1766" t="s">
        <v>245</v>
      </c>
      <c r="L1766" t="s">
        <v>235</v>
      </c>
      <c r="M1766" t="s">
        <v>236</v>
      </c>
      <c r="N1766" t="s">
        <v>237</v>
      </c>
      <c r="O1766" s="27">
        <v>46055</v>
      </c>
    </row>
    <row r="1767" spans="2:15" hidden="1" x14ac:dyDescent="0.3">
      <c r="B1767">
        <v>9303108</v>
      </c>
      <c r="C1767" t="s">
        <v>260</v>
      </c>
      <c r="D1767">
        <v>69493</v>
      </c>
      <c r="E1767" t="s">
        <v>150</v>
      </c>
      <c r="F1767" t="s">
        <v>277</v>
      </c>
      <c r="G1767" s="28">
        <v>18</v>
      </c>
      <c r="H1767" s="32">
        <v>3.71</v>
      </c>
      <c r="I1767" s="32">
        <v>653.13</v>
      </c>
      <c r="J1767" t="s">
        <v>239</v>
      </c>
      <c r="K1767" t="s">
        <v>245</v>
      </c>
      <c r="L1767" t="s">
        <v>235</v>
      </c>
      <c r="M1767" t="s">
        <v>236</v>
      </c>
      <c r="N1767" t="s">
        <v>237</v>
      </c>
      <c r="O1767" s="27">
        <v>46055</v>
      </c>
    </row>
    <row r="1768" spans="2:15" hidden="1" x14ac:dyDescent="0.3">
      <c r="B1768">
        <v>3845505</v>
      </c>
      <c r="C1768" t="s">
        <v>260</v>
      </c>
      <c r="D1768">
        <v>22674</v>
      </c>
      <c r="E1768" t="s">
        <v>150</v>
      </c>
      <c r="F1768" t="s">
        <v>379</v>
      </c>
      <c r="G1768" s="28">
        <v>42</v>
      </c>
      <c r="H1768" s="32">
        <v>3.7</v>
      </c>
      <c r="I1768" s="32">
        <v>589.26</v>
      </c>
      <c r="J1768" t="s">
        <v>330</v>
      </c>
      <c r="K1768" t="s">
        <v>234</v>
      </c>
      <c r="L1768" t="s">
        <v>235</v>
      </c>
      <c r="M1768" t="s">
        <v>236</v>
      </c>
      <c r="N1768" t="s">
        <v>237</v>
      </c>
      <c r="O1768" s="27">
        <v>46056</v>
      </c>
    </row>
    <row r="1769" spans="2:15" hidden="1" x14ac:dyDescent="0.3">
      <c r="B1769">
        <v>18731282</v>
      </c>
      <c r="C1769" t="s">
        <v>231</v>
      </c>
      <c r="D1769">
        <v>40901</v>
      </c>
      <c r="E1769" t="s">
        <v>150</v>
      </c>
      <c r="F1769" t="s">
        <v>164</v>
      </c>
      <c r="G1769" s="28">
        <v>11</v>
      </c>
      <c r="H1769" s="32">
        <v>3.69</v>
      </c>
      <c r="I1769" s="32">
        <v>534.83000000000004</v>
      </c>
      <c r="J1769" t="s">
        <v>239</v>
      </c>
      <c r="K1769" t="s">
        <v>245</v>
      </c>
      <c r="L1769" t="s">
        <v>235</v>
      </c>
      <c r="M1769" t="s">
        <v>236</v>
      </c>
      <c r="N1769" t="s">
        <v>240</v>
      </c>
      <c r="O1769" s="27">
        <v>46063</v>
      </c>
    </row>
    <row r="1770" spans="2:15" hidden="1" x14ac:dyDescent="0.3">
      <c r="B1770">
        <v>3953521</v>
      </c>
      <c r="C1770" t="s">
        <v>231</v>
      </c>
      <c r="D1770">
        <v>38517</v>
      </c>
      <c r="E1770" t="s">
        <v>150</v>
      </c>
      <c r="F1770" t="s">
        <v>337</v>
      </c>
      <c r="G1770" s="28">
        <v>17</v>
      </c>
      <c r="H1770" s="32">
        <v>3.69</v>
      </c>
      <c r="I1770" s="32">
        <v>617.58000000000004</v>
      </c>
      <c r="J1770" t="s">
        <v>239</v>
      </c>
      <c r="K1770" t="s">
        <v>245</v>
      </c>
      <c r="L1770" t="s">
        <v>235</v>
      </c>
      <c r="M1770" t="s">
        <v>236</v>
      </c>
      <c r="N1770" t="s">
        <v>237</v>
      </c>
      <c r="O1770" s="27">
        <v>46063</v>
      </c>
    </row>
    <row r="1771" spans="2:15" hidden="1" x14ac:dyDescent="0.3">
      <c r="B1771">
        <v>3593981</v>
      </c>
      <c r="C1771" t="s">
        <v>260</v>
      </c>
      <c r="D1771">
        <v>23648</v>
      </c>
      <c r="E1771" t="s">
        <v>150</v>
      </c>
      <c r="F1771" t="s">
        <v>246</v>
      </c>
      <c r="G1771" s="28">
        <v>6</v>
      </c>
      <c r="H1771" s="32">
        <v>3.69</v>
      </c>
      <c r="I1771" s="32">
        <v>221.7</v>
      </c>
      <c r="J1771" t="s">
        <v>239</v>
      </c>
      <c r="K1771" t="s">
        <v>245</v>
      </c>
      <c r="L1771" t="s">
        <v>235</v>
      </c>
      <c r="M1771" t="s">
        <v>236</v>
      </c>
      <c r="N1771" t="s">
        <v>237</v>
      </c>
      <c r="O1771" s="27">
        <v>46055</v>
      </c>
    </row>
    <row r="1772" spans="2:15" hidden="1" x14ac:dyDescent="0.3">
      <c r="B1772">
        <v>8841219</v>
      </c>
      <c r="C1772" t="s">
        <v>231</v>
      </c>
      <c r="D1772">
        <v>21468</v>
      </c>
      <c r="E1772" t="s">
        <v>150</v>
      </c>
      <c r="F1772" t="s">
        <v>282</v>
      </c>
      <c r="G1772" s="28">
        <v>6</v>
      </c>
      <c r="H1772" s="32">
        <v>3.67</v>
      </c>
      <c r="I1772" s="32">
        <v>306.52</v>
      </c>
      <c r="J1772" t="s">
        <v>239</v>
      </c>
      <c r="K1772" t="s">
        <v>245</v>
      </c>
      <c r="L1772" t="s">
        <v>235</v>
      </c>
      <c r="M1772" t="s">
        <v>236</v>
      </c>
      <c r="N1772" t="s">
        <v>240</v>
      </c>
      <c r="O1772" s="27">
        <v>46063</v>
      </c>
    </row>
    <row r="1773" spans="2:15" hidden="1" x14ac:dyDescent="0.3">
      <c r="B1773">
        <v>8668372</v>
      </c>
      <c r="C1773" t="s">
        <v>231</v>
      </c>
      <c r="D1773">
        <v>25619</v>
      </c>
      <c r="E1773" t="s">
        <v>150</v>
      </c>
      <c r="F1773" t="s">
        <v>246</v>
      </c>
      <c r="G1773" s="28">
        <v>10</v>
      </c>
      <c r="H1773" s="32">
        <v>3.66</v>
      </c>
      <c r="I1773" s="32">
        <v>369.5</v>
      </c>
      <c r="J1773" t="s">
        <v>239</v>
      </c>
      <c r="K1773" t="s">
        <v>245</v>
      </c>
      <c r="L1773" t="s">
        <v>235</v>
      </c>
      <c r="M1773" t="s">
        <v>236</v>
      </c>
      <c r="N1773" t="s">
        <v>237</v>
      </c>
      <c r="O1773" s="27">
        <v>46055</v>
      </c>
    </row>
    <row r="1774" spans="2:15" hidden="1" x14ac:dyDescent="0.3">
      <c r="B1774">
        <v>3731792</v>
      </c>
      <c r="C1774" t="s">
        <v>260</v>
      </c>
      <c r="D1774">
        <v>69579</v>
      </c>
      <c r="E1774" t="s">
        <v>150</v>
      </c>
      <c r="F1774" t="s">
        <v>282</v>
      </c>
      <c r="G1774" s="28">
        <v>6</v>
      </c>
      <c r="H1774" s="32">
        <v>3.66</v>
      </c>
      <c r="I1774" s="32">
        <v>306.5</v>
      </c>
      <c r="J1774" t="s">
        <v>239</v>
      </c>
      <c r="K1774" t="s">
        <v>245</v>
      </c>
      <c r="L1774" t="s">
        <v>235</v>
      </c>
      <c r="M1774" t="s">
        <v>236</v>
      </c>
      <c r="N1774" t="s">
        <v>240</v>
      </c>
      <c r="O1774" s="27">
        <v>46063</v>
      </c>
    </row>
    <row r="1775" spans="2:15" hidden="1" x14ac:dyDescent="0.3">
      <c r="B1775">
        <v>366105</v>
      </c>
      <c r="C1775" t="s">
        <v>231</v>
      </c>
      <c r="D1775">
        <v>69519</v>
      </c>
      <c r="E1775" t="s">
        <v>150</v>
      </c>
      <c r="F1775" t="s">
        <v>339</v>
      </c>
      <c r="G1775" s="28">
        <v>39</v>
      </c>
      <c r="H1775" s="32">
        <v>3.65</v>
      </c>
      <c r="I1775" s="32">
        <v>3105.63</v>
      </c>
      <c r="J1775" t="s">
        <v>267</v>
      </c>
      <c r="K1775" t="s">
        <v>245</v>
      </c>
      <c r="L1775" t="s">
        <v>235</v>
      </c>
      <c r="M1775" t="s">
        <v>236</v>
      </c>
      <c r="N1775" t="s">
        <v>237</v>
      </c>
      <c r="O1775" s="27">
        <v>46063</v>
      </c>
    </row>
    <row r="1776" spans="2:15" hidden="1" x14ac:dyDescent="0.3">
      <c r="B1776">
        <v>15083827</v>
      </c>
      <c r="C1776" t="s">
        <v>260</v>
      </c>
      <c r="D1776">
        <v>69493</v>
      </c>
      <c r="E1776" t="s">
        <v>150</v>
      </c>
      <c r="F1776" t="s">
        <v>164</v>
      </c>
      <c r="G1776" s="28">
        <v>11</v>
      </c>
      <c r="H1776" s="32">
        <v>3.64</v>
      </c>
      <c r="I1776" s="32">
        <v>534.83000000000004</v>
      </c>
      <c r="J1776" t="s">
        <v>239</v>
      </c>
      <c r="K1776" t="s">
        <v>245</v>
      </c>
      <c r="L1776" t="s">
        <v>235</v>
      </c>
      <c r="M1776" t="s">
        <v>236</v>
      </c>
      <c r="N1776" t="s">
        <v>240</v>
      </c>
      <c r="O1776" s="27">
        <v>46063</v>
      </c>
    </row>
    <row r="1777" spans="2:15" hidden="1" x14ac:dyDescent="0.3">
      <c r="B1777">
        <v>2013549</v>
      </c>
      <c r="C1777" t="s">
        <v>231</v>
      </c>
      <c r="D1777">
        <v>23648</v>
      </c>
      <c r="E1777" t="s">
        <v>150</v>
      </c>
      <c r="F1777" t="s">
        <v>379</v>
      </c>
      <c r="G1777" s="28">
        <v>50</v>
      </c>
      <c r="H1777" s="32">
        <v>3.63</v>
      </c>
      <c r="I1777" s="32">
        <v>706.27</v>
      </c>
      <c r="J1777" t="s">
        <v>330</v>
      </c>
      <c r="K1777" t="s">
        <v>234</v>
      </c>
      <c r="L1777" t="s">
        <v>235</v>
      </c>
      <c r="M1777" t="s">
        <v>236</v>
      </c>
      <c r="N1777" t="s">
        <v>237</v>
      </c>
      <c r="O1777" s="27">
        <v>46059</v>
      </c>
    </row>
    <row r="1778" spans="2:15" hidden="1" x14ac:dyDescent="0.3">
      <c r="B1778">
        <v>2727175</v>
      </c>
      <c r="C1778" t="s">
        <v>231</v>
      </c>
      <c r="D1778">
        <v>23648</v>
      </c>
      <c r="E1778" t="s">
        <v>150</v>
      </c>
      <c r="F1778" t="s">
        <v>164</v>
      </c>
      <c r="G1778" s="28">
        <v>11</v>
      </c>
      <c r="H1778" s="32">
        <v>3.63</v>
      </c>
      <c r="I1778" s="32">
        <v>534.83000000000004</v>
      </c>
      <c r="J1778" t="s">
        <v>239</v>
      </c>
      <c r="K1778" t="s">
        <v>245</v>
      </c>
      <c r="L1778" t="s">
        <v>235</v>
      </c>
      <c r="M1778" t="s">
        <v>236</v>
      </c>
      <c r="N1778" t="s">
        <v>240</v>
      </c>
      <c r="O1778" s="27">
        <v>46063</v>
      </c>
    </row>
    <row r="1779" spans="2:15" hidden="1" x14ac:dyDescent="0.3">
      <c r="B1779">
        <v>4333412</v>
      </c>
      <c r="C1779" t="s">
        <v>231</v>
      </c>
      <c r="D1779">
        <v>69579</v>
      </c>
      <c r="E1779" t="s">
        <v>150</v>
      </c>
      <c r="F1779" t="s">
        <v>246</v>
      </c>
      <c r="G1779" s="28">
        <v>7</v>
      </c>
      <c r="H1779" s="32">
        <v>3.63</v>
      </c>
      <c r="I1779" s="32">
        <v>260.02999999999997</v>
      </c>
      <c r="J1779" t="s">
        <v>239</v>
      </c>
      <c r="K1779" t="s">
        <v>245</v>
      </c>
      <c r="L1779" t="s">
        <v>235</v>
      </c>
      <c r="M1779" t="s">
        <v>236</v>
      </c>
      <c r="N1779" t="s">
        <v>237</v>
      </c>
      <c r="O1779" s="27">
        <v>46063</v>
      </c>
    </row>
    <row r="1780" spans="2:15" hidden="1" x14ac:dyDescent="0.3">
      <c r="B1780">
        <v>18805586</v>
      </c>
      <c r="C1780" t="s">
        <v>260</v>
      </c>
      <c r="D1780">
        <v>23410</v>
      </c>
      <c r="E1780" t="s">
        <v>150</v>
      </c>
      <c r="F1780" t="s">
        <v>164</v>
      </c>
      <c r="G1780" s="28">
        <v>11</v>
      </c>
      <c r="H1780" s="32">
        <v>3.63</v>
      </c>
      <c r="I1780" s="32">
        <v>534.83000000000004</v>
      </c>
      <c r="J1780" t="s">
        <v>239</v>
      </c>
      <c r="K1780" t="s">
        <v>245</v>
      </c>
      <c r="L1780" t="s">
        <v>235</v>
      </c>
      <c r="M1780" t="s">
        <v>236</v>
      </c>
      <c r="N1780" t="s">
        <v>240</v>
      </c>
      <c r="O1780" s="27">
        <v>46063</v>
      </c>
    </row>
    <row r="1781" spans="2:15" hidden="1" x14ac:dyDescent="0.3">
      <c r="B1781">
        <v>18547873</v>
      </c>
      <c r="C1781" t="s">
        <v>260</v>
      </c>
      <c r="D1781">
        <v>38517</v>
      </c>
      <c r="E1781" t="s">
        <v>150</v>
      </c>
      <c r="F1781" t="s">
        <v>276</v>
      </c>
      <c r="G1781" s="28">
        <v>17</v>
      </c>
      <c r="H1781" s="32">
        <v>3.62</v>
      </c>
      <c r="I1781" s="32">
        <v>514.6</v>
      </c>
      <c r="J1781" t="s">
        <v>239</v>
      </c>
      <c r="K1781" t="s">
        <v>245</v>
      </c>
      <c r="L1781" t="s">
        <v>235</v>
      </c>
      <c r="M1781" t="s">
        <v>236</v>
      </c>
      <c r="N1781" t="s">
        <v>240</v>
      </c>
      <c r="O1781" s="27">
        <v>46055</v>
      </c>
    </row>
    <row r="1782" spans="2:15" hidden="1" x14ac:dyDescent="0.3">
      <c r="B1782">
        <v>245239</v>
      </c>
      <c r="C1782" t="s">
        <v>231</v>
      </c>
      <c r="D1782">
        <v>21468</v>
      </c>
      <c r="E1782" t="s">
        <v>150</v>
      </c>
      <c r="F1782" t="s">
        <v>163</v>
      </c>
      <c r="G1782" s="28">
        <v>26</v>
      </c>
      <c r="H1782" s="32">
        <v>3.59</v>
      </c>
      <c r="I1782" s="32">
        <v>342.53</v>
      </c>
      <c r="J1782" t="s">
        <v>239</v>
      </c>
      <c r="K1782" t="s">
        <v>245</v>
      </c>
      <c r="L1782" t="s">
        <v>235</v>
      </c>
      <c r="M1782" t="s">
        <v>236</v>
      </c>
      <c r="N1782" t="s">
        <v>237</v>
      </c>
      <c r="O1782" s="27">
        <v>46055</v>
      </c>
    </row>
    <row r="1783" spans="2:15" hidden="1" x14ac:dyDescent="0.3">
      <c r="B1783">
        <v>4333412</v>
      </c>
      <c r="C1783" t="s">
        <v>231</v>
      </c>
      <c r="D1783">
        <v>69579</v>
      </c>
      <c r="E1783" t="s">
        <v>150</v>
      </c>
      <c r="F1783" t="s">
        <v>282</v>
      </c>
      <c r="G1783" s="28">
        <v>6</v>
      </c>
      <c r="H1783" s="32">
        <v>3.59</v>
      </c>
      <c r="I1783" s="32">
        <v>306.52</v>
      </c>
      <c r="J1783" t="s">
        <v>239</v>
      </c>
      <c r="K1783" t="s">
        <v>245</v>
      </c>
      <c r="L1783" t="s">
        <v>235</v>
      </c>
      <c r="M1783" t="s">
        <v>236</v>
      </c>
      <c r="N1783" t="s">
        <v>240</v>
      </c>
      <c r="O1783" s="27">
        <v>46063</v>
      </c>
    </row>
    <row r="1784" spans="2:15" hidden="1" x14ac:dyDescent="0.3">
      <c r="B1784">
        <v>18797810</v>
      </c>
      <c r="C1784" t="s">
        <v>231</v>
      </c>
      <c r="D1784">
        <v>74304</v>
      </c>
      <c r="E1784" t="s">
        <v>150</v>
      </c>
      <c r="F1784" t="s">
        <v>319</v>
      </c>
      <c r="G1784" s="28">
        <v>18</v>
      </c>
      <c r="H1784" s="32">
        <v>3.59</v>
      </c>
      <c r="I1784" s="32">
        <v>727.13</v>
      </c>
      <c r="J1784" t="s">
        <v>239</v>
      </c>
      <c r="K1784" t="s">
        <v>245</v>
      </c>
      <c r="L1784" t="s">
        <v>235</v>
      </c>
      <c r="M1784" t="s">
        <v>236</v>
      </c>
      <c r="N1784" t="s">
        <v>240</v>
      </c>
      <c r="O1784" s="27">
        <v>46063</v>
      </c>
    </row>
    <row r="1785" spans="2:15" hidden="1" x14ac:dyDescent="0.3">
      <c r="B1785">
        <v>8810663</v>
      </c>
      <c r="C1785" t="s">
        <v>231</v>
      </c>
      <c r="D1785">
        <v>72444</v>
      </c>
      <c r="E1785" t="s">
        <v>150</v>
      </c>
      <c r="F1785" t="s">
        <v>164</v>
      </c>
      <c r="G1785" s="28">
        <v>10</v>
      </c>
      <c r="H1785" s="32">
        <v>3.58</v>
      </c>
      <c r="I1785" s="32">
        <v>458.32</v>
      </c>
      <c r="J1785" t="s">
        <v>239</v>
      </c>
      <c r="K1785" t="s">
        <v>245</v>
      </c>
      <c r="L1785" t="s">
        <v>235</v>
      </c>
      <c r="M1785" t="s">
        <v>236</v>
      </c>
      <c r="N1785" t="s">
        <v>240</v>
      </c>
      <c r="O1785" s="27">
        <v>46055</v>
      </c>
    </row>
    <row r="1786" spans="2:15" hidden="1" x14ac:dyDescent="0.3">
      <c r="B1786">
        <v>7131667</v>
      </c>
      <c r="C1786" t="s">
        <v>231</v>
      </c>
      <c r="D1786">
        <v>21468</v>
      </c>
      <c r="E1786" t="s">
        <v>150</v>
      </c>
      <c r="F1786" t="s">
        <v>282</v>
      </c>
      <c r="G1786" s="28">
        <v>4</v>
      </c>
      <c r="H1786" s="32">
        <v>3.57</v>
      </c>
      <c r="I1786" s="32">
        <v>203.44</v>
      </c>
      <c r="J1786" t="s">
        <v>239</v>
      </c>
      <c r="K1786" t="s">
        <v>245</v>
      </c>
      <c r="L1786" t="s">
        <v>235</v>
      </c>
      <c r="M1786" t="s">
        <v>236</v>
      </c>
      <c r="N1786" t="s">
        <v>240</v>
      </c>
      <c r="O1786" s="27">
        <v>46055</v>
      </c>
    </row>
    <row r="1787" spans="2:15" hidden="1" x14ac:dyDescent="0.3">
      <c r="B1787">
        <v>15974810</v>
      </c>
      <c r="C1787" t="s">
        <v>231</v>
      </c>
      <c r="D1787">
        <v>49894</v>
      </c>
      <c r="E1787" t="s">
        <v>150</v>
      </c>
      <c r="F1787" t="s">
        <v>348</v>
      </c>
      <c r="G1787" s="28">
        <v>21</v>
      </c>
      <c r="H1787" s="32">
        <v>3.57</v>
      </c>
      <c r="I1787" s="32">
        <v>609.13</v>
      </c>
      <c r="J1787" t="s">
        <v>330</v>
      </c>
      <c r="K1787" t="s">
        <v>245</v>
      </c>
      <c r="L1787" t="s">
        <v>235</v>
      </c>
      <c r="M1787" t="s">
        <v>236</v>
      </c>
      <c r="N1787" t="s">
        <v>237</v>
      </c>
      <c r="O1787" s="27">
        <v>46062</v>
      </c>
    </row>
    <row r="1788" spans="2:15" hidden="1" x14ac:dyDescent="0.3">
      <c r="B1788">
        <v>3918792</v>
      </c>
      <c r="C1788" t="s">
        <v>260</v>
      </c>
      <c r="D1788">
        <v>23648</v>
      </c>
      <c r="E1788" t="s">
        <v>150</v>
      </c>
      <c r="F1788" t="s">
        <v>282</v>
      </c>
      <c r="G1788" s="28">
        <v>4</v>
      </c>
      <c r="H1788" s="32">
        <v>3.57</v>
      </c>
      <c r="I1788" s="32">
        <v>203.44</v>
      </c>
      <c r="J1788" t="s">
        <v>239</v>
      </c>
      <c r="K1788" t="s">
        <v>245</v>
      </c>
      <c r="L1788" t="s">
        <v>235</v>
      </c>
      <c r="M1788" t="s">
        <v>236</v>
      </c>
      <c r="N1788" t="s">
        <v>240</v>
      </c>
      <c r="O1788" s="27">
        <v>46055</v>
      </c>
    </row>
    <row r="1789" spans="2:15" hidden="1" x14ac:dyDescent="0.3">
      <c r="B1789">
        <v>9945666</v>
      </c>
      <c r="C1789" t="s">
        <v>260</v>
      </c>
      <c r="D1789">
        <v>68710</v>
      </c>
      <c r="E1789" t="s">
        <v>150</v>
      </c>
      <c r="F1789" t="s">
        <v>282</v>
      </c>
      <c r="G1789" s="28">
        <v>4</v>
      </c>
      <c r="H1789" s="32">
        <v>3.57</v>
      </c>
      <c r="I1789" s="32">
        <v>203.44</v>
      </c>
      <c r="J1789" t="s">
        <v>239</v>
      </c>
      <c r="K1789" t="s">
        <v>245</v>
      </c>
      <c r="L1789" t="s">
        <v>235</v>
      </c>
      <c r="M1789" t="s">
        <v>236</v>
      </c>
      <c r="N1789" t="s">
        <v>240</v>
      </c>
      <c r="O1789" s="27">
        <v>46055</v>
      </c>
    </row>
    <row r="1790" spans="2:15" hidden="1" x14ac:dyDescent="0.3">
      <c r="B1790">
        <v>8810663</v>
      </c>
      <c r="C1790" t="s">
        <v>231</v>
      </c>
      <c r="D1790">
        <v>72444</v>
      </c>
      <c r="E1790" t="s">
        <v>150</v>
      </c>
      <c r="F1790" t="s">
        <v>263</v>
      </c>
      <c r="G1790" s="28">
        <v>33</v>
      </c>
      <c r="H1790" s="32">
        <v>3.56</v>
      </c>
      <c r="I1790" s="32">
        <v>455.95</v>
      </c>
      <c r="J1790" t="s">
        <v>239</v>
      </c>
      <c r="K1790" t="s">
        <v>245</v>
      </c>
      <c r="L1790" t="s">
        <v>235</v>
      </c>
      <c r="M1790" t="s">
        <v>236</v>
      </c>
      <c r="N1790" t="s">
        <v>240</v>
      </c>
      <c r="O1790" s="27">
        <v>46055</v>
      </c>
    </row>
    <row r="1791" spans="2:15" hidden="1" x14ac:dyDescent="0.3">
      <c r="B1791">
        <v>16284979</v>
      </c>
      <c r="C1791" t="s">
        <v>231</v>
      </c>
      <c r="D1791">
        <v>25619</v>
      </c>
      <c r="E1791" t="s">
        <v>150</v>
      </c>
      <c r="F1791" t="s">
        <v>164</v>
      </c>
      <c r="G1791" s="28">
        <v>10</v>
      </c>
      <c r="H1791" s="32">
        <v>3.56</v>
      </c>
      <c r="I1791" s="32">
        <v>486</v>
      </c>
      <c r="J1791" t="s">
        <v>239</v>
      </c>
      <c r="K1791" t="s">
        <v>245</v>
      </c>
      <c r="L1791" t="s">
        <v>235</v>
      </c>
      <c r="M1791" t="s">
        <v>236</v>
      </c>
      <c r="N1791" t="s">
        <v>240</v>
      </c>
      <c r="O1791" s="27">
        <v>46063</v>
      </c>
    </row>
    <row r="1792" spans="2:15" x14ac:dyDescent="0.3">
      <c r="B1792">
        <v>79379</v>
      </c>
      <c r="C1792" t="s">
        <v>260</v>
      </c>
      <c r="D1792">
        <v>22103</v>
      </c>
      <c r="E1792" t="s">
        <v>150</v>
      </c>
      <c r="F1792" t="s">
        <v>246</v>
      </c>
      <c r="G1792" s="28">
        <v>7</v>
      </c>
      <c r="H1792" s="32">
        <v>3.55</v>
      </c>
      <c r="I1792" s="32">
        <v>260.02999999999997</v>
      </c>
      <c r="J1792" t="s">
        <v>239</v>
      </c>
      <c r="K1792" t="s">
        <v>245</v>
      </c>
      <c r="L1792" t="s">
        <v>235</v>
      </c>
      <c r="M1792" t="s">
        <v>236</v>
      </c>
      <c r="N1792" t="s">
        <v>237</v>
      </c>
      <c r="O1792" s="27">
        <v>46063</v>
      </c>
    </row>
    <row r="1793" spans="2:15" hidden="1" x14ac:dyDescent="0.3">
      <c r="B1793">
        <v>3247420</v>
      </c>
      <c r="C1793" t="s">
        <v>231</v>
      </c>
      <c r="D1793">
        <v>23410</v>
      </c>
      <c r="E1793" t="s">
        <v>150</v>
      </c>
      <c r="F1793" t="s">
        <v>164</v>
      </c>
      <c r="G1793" s="28">
        <v>10</v>
      </c>
      <c r="H1793" s="32">
        <v>3.54</v>
      </c>
      <c r="I1793" s="32">
        <v>486.13</v>
      </c>
      <c r="J1793" t="s">
        <v>239</v>
      </c>
      <c r="K1793" t="s">
        <v>245</v>
      </c>
      <c r="L1793" t="s">
        <v>235</v>
      </c>
      <c r="M1793" t="s">
        <v>236</v>
      </c>
      <c r="N1793" t="s">
        <v>240</v>
      </c>
      <c r="O1793" s="27">
        <v>46063</v>
      </c>
    </row>
    <row r="1794" spans="2:15" hidden="1" x14ac:dyDescent="0.3">
      <c r="B1794">
        <v>3343807</v>
      </c>
      <c r="C1794" t="s">
        <v>231</v>
      </c>
      <c r="D1794">
        <v>69519</v>
      </c>
      <c r="E1794" t="s">
        <v>150</v>
      </c>
      <c r="F1794" t="s">
        <v>325</v>
      </c>
      <c r="G1794" s="28">
        <v>35</v>
      </c>
      <c r="H1794" s="32">
        <v>3.54</v>
      </c>
      <c r="I1794" s="32">
        <v>303.2</v>
      </c>
      <c r="J1794" t="s">
        <v>267</v>
      </c>
      <c r="K1794" t="s">
        <v>245</v>
      </c>
      <c r="L1794" t="s">
        <v>235</v>
      </c>
      <c r="M1794" t="s">
        <v>236</v>
      </c>
      <c r="N1794" t="s">
        <v>240</v>
      </c>
      <c r="O1794" s="27">
        <v>46063</v>
      </c>
    </row>
    <row r="1795" spans="2:15" x14ac:dyDescent="0.3">
      <c r="B1795">
        <v>8907980</v>
      </c>
      <c r="C1795" t="s">
        <v>231</v>
      </c>
      <c r="D1795">
        <v>22103</v>
      </c>
      <c r="E1795" t="s">
        <v>150</v>
      </c>
      <c r="F1795" t="s">
        <v>282</v>
      </c>
      <c r="G1795" s="28">
        <v>4</v>
      </c>
      <c r="H1795" s="32">
        <v>3.53</v>
      </c>
      <c r="I1795" s="32">
        <v>203.44</v>
      </c>
      <c r="J1795" t="s">
        <v>239</v>
      </c>
      <c r="K1795" t="s">
        <v>245</v>
      </c>
      <c r="L1795" t="s">
        <v>235</v>
      </c>
      <c r="M1795" t="s">
        <v>236</v>
      </c>
      <c r="N1795" t="s">
        <v>240</v>
      </c>
      <c r="O1795" s="27">
        <v>46055</v>
      </c>
    </row>
    <row r="1796" spans="2:15" hidden="1" x14ac:dyDescent="0.3">
      <c r="B1796">
        <v>11010432</v>
      </c>
      <c r="C1796" t="s">
        <v>231</v>
      </c>
      <c r="D1796">
        <v>25619</v>
      </c>
      <c r="E1796" t="s">
        <v>150</v>
      </c>
      <c r="F1796" t="s">
        <v>164</v>
      </c>
      <c r="G1796" s="28">
        <v>9</v>
      </c>
      <c r="H1796" s="32">
        <v>3.53</v>
      </c>
      <c r="I1796" s="32">
        <v>437.6</v>
      </c>
      <c r="J1796" t="s">
        <v>239</v>
      </c>
      <c r="K1796" t="s">
        <v>245</v>
      </c>
      <c r="L1796" t="s">
        <v>235</v>
      </c>
      <c r="M1796" t="s">
        <v>236</v>
      </c>
      <c r="N1796" t="s">
        <v>240</v>
      </c>
      <c r="O1796" s="27">
        <v>46063</v>
      </c>
    </row>
    <row r="1797" spans="2:15" hidden="1" x14ac:dyDescent="0.3">
      <c r="B1797">
        <v>2496015</v>
      </c>
      <c r="C1797" t="s">
        <v>231</v>
      </c>
      <c r="D1797">
        <v>38517</v>
      </c>
      <c r="E1797" t="s">
        <v>150</v>
      </c>
      <c r="F1797" t="s">
        <v>160</v>
      </c>
      <c r="G1797" s="28">
        <v>19</v>
      </c>
      <c r="H1797" s="32">
        <v>3.52</v>
      </c>
      <c r="I1797" s="32">
        <v>1655.2</v>
      </c>
      <c r="J1797" t="s">
        <v>239</v>
      </c>
      <c r="K1797" t="s">
        <v>245</v>
      </c>
      <c r="L1797" t="s">
        <v>235</v>
      </c>
      <c r="M1797" t="s">
        <v>236</v>
      </c>
      <c r="N1797" t="s">
        <v>240</v>
      </c>
      <c r="O1797" s="27">
        <v>46063</v>
      </c>
    </row>
    <row r="1798" spans="2:15" x14ac:dyDescent="0.3">
      <c r="B1798">
        <v>79379</v>
      </c>
      <c r="C1798" t="s">
        <v>260</v>
      </c>
      <c r="D1798">
        <v>22103</v>
      </c>
      <c r="E1798" t="s">
        <v>150</v>
      </c>
      <c r="F1798" t="s">
        <v>282</v>
      </c>
      <c r="G1798" s="28">
        <v>6</v>
      </c>
      <c r="H1798" s="32">
        <v>3.52</v>
      </c>
      <c r="I1798" s="32">
        <v>306.5</v>
      </c>
      <c r="J1798" t="s">
        <v>239</v>
      </c>
      <c r="K1798" t="s">
        <v>245</v>
      </c>
      <c r="L1798" t="s">
        <v>235</v>
      </c>
      <c r="M1798" t="s">
        <v>236</v>
      </c>
      <c r="N1798" t="s">
        <v>240</v>
      </c>
      <c r="O1798" s="27">
        <v>46063</v>
      </c>
    </row>
    <row r="1799" spans="2:15" x14ac:dyDescent="0.3">
      <c r="B1799">
        <v>17711901</v>
      </c>
      <c r="C1799" t="s">
        <v>260</v>
      </c>
      <c r="D1799">
        <v>22103</v>
      </c>
      <c r="E1799" t="s">
        <v>150</v>
      </c>
      <c r="F1799" t="s">
        <v>164</v>
      </c>
      <c r="G1799" s="28">
        <v>8</v>
      </c>
      <c r="H1799" s="32">
        <v>3.52</v>
      </c>
      <c r="I1799" s="32">
        <v>388.89</v>
      </c>
      <c r="J1799" t="s">
        <v>239</v>
      </c>
      <c r="K1799" t="s">
        <v>245</v>
      </c>
      <c r="L1799" t="s">
        <v>235</v>
      </c>
      <c r="M1799" t="s">
        <v>236</v>
      </c>
      <c r="N1799" t="s">
        <v>240</v>
      </c>
      <c r="O1799" s="27">
        <v>46063</v>
      </c>
    </row>
    <row r="1800" spans="2:15" hidden="1" x14ac:dyDescent="0.3">
      <c r="B1800">
        <v>12629468</v>
      </c>
      <c r="C1800" t="s">
        <v>260</v>
      </c>
      <c r="D1800">
        <v>40901</v>
      </c>
      <c r="E1800" t="s">
        <v>150</v>
      </c>
      <c r="F1800" t="s">
        <v>282</v>
      </c>
      <c r="G1800" s="28">
        <v>6</v>
      </c>
      <c r="H1800" s="32">
        <v>3.5</v>
      </c>
      <c r="I1800" s="32">
        <v>306.5</v>
      </c>
      <c r="J1800" t="s">
        <v>239</v>
      </c>
      <c r="K1800" t="s">
        <v>245</v>
      </c>
      <c r="L1800" t="s">
        <v>235</v>
      </c>
      <c r="M1800" t="s">
        <v>236</v>
      </c>
      <c r="N1800" t="s">
        <v>240</v>
      </c>
      <c r="O1800" s="27">
        <v>46063</v>
      </c>
    </row>
    <row r="1801" spans="2:15" hidden="1" x14ac:dyDescent="0.3">
      <c r="B1801">
        <v>18797810</v>
      </c>
      <c r="C1801" t="s">
        <v>231</v>
      </c>
      <c r="D1801">
        <v>74304</v>
      </c>
      <c r="E1801" t="s">
        <v>150</v>
      </c>
      <c r="F1801" t="s">
        <v>337</v>
      </c>
      <c r="G1801" s="28">
        <v>18</v>
      </c>
      <c r="H1801" s="32">
        <v>3.49</v>
      </c>
      <c r="I1801" s="32">
        <v>653.83000000000004</v>
      </c>
      <c r="J1801" t="s">
        <v>239</v>
      </c>
      <c r="K1801" t="s">
        <v>245</v>
      </c>
      <c r="L1801" t="s">
        <v>235</v>
      </c>
      <c r="M1801" t="s">
        <v>236</v>
      </c>
      <c r="N1801" t="s">
        <v>237</v>
      </c>
      <c r="O1801" s="27">
        <v>46063</v>
      </c>
    </row>
    <row r="1802" spans="2:15" hidden="1" x14ac:dyDescent="0.3">
      <c r="B1802">
        <v>250134</v>
      </c>
      <c r="C1802" t="s">
        <v>231</v>
      </c>
      <c r="D1802">
        <v>22674</v>
      </c>
      <c r="E1802" t="s">
        <v>150</v>
      </c>
      <c r="F1802" t="s">
        <v>319</v>
      </c>
      <c r="G1802" s="28">
        <v>17</v>
      </c>
      <c r="H1802" s="32">
        <v>3.49</v>
      </c>
      <c r="I1802" s="32">
        <v>686.59</v>
      </c>
      <c r="J1802" t="s">
        <v>239</v>
      </c>
      <c r="K1802" t="s">
        <v>245</v>
      </c>
      <c r="L1802" t="s">
        <v>235</v>
      </c>
      <c r="M1802" t="s">
        <v>236</v>
      </c>
      <c r="N1802" t="s">
        <v>240</v>
      </c>
      <c r="O1802" s="27">
        <v>46063</v>
      </c>
    </row>
    <row r="1803" spans="2:15" hidden="1" x14ac:dyDescent="0.3">
      <c r="B1803">
        <v>14521528</v>
      </c>
      <c r="C1803" t="s">
        <v>260</v>
      </c>
      <c r="D1803">
        <v>25619</v>
      </c>
      <c r="E1803" t="s">
        <v>150</v>
      </c>
      <c r="F1803" t="s">
        <v>287</v>
      </c>
      <c r="G1803" s="28">
        <v>16</v>
      </c>
      <c r="H1803" s="32">
        <v>3.49</v>
      </c>
      <c r="I1803" s="32">
        <v>501.97</v>
      </c>
      <c r="J1803" t="s">
        <v>239</v>
      </c>
      <c r="K1803" t="s">
        <v>245</v>
      </c>
      <c r="L1803" t="s">
        <v>235</v>
      </c>
      <c r="M1803" t="s">
        <v>236</v>
      </c>
      <c r="N1803" t="s">
        <v>237</v>
      </c>
      <c r="O1803" s="27">
        <v>46063</v>
      </c>
    </row>
    <row r="1804" spans="2:15" hidden="1" x14ac:dyDescent="0.3">
      <c r="B1804">
        <v>2229229</v>
      </c>
      <c r="C1804" t="s">
        <v>260</v>
      </c>
      <c r="D1804">
        <v>40901</v>
      </c>
      <c r="E1804" t="s">
        <v>150</v>
      </c>
      <c r="F1804" t="s">
        <v>274</v>
      </c>
      <c r="G1804" s="28">
        <v>34</v>
      </c>
      <c r="H1804" s="32">
        <v>3.49</v>
      </c>
      <c r="I1804" s="32">
        <v>499.36</v>
      </c>
      <c r="J1804" t="s">
        <v>239</v>
      </c>
      <c r="K1804" t="s">
        <v>245</v>
      </c>
      <c r="L1804" t="s">
        <v>235</v>
      </c>
      <c r="M1804" t="s">
        <v>236</v>
      </c>
      <c r="N1804" t="s">
        <v>237</v>
      </c>
      <c r="O1804" s="27">
        <v>46055</v>
      </c>
    </row>
    <row r="1805" spans="2:15" hidden="1" x14ac:dyDescent="0.3">
      <c r="B1805">
        <v>5370675</v>
      </c>
      <c r="C1805" t="s">
        <v>260</v>
      </c>
      <c r="D1805">
        <v>71881</v>
      </c>
      <c r="E1805" t="s">
        <v>150</v>
      </c>
      <c r="F1805" t="s">
        <v>164</v>
      </c>
      <c r="G1805" s="28">
        <v>7</v>
      </c>
      <c r="H1805" s="32">
        <v>3.49</v>
      </c>
      <c r="I1805" s="32">
        <v>340.28</v>
      </c>
      <c r="J1805" t="s">
        <v>239</v>
      </c>
      <c r="K1805" t="s">
        <v>245</v>
      </c>
      <c r="L1805" t="s">
        <v>235</v>
      </c>
      <c r="M1805" t="s">
        <v>236</v>
      </c>
      <c r="N1805" t="s">
        <v>240</v>
      </c>
      <c r="O1805" s="27">
        <v>46063</v>
      </c>
    </row>
    <row r="1806" spans="2:15" hidden="1" x14ac:dyDescent="0.3">
      <c r="B1806">
        <v>17920388</v>
      </c>
      <c r="C1806" t="s">
        <v>231</v>
      </c>
      <c r="D1806">
        <v>40901</v>
      </c>
      <c r="E1806" t="s">
        <v>150</v>
      </c>
      <c r="F1806" t="s">
        <v>246</v>
      </c>
      <c r="G1806" s="28">
        <v>7</v>
      </c>
      <c r="H1806" s="32">
        <v>3.48</v>
      </c>
      <c r="I1806" s="32">
        <v>260.02999999999997</v>
      </c>
      <c r="J1806" t="s">
        <v>239</v>
      </c>
      <c r="K1806" t="s">
        <v>245</v>
      </c>
      <c r="L1806" t="s">
        <v>235</v>
      </c>
      <c r="M1806" t="s">
        <v>236</v>
      </c>
      <c r="N1806" t="s">
        <v>237</v>
      </c>
      <c r="O1806" s="27">
        <v>46063</v>
      </c>
    </row>
    <row r="1807" spans="2:15" hidden="1" x14ac:dyDescent="0.3">
      <c r="B1807">
        <v>3409614</v>
      </c>
      <c r="C1807" t="s">
        <v>231</v>
      </c>
      <c r="D1807">
        <v>71881</v>
      </c>
      <c r="E1807" t="s">
        <v>150</v>
      </c>
      <c r="F1807" t="s">
        <v>337</v>
      </c>
      <c r="G1807" s="28">
        <v>16</v>
      </c>
      <c r="H1807" s="32">
        <v>3.48</v>
      </c>
      <c r="I1807" s="32">
        <v>581.17999999999995</v>
      </c>
      <c r="J1807" t="s">
        <v>239</v>
      </c>
      <c r="K1807" t="s">
        <v>245</v>
      </c>
      <c r="L1807" t="s">
        <v>235</v>
      </c>
      <c r="M1807" t="s">
        <v>236</v>
      </c>
      <c r="N1807" t="s">
        <v>237</v>
      </c>
      <c r="O1807" s="27">
        <v>46063</v>
      </c>
    </row>
    <row r="1808" spans="2:15" x14ac:dyDescent="0.3">
      <c r="B1808">
        <v>8907980</v>
      </c>
      <c r="C1808" t="s">
        <v>231</v>
      </c>
      <c r="D1808">
        <v>22103</v>
      </c>
      <c r="E1808" t="s">
        <v>150</v>
      </c>
      <c r="F1808" t="s">
        <v>338</v>
      </c>
      <c r="G1808" s="28">
        <v>6</v>
      </c>
      <c r="H1808" s="32">
        <v>3.47</v>
      </c>
      <c r="I1808" s="32">
        <v>390.55</v>
      </c>
      <c r="J1808" t="s">
        <v>239</v>
      </c>
      <c r="K1808" t="s">
        <v>245</v>
      </c>
      <c r="L1808" t="s">
        <v>235</v>
      </c>
      <c r="M1808" t="s">
        <v>236</v>
      </c>
      <c r="N1808" t="s">
        <v>237</v>
      </c>
      <c r="O1808" s="27">
        <v>46072</v>
      </c>
    </row>
    <row r="1809" spans="2:15" hidden="1" x14ac:dyDescent="0.3">
      <c r="B1809">
        <v>2091913</v>
      </c>
      <c r="C1809" t="s">
        <v>260</v>
      </c>
      <c r="D1809">
        <v>49894</v>
      </c>
      <c r="E1809" t="s">
        <v>150</v>
      </c>
      <c r="F1809" t="s">
        <v>287</v>
      </c>
      <c r="G1809" s="28">
        <v>16</v>
      </c>
      <c r="H1809" s="32">
        <v>3.47</v>
      </c>
      <c r="I1809" s="32">
        <v>501.97</v>
      </c>
      <c r="J1809" t="s">
        <v>239</v>
      </c>
      <c r="K1809" t="s">
        <v>245</v>
      </c>
      <c r="L1809" t="s">
        <v>235</v>
      </c>
      <c r="M1809" t="s">
        <v>236</v>
      </c>
      <c r="N1809" t="s">
        <v>237</v>
      </c>
      <c r="O1809" s="27">
        <v>46063</v>
      </c>
    </row>
    <row r="1810" spans="2:15" hidden="1" x14ac:dyDescent="0.3">
      <c r="B1810">
        <v>4658833</v>
      </c>
      <c r="C1810" t="s">
        <v>260</v>
      </c>
      <c r="D1810">
        <v>38517</v>
      </c>
      <c r="E1810" t="s">
        <v>150</v>
      </c>
      <c r="F1810" t="s">
        <v>282</v>
      </c>
      <c r="G1810" s="28">
        <v>13</v>
      </c>
      <c r="H1810" s="32">
        <v>3.47</v>
      </c>
      <c r="I1810" s="32">
        <v>661.63</v>
      </c>
      <c r="J1810" t="s">
        <v>239</v>
      </c>
      <c r="K1810" t="s">
        <v>245</v>
      </c>
      <c r="L1810" t="s">
        <v>235</v>
      </c>
      <c r="M1810" t="s">
        <v>236</v>
      </c>
      <c r="N1810" t="s">
        <v>237</v>
      </c>
      <c r="O1810" s="27">
        <v>46055</v>
      </c>
    </row>
    <row r="1811" spans="2:15" hidden="1" x14ac:dyDescent="0.3">
      <c r="B1811">
        <v>7131667</v>
      </c>
      <c r="C1811" t="s">
        <v>231</v>
      </c>
      <c r="D1811">
        <v>21468</v>
      </c>
      <c r="E1811" t="s">
        <v>150</v>
      </c>
      <c r="F1811" t="s">
        <v>298</v>
      </c>
      <c r="G1811" s="28">
        <v>12</v>
      </c>
      <c r="H1811" s="32">
        <v>3.46</v>
      </c>
      <c r="I1811" s="32">
        <v>197</v>
      </c>
      <c r="J1811" t="s">
        <v>239</v>
      </c>
      <c r="K1811" t="s">
        <v>245</v>
      </c>
      <c r="L1811" t="s">
        <v>235</v>
      </c>
      <c r="M1811" t="s">
        <v>236</v>
      </c>
      <c r="N1811" t="s">
        <v>237</v>
      </c>
      <c r="O1811" s="27">
        <v>46055</v>
      </c>
    </row>
    <row r="1812" spans="2:15" hidden="1" x14ac:dyDescent="0.3">
      <c r="B1812">
        <v>3918792</v>
      </c>
      <c r="C1812" t="s">
        <v>260</v>
      </c>
      <c r="D1812">
        <v>23648</v>
      </c>
      <c r="E1812" t="s">
        <v>150</v>
      </c>
      <c r="F1812" t="s">
        <v>298</v>
      </c>
      <c r="G1812" s="28">
        <v>12</v>
      </c>
      <c r="H1812" s="32">
        <v>3.46</v>
      </c>
      <c r="I1812" s="32">
        <v>197</v>
      </c>
      <c r="J1812" t="s">
        <v>239</v>
      </c>
      <c r="K1812" t="s">
        <v>245</v>
      </c>
      <c r="L1812" t="s">
        <v>235</v>
      </c>
      <c r="M1812" t="s">
        <v>236</v>
      </c>
      <c r="N1812" t="s">
        <v>237</v>
      </c>
      <c r="O1812" s="27">
        <v>46055</v>
      </c>
    </row>
    <row r="1813" spans="2:15" hidden="1" x14ac:dyDescent="0.3">
      <c r="B1813">
        <v>9945666</v>
      </c>
      <c r="C1813" t="s">
        <v>260</v>
      </c>
      <c r="D1813">
        <v>68710</v>
      </c>
      <c r="E1813" t="s">
        <v>150</v>
      </c>
      <c r="F1813" t="s">
        <v>298</v>
      </c>
      <c r="G1813" s="28">
        <v>12</v>
      </c>
      <c r="H1813" s="32">
        <v>3.46</v>
      </c>
      <c r="I1813" s="32">
        <v>197</v>
      </c>
      <c r="J1813" t="s">
        <v>239</v>
      </c>
      <c r="K1813" t="s">
        <v>245</v>
      </c>
      <c r="L1813" t="s">
        <v>235</v>
      </c>
      <c r="M1813" t="s">
        <v>236</v>
      </c>
      <c r="N1813" t="s">
        <v>237</v>
      </c>
      <c r="O1813" s="27">
        <v>46055</v>
      </c>
    </row>
    <row r="1814" spans="2:15" hidden="1" x14ac:dyDescent="0.3">
      <c r="B1814">
        <v>9796204</v>
      </c>
      <c r="C1814" t="s">
        <v>260</v>
      </c>
      <c r="D1814">
        <v>21468</v>
      </c>
      <c r="E1814" t="s">
        <v>150</v>
      </c>
      <c r="F1814" t="s">
        <v>251</v>
      </c>
      <c r="G1814" s="28">
        <v>5</v>
      </c>
      <c r="H1814" s="32">
        <v>3.46</v>
      </c>
      <c r="I1814" s="32">
        <v>247.52</v>
      </c>
      <c r="J1814" t="s">
        <v>239</v>
      </c>
      <c r="K1814" t="s">
        <v>245</v>
      </c>
      <c r="L1814" t="s">
        <v>235</v>
      </c>
      <c r="M1814" t="s">
        <v>236</v>
      </c>
      <c r="N1814" t="s">
        <v>237</v>
      </c>
      <c r="O1814" s="27">
        <v>46072</v>
      </c>
    </row>
    <row r="1815" spans="2:15" hidden="1" x14ac:dyDescent="0.3">
      <c r="B1815">
        <v>2013549</v>
      </c>
      <c r="C1815" t="s">
        <v>231</v>
      </c>
      <c r="D1815">
        <v>23648</v>
      </c>
      <c r="E1815" t="s">
        <v>150</v>
      </c>
      <c r="F1815" t="s">
        <v>366</v>
      </c>
      <c r="G1815" s="28">
        <v>23</v>
      </c>
      <c r="H1815" s="32">
        <v>3.45</v>
      </c>
      <c r="I1815" s="32">
        <v>670.91</v>
      </c>
      <c r="J1815" t="s">
        <v>330</v>
      </c>
      <c r="K1815" t="s">
        <v>234</v>
      </c>
      <c r="L1815" t="s">
        <v>235</v>
      </c>
      <c r="M1815" t="s">
        <v>236</v>
      </c>
      <c r="N1815" t="s">
        <v>240</v>
      </c>
      <c r="O1815" s="27">
        <v>46059</v>
      </c>
    </row>
    <row r="1816" spans="2:15" hidden="1" x14ac:dyDescent="0.3">
      <c r="B1816">
        <v>9260624</v>
      </c>
      <c r="C1816" t="s">
        <v>231</v>
      </c>
      <c r="D1816">
        <v>24415</v>
      </c>
      <c r="E1816" t="s">
        <v>150</v>
      </c>
      <c r="F1816" t="s">
        <v>163</v>
      </c>
      <c r="G1816" s="28">
        <v>30</v>
      </c>
      <c r="H1816" s="32">
        <v>3.44</v>
      </c>
      <c r="I1816" s="32">
        <v>395.22</v>
      </c>
      <c r="J1816" t="s">
        <v>239</v>
      </c>
      <c r="K1816" t="s">
        <v>245</v>
      </c>
      <c r="L1816" t="s">
        <v>235</v>
      </c>
      <c r="M1816" t="s">
        <v>236</v>
      </c>
      <c r="N1816" t="s">
        <v>237</v>
      </c>
      <c r="O1816" s="27">
        <v>46055</v>
      </c>
    </row>
    <row r="1817" spans="2:15" hidden="1" x14ac:dyDescent="0.3">
      <c r="B1817">
        <v>3430907</v>
      </c>
      <c r="C1817" t="s">
        <v>260</v>
      </c>
      <c r="D1817">
        <v>21468</v>
      </c>
      <c r="E1817" t="s">
        <v>150</v>
      </c>
      <c r="F1817" t="s">
        <v>287</v>
      </c>
      <c r="G1817" s="28">
        <v>15</v>
      </c>
      <c r="H1817" s="32">
        <v>3.44</v>
      </c>
      <c r="I1817" s="32">
        <v>470.49</v>
      </c>
      <c r="J1817" t="s">
        <v>239</v>
      </c>
      <c r="K1817" t="s">
        <v>245</v>
      </c>
      <c r="L1817" t="s">
        <v>235</v>
      </c>
      <c r="M1817" t="s">
        <v>236</v>
      </c>
      <c r="N1817" t="s">
        <v>237</v>
      </c>
      <c r="O1817" s="27">
        <v>46063</v>
      </c>
    </row>
    <row r="1818" spans="2:15" hidden="1" x14ac:dyDescent="0.3">
      <c r="B1818">
        <v>17920388</v>
      </c>
      <c r="C1818" t="s">
        <v>231</v>
      </c>
      <c r="D1818">
        <v>40901</v>
      </c>
      <c r="E1818" t="s">
        <v>150</v>
      </c>
      <c r="F1818" t="s">
        <v>282</v>
      </c>
      <c r="G1818" s="28">
        <v>6</v>
      </c>
      <c r="H1818" s="32">
        <v>3.43</v>
      </c>
      <c r="I1818" s="32">
        <v>306.52</v>
      </c>
      <c r="J1818" t="s">
        <v>239</v>
      </c>
      <c r="K1818" t="s">
        <v>245</v>
      </c>
      <c r="L1818" t="s">
        <v>235</v>
      </c>
      <c r="M1818" t="s">
        <v>236</v>
      </c>
      <c r="N1818" t="s">
        <v>240</v>
      </c>
      <c r="O1818" s="27">
        <v>46063</v>
      </c>
    </row>
    <row r="1819" spans="2:15" hidden="1" x14ac:dyDescent="0.3">
      <c r="B1819">
        <v>6468519</v>
      </c>
      <c r="C1819" t="s">
        <v>231</v>
      </c>
      <c r="D1819">
        <v>72444</v>
      </c>
      <c r="E1819" t="s">
        <v>150</v>
      </c>
      <c r="F1819" t="s">
        <v>338</v>
      </c>
      <c r="G1819" s="28">
        <v>6</v>
      </c>
      <c r="H1819" s="32">
        <v>3.42</v>
      </c>
      <c r="I1819" s="32">
        <v>390.56</v>
      </c>
      <c r="J1819" t="s">
        <v>239</v>
      </c>
      <c r="K1819" t="s">
        <v>245</v>
      </c>
      <c r="L1819" t="s">
        <v>235</v>
      </c>
      <c r="M1819" t="s">
        <v>236</v>
      </c>
      <c r="N1819" t="s">
        <v>237</v>
      </c>
      <c r="O1819" s="27">
        <v>46072</v>
      </c>
    </row>
    <row r="1820" spans="2:15" hidden="1" x14ac:dyDescent="0.3">
      <c r="B1820">
        <v>366105</v>
      </c>
      <c r="C1820" t="s">
        <v>231</v>
      </c>
      <c r="D1820">
        <v>69519</v>
      </c>
      <c r="E1820" t="s">
        <v>150</v>
      </c>
      <c r="F1820" t="s">
        <v>331</v>
      </c>
      <c r="G1820" s="28">
        <v>44</v>
      </c>
      <c r="H1820" s="32">
        <v>3.42</v>
      </c>
      <c r="I1820" s="32">
        <v>424.8</v>
      </c>
      <c r="J1820" t="s">
        <v>267</v>
      </c>
      <c r="K1820" t="s">
        <v>245</v>
      </c>
      <c r="L1820" t="s">
        <v>235</v>
      </c>
      <c r="M1820" t="s">
        <v>236</v>
      </c>
      <c r="N1820" t="s">
        <v>240</v>
      </c>
      <c r="O1820" s="27">
        <v>46063</v>
      </c>
    </row>
    <row r="1821" spans="2:15" hidden="1" x14ac:dyDescent="0.3">
      <c r="B1821">
        <v>2410665</v>
      </c>
      <c r="C1821" t="s">
        <v>231</v>
      </c>
      <c r="D1821">
        <v>21559</v>
      </c>
      <c r="E1821" t="s">
        <v>150</v>
      </c>
      <c r="F1821" t="s">
        <v>319</v>
      </c>
      <c r="G1821" s="28">
        <v>15</v>
      </c>
      <c r="H1821" s="32">
        <v>3.42</v>
      </c>
      <c r="I1821" s="32">
        <v>605.74</v>
      </c>
      <c r="J1821" t="s">
        <v>239</v>
      </c>
      <c r="K1821" t="s">
        <v>245</v>
      </c>
      <c r="L1821" t="s">
        <v>235</v>
      </c>
      <c r="M1821" t="s">
        <v>236</v>
      </c>
      <c r="N1821" t="s">
        <v>240</v>
      </c>
      <c r="O1821" s="27">
        <v>46063</v>
      </c>
    </row>
    <row r="1822" spans="2:15" hidden="1" x14ac:dyDescent="0.3">
      <c r="B1822">
        <v>3906862</v>
      </c>
      <c r="C1822" t="s">
        <v>231</v>
      </c>
      <c r="D1822">
        <v>71881</v>
      </c>
      <c r="E1822" t="s">
        <v>150</v>
      </c>
      <c r="F1822" t="s">
        <v>282</v>
      </c>
      <c r="G1822" s="28">
        <v>6</v>
      </c>
      <c r="H1822" s="32">
        <v>3.41</v>
      </c>
      <c r="I1822" s="32">
        <v>306.5</v>
      </c>
      <c r="J1822" t="s">
        <v>239</v>
      </c>
      <c r="K1822" t="s">
        <v>245</v>
      </c>
      <c r="L1822" t="s">
        <v>235</v>
      </c>
      <c r="M1822" t="s">
        <v>236</v>
      </c>
      <c r="N1822" t="s">
        <v>240</v>
      </c>
      <c r="O1822" s="27">
        <v>46063</v>
      </c>
    </row>
    <row r="1823" spans="2:15" hidden="1" x14ac:dyDescent="0.3">
      <c r="B1823">
        <v>9799059</v>
      </c>
      <c r="C1823" t="s">
        <v>260</v>
      </c>
      <c r="D1823">
        <v>38675</v>
      </c>
      <c r="E1823" t="s">
        <v>150</v>
      </c>
      <c r="F1823" t="s">
        <v>372</v>
      </c>
      <c r="G1823" s="28">
        <v>10</v>
      </c>
      <c r="H1823" s="32">
        <v>3.41</v>
      </c>
      <c r="I1823" s="32">
        <v>638.44000000000005</v>
      </c>
      <c r="J1823" t="s">
        <v>330</v>
      </c>
      <c r="K1823" t="s">
        <v>245</v>
      </c>
      <c r="L1823" t="s">
        <v>235</v>
      </c>
      <c r="M1823" t="s">
        <v>236</v>
      </c>
      <c r="N1823" t="s">
        <v>237</v>
      </c>
      <c r="O1823" s="27">
        <v>46072</v>
      </c>
    </row>
    <row r="1824" spans="2:15" hidden="1" x14ac:dyDescent="0.3">
      <c r="B1824">
        <v>2973255</v>
      </c>
      <c r="C1824" t="s">
        <v>260</v>
      </c>
      <c r="D1824">
        <v>69519</v>
      </c>
      <c r="E1824" t="s">
        <v>150</v>
      </c>
      <c r="F1824" t="s">
        <v>339</v>
      </c>
      <c r="G1824" s="28">
        <v>38</v>
      </c>
      <c r="H1824" s="32">
        <v>3.41</v>
      </c>
      <c r="I1824" s="32">
        <v>3026.13</v>
      </c>
      <c r="J1824" t="s">
        <v>267</v>
      </c>
      <c r="K1824" t="s">
        <v>245</v>
      </c>
      <c r="L1824" t="s">
        <v>235</v>
      </c>
      <c r="M1824" t="s">
        <v>236</v>
      </c>
      <c r="N1824" t="s">
        <v>237</v>
      </c>
      <c r="O1824" s="27">
        <v>46063</v>
      </c>
    </row>
    <row r="1825" spans="2:15" hidden="1" x14ac:dyDescent="0.3">
      <c r="B1825">
        <v>2411460</v>
      </c>
      <c r="C1825" t="s">
        <v>231</v>
      </c>
      <c r="D1825">
        <v>72444</v>
      </c>
      <c r="E1825" t="s">
        <v>150</v>
      </c>
      <c r="F1825" t="s">
        <v>277</v>
      </c>
      <c r="G1825" s="28">
        <v>12</v>
      </c>
      <c r="H1825" s="32">
        <v>3.4</v>
      </c>
      <c r="I1825" s="32">
        <v>436.27</v>
      </c>
      <c r="J1825" t="s">
        <v>239</v>
      </c>
      <c r="K1825" t="s">
        <v>245</v>
      </c>
      <c r="L1825" t="s">
        <v>235</v>
      </c>
      <c r="M1825" t="s">
        <v>236</v>
      </c>
      <c r="N1825" t="s">
        <v>237</v>
      </c>
      <c r="O1825" s="27">
        <v>46055</v>
      </c>
    </row>
    <row r="1826" spans="2:15" hidden="1" x14ac:dyDescent="0.3">
      <c r="B1826">
        <v>4051319</v>
      </c>
      <c r="C1826" t="s">
        <v>231</v>
      </c>
      <c r="D1826">
        <v>22674</v>
      </c>
      <c r="E1826" t="s">
        <v>150</v>
      </c>
      <c r="F1826" t="s">
        <v>287</v>
      </c>
      <c r="G1826" s="28">
        <v>16</v>
      </c>
      <c r="H1826" s="32">
        <v>3.38</v>
      </c>
      <c r="I1826" s="32">
        <v>501.97</v>
      </c>
      <c r="J1826" t="s">
        <v>239</v>
      </c>
      <c r="K1826" t="s">
        <v>245</v>
      </c>
      <c r="L1826" t="s">
        <v>235</v>
      </c>
      <c r="M1826" t="s">
        <v>236</v>
      </c>
      <c r="N1826" t="s">
        <v>237</v>
      </c>
      <c r="O1826" s="27">
        <v>46063</v>
      </c>
    </row>
    <row r="1827" spans="2:15" x14ac:dyDescent="0.3">
      <c r="B1827">
        <v>8907980</v>
      </c>
      <c r="C1827" t="s">
        <v>231</v>
      </c>
      <c r="D1827">
        <v>22103</v>
      </c>
      <c r="E1827" t="s">
        <v>150</v>
      </c>
      <c r="F1827" t="s">
        <v>161</v>
      </c>
      <c r="G1827" s="28">
        <v>14</v>
      </c>
      <c r="H1827" s="32">
        <v>3.38</v>
      </c>
      <c r="I1827" s="32">
        <v>380.52</v>
      </c>
      <c r="J1827" t="s">
        <v>239</v>
      </c>
      <c r="K1827" t="s">
        <v>245</v>
      </c>
      <c r="L1827" t="s">
        <v>235</v>
      </c>
      <c r="M1827" t="s">
        <v>236</v>
      </c>
      <c r="N1827" t="s">
        <v>237</v>
      </c>
      <c r="O1827" s="27">
        <v>46072</v>
      </c>
    </row>
    <row r="1828" spans="2:15" hidden="1" x14ac:dyDescent="0.3">
      <c r="B1828">
        <v>7088256</v>
      </c>
      <c r="C1828" t="s">
        <v>231</v>
      </c>
      <c r="D1828">
        <v>96553</v>
      </c>
      <c r="E1828" t="s">
        <v>150</v>
      </c>
      <c r="F1828" t="s">
        <v>164</v>
      </c>
      <c r="G1828" s="28">
        <v>9</v>
      </c>
      <c r="H1828" s="32">
        <v>3.37</v>
      </c>
      <c r="I1828" s="32">
        <v>437.6</v>
      </c>
      <c r="J1828" t="s">
        <v>239</v>
      </c>
      <c r="K1828" t="s">
        <v>245</v>
      </c>
      <c r="L1828" t="s">
        <v>235</v>
      </c>
      <c r="M1828" t="s">
        <v>236</v>
      </c>
      <c r="N1828" t="s">
        <v>240</v>
      </c>
      <c r="O1828" s="27">
        <v>46063</v>
      </c>
    </row>
    <row r="1829" spans="2:15" hidden="1" x14ac:dyDescent="0.3">
      <c r="B1829">
        <v>5555592</v>
      </c>
      <c r="C1829" t="s">
        <v>231</v>
      </c>
      <c r="D1829">
        <v>38517</v>
      </c>
      <c r="E1829" t="s">
        <v>150</v>
      </c>
      <c r="F1829" t="s">
        <v>163</v>
      </c>
      <c r="G1829" s="28">
        <v>7</v>
      </c>
      <c r="H1829" s="32">
        <v>3.36</v>
      </c>
      <c r="I1829" s="32">
        <v>97.72</v>
      </c>
      <c r="J1829" t="s">
        <v>239</v>
      </c>
      <c r="K1829" t="s">
        <v>245</v>
      </c>
      <c r="L1829" t="s">
        <v>235</v>
      </c>
      <c r="M1829" t="s">
        <v>236</v>
      </c>
      <c r="N1829" t="s">
        <v>237</v>
      </c>
      <c r="O1829" s="27">
        <v>46063</v>
      </c>
    </row>
    <row r="1830" spans="2:15" hidden="1" x14ac:dyDescent="0.3">
      <c r="B1830">
        <v>8668372</v>
      </c>
      <c r="C1830" t="s">
        <v>231</v>
      </c>
      <c r="D1830">
        <v>25619</v>
      </c>
      <c r="E1830" t="s">
        <v>150</v>
      </c>
      <c r="F1830" t="s">
        <v>160</v>
      </c>
      <c r="G1830" s="28">
        <v>4</v>
      </c>
      <c r="H1830" s="32">
        <v>3.36</v>
      </c>
      <c r="I1830" s="32">
        <v>339.4</v>
      </c>
      <c r="J1830" t="s">
        <v>239</v>
      </c>
      <c r="K1830" t="s">
        <v>245</v>
      </c>
      <c r="L1830" t="s">
        <v>235</v>
      </c>
      <c r="M1830" t="s">
        <v>236</v>
      </c>
      <c r="N1830" t="s">
        <v>240</v>
      </c>
      <c r="O1830" s="27">
        <v>46055</v>
      </c>
    </row>
    <row r="1831" spans="2:15" hidden="1" x14ac:dyDescent="0.3">
      <c r="B1831">
        <v>293951</v>
      </c>
      <c r="C1831" t="s">
        <v>231</v>
      </c>
      <c r="D1831">
        <v>25619</v>
      </c>
      <c r="E1831" t="s">
        <v>150</v>
      </c>
      <c r="F1831" t="s">
        <v>164</v>
      </c>
      <c r="G1831" s="28">
        <v>9</v>
      </c>
      <c r="H1831" s="32">
        <v>3.35</v>
      </c>
      <c r="I1831" s="32">
        <v>437.58</v>
      </c>
      <c r="J1831" t="s">
        <v>239</v>
      </c>
      <c r="K1831" t="s">
        <v>245</v>
      </c>
      <c r="L1831" t="s">
        <v>235</v>
      </c>
      <c r="M1831" t="s">
        <v>236</v>
      </c>
      <c r="N1831" t="s">
        <v>240</v>
      </c>
      <c r="O1831" s="27">
        <v>46063</v>
      </c>
    </row>
    <row r="1832" spans="2:15" x14ac:dyDescent="0.3">
      <c r="B1832">
        <v>3105908</v>
      </c>
      <c r="C1832" t="s">
        <v>231</v>
      </c>
      <c r="D1832">
        <v>22103</v>
      </c>
      <c r="E1832" t="s">
        <v>150</v>
      </c>
      <c r="F1832" t="s">
        <v>164</v>
      </c>
      <c r="G1832" s="28">
        <v>9</v>
      </c>
      <c r="H1832" s="32">
        <v>3.35</v>
      </c>
      <c r="I1832" s="32">
        <v>437.59</v>
      </c>
      <c r="J1832" t="s">
        <v>239</v>
      </c>
      <c r="K1832" t="s">
        <v>245</v>
      </c>
      <c r="L1832" t="s">
        <v>235</v>
      </c>
      <c r="M1832" t="s">
        <v>236</v>
      </c>
      <c r="N1832" t="s">
        <v>240</v>
      </c>
      <c r="O1832" s="27">
        <v>46063</v>
      </c>
    </row>
    <row r="1833" spans="2:15" hidden="1" x14ac:dyDescent="0.3">
      <c r="B1833">
        <v>215083</v>
      </c>
      <c r="C1833" t="s">
        <v>231</v>
      </c>
      <c r="D1833">
        <v>23410</v>
      </c>
      <c r="E1833" t="s">
        <v>150</v>
      </c>
      <c r="F1833" t="s">
        <v>160</v>
      </c>
      <c r="G1833" s="28">
        <v>7</v>
      </c>
      <c r="H1833" s="32">
        <v>3.35</v>
      </c>
      <c r="I1833" s="32">
        <v>593.97</v>
      </c>
      <c r="J1833" t="s">
        <v>239</v>
      </c>
      <c r="K1833" t="s">
        <v>245</v>
      </c>
      <c r="L1833" t="s">
        <v>235</v>
      </c>
      <c r="M1833" t="s">
        <v>236</v>
      </c>
      <c r="N1833" t="s">
        <v>237</v>
      </c>
      <c r="O1833" s="27">
        <v>46055</v>
      </c>
    </row>
    <row r="1834" spans="2:15" hidden="1" x14ac:dyDescent="0.3">
      <c r="B1834">
        <v>11493548</v>
      </c>
      <c r="C1834" t="s">
        <v>231</v>
      </c>
      <c r="D1834">
        <v>38517</v>
      </c>
      <c r="E1834" t="s">
        <v>150</v>
      </c>
      <c r="F1834" t="s">
        <v>287</v>
      </c>
      <c r="G1834" s="28">
        <v>15</v>
      </c>
      <c r="H1834" s="32">
        <v>3.34</v>
      </c>
      <c r="I1834" s="32">
        <v>470.48</v>
      </c>
      <c r="J1834" t="s">
        <v>239</v>
      </c>
      <c r="K1834" t="s">
        <v>245</v>
      </c>
      <c r="L1834" t="s">
        <v>235</v>
      </c>
      <c r="M1834" t="s">
        <v>236</v>
      </c>
      <c r="N1834" t="s">
        <v>237</v>
      </c>
      <c r="O1834" s="27">
        <v>46063</v>
      </c>
    </row>
    <row r="1835" spans="2:15" hidden="1" x14ac:dyDescent="0.3">
      <c r="B1835">
        <v>8781959</v>
      </c>
      <c r="C1835" t="s">
        <v>231</v>
      </c>
      <c r="D1835">
        <v>72444</v>
      </c>
      <c r="E1835" t="s">
        <v>150</v>
      </c>
      <c r="F1835" t="s">
        <v>369</v>
      </c>
      <c r="G1835" s="28">
        <v>12</v>
      </c>
      <c r="H1835" s="32">
        <v>3.34</v>
      </c>
      <c r="I1835" s="32">
        <v>661.22</v>
      </c>
      <c r="J1835" t="s">
        <v>239</v>
      </c>
      <c r="K1835" t="s">
        <v>245</v>
      </c>
      <c r="L1835" t="s">
        <v>235</v>
      </c>
      <c r="M1835" t="s">
        <v>236</v>
      </c>
      <c r="N1835" t="s">
        <v>240</v>
      </c>
      <c r="O1835" s="27">
        <v>46063</v>
      </c>
    </row>
    <row r="1836" spans="2:15" hidden="1" x14ac:dyDescent="0.3">
      <c r="B1836">
        <v>9635202</v>
      </c>
      <c r="C1836" t="s">
        <v>231</v>
      </c>
      <c r="D1836">
        <v>71881</v>
      </c>
      <c r="E1836" t="s">
        <v>150</v>
      </c>
      <c r="F1836" t="s">
        <v>337</v>
      </c>
      <c r="G1836" s="28">
        <v>15</v>
      </c>
      <c r="H1836" s="32">
        <v>3.33</v>
      </c>
      <c r="I1836" s="32">
        <v>544.67999999999995</v>
      </c>
      <c r="J1836" t="s">
        <v>239</v>
      </c>
      <c r="K1836" t="s">
        <v>245</v>
      </c>
      <c r="L1836" t="s">
        <v>235</v>
      </c>
      <c r="M1836" t="s">
        <v>236</v>
      </c>
      <c r="N1836" t="s">
        <v>237</v>
      </c>
      <c r="O1836" s="27">
        <v>46063</v>
      </c>
    </row>
    <row r="1837" spans="2:15" hidden="1" x14ac:dyDescent="0.3">
      <c r="B1837">
        <v>18604718</v>
      </c>
      <c r="C1837" t="s">
        <v>260</v>
      </c>
      <c r="D1837">
        <v>21468</v>
      </c>
      <c r="E1837" t="s">
        <v>150</v>
      </c>
      <c r="F1837" t="s">
        <v>395</v>
      </c>
      <c r="G1837" s="28">
        <v>71</v>
      </c>
      <c r="H1837" s="32">
        <v>3.33</v>
      </c>
      <c r="I1837" s="32">
        <v>454.4</v>
      </c>
      <c r="J1837" t="s">
        <v>330</v>
      </c>
      <c r="K1837" t="s">
        <v>234</v>
      </c>
      <c r="L1837" t="s">
        <v>235</v>
      </c>
      <c r="M1837" t="s">
        <v>236</v>
      </c>
      <c r="N1837" t="s">
        <v>237</v>
      </c>
      <c r="O1837" s="27">
        <v>46062</v>
      </c>
    </row>
    <row r="1838" spans="2:15" hidden="1" x14ac:dyDescent="0.3">
      <c r="B1838">
        <v>8810663</v>
      </c>
      <c r="C1838" t="s">
        <v>231</v>
      </c>
      <c r="D1838">
        <v>72444</v>
      </c>
      <c r="E1838" t="s">
        <v>150</v>
      </c>
      <c r="F1838" t="s">
        <v>160</v>
      </c>
      <c r="G1838" s="28">
        <v>5</v>
      </c>
      <c r="H1838" s="32">
        <v>3.31</v>
      </c>
      <c r="I1838" s="32">
        <v>424.26</v>
      </c>
      <c r="J1838" t="s">
        <v>239</v>
      </c>
      <c r="K1838" t="s">
        <v>245</v>
      </c>
      <c r="L1838" t="s">
        <v>235</v>
      </c>
      <c r="M1838" t="s">
        <v>236</v>
      </c>
      <c r="N1838" t="s">
        <v>240</v>
      </c>
      <c r="O1838" s="27">
        <v>46055</v>
      </c>
    </row>
    <row r="1839" spans="2:15" hidden="1" x14ac:dyDescent="0.3">
      <c r="B1839">
        <v>2033851</v>
      </c>
      <c r="C1839" t="s">
        <v>231</v>
      </c>
      <c r="D1839">
        <v>24415</v>
      </c>
      <c r="E1839" t="s">
        <v>150</v>
      </c>
      <c r="F1839" t="s">
        <v>456</v>
      </c>
      <c r="G1839" s="28">
        <v>21</v>
      </c>
      <c r="H1839" s="32">
        <v>3.3</v>
      </c>
      <c r="I1839" s="32">
        <v>556.84</v>
      </c>
      <c r="J1839" t="s">
        <v>330</v>
      </c>
      <c r="K1839" t="s">
        <v>245</v>
      </c>
      <c r="L1839" t="s">
        <v>235</v>
      </c>
      <c r="M1839" t="s">
        <v>236</v>
      </c>
      <c r="N1839" t="s">
        <v>240</v>
      </c>
      <c r="O1839" s="27">
        <v>46072</v>
      </c>
    </row>
    <row r="1840" spans="2:15" hidden="1" x14ac:dyDescent="0.3">
      <c r="B1840">
        <v>8781959</v>
      </c>
      <c r="C1840" t="s">
        <v>231</v>
      </c>
      <c r="D1840">
        <v>72444</v>
      </c>
      <c r="E1840" t="s">
        <v>150</v>
      </c>
      <c r="F1840" t="s">
        <v>287</v>
      </c>
      <c r="G1840" s="28">
        <v>11</v>
      </c>
      <c r="H1840" s="32">
        <v>3.29</v>
      </c>
      <c r="I1840" s="32">
        <v>343.31</v>
      </c>
      <c r="J1840" t="s">
        <v>239</v>
      </c>
      <c r="K1840" t="s">
        <v>245</v>
      </c>
      <c r="L1840" t="s">
        <v>235</v>
      </c>
      <c r="M1840" t="s">
        <v>236</v>
      </c>
      <c r="N1840" t="s">
        <v>240</v>
      </c>
      <c r="O1840" s="27">
        <v>46055</v>
      </c>
    </row>
    <row r="1841" spans="2:15" hidden="1" x14ac:dyDescent="0.3">
      <c r="B1841">
        <v>8218280</v>
      </c>
      <c r="C1841" t="s">
        <v>260</v>
      </c>
      <c r="D1841">
        <v>21559</v>
      </c>
      <c r="E1841" t="s">
        <v>150</v>
      </c>
      <c r="F1841" t="s">
        <v>369</v>
      </c>
      <c r="G1841" s="28">
        <v>6</v>
      </c>
      <c r="H1841" s="32">
        <v>3.29</v>
      </c>
      <c r="I1841" s="32">
        <v>330.63</v>
      </c>
      <c r="J1841" t="s">
        <v>239</v>
      </c>
      <c r="K1841" t="s">
        <v>245</v>
      </c>
      <c r="L1841" t="s">
        <v>235</v>
      </c>
      <c r="M1841" t="s">
        <v>236</v>
      </c>
      <c r="N1841" t="s">
        <v>240</v>
      </c>
      <c r="O1841" s="27">
        <v>46063</v>
      </c>
    </row>
    <row r="1842" spans="2:15" hidden="1" x14ac:dyDescent="0.3">
      <c r="B1842">
        <v>4358018</v>
      </c>
      <c r="C1842" t="s">
        <v>231</v>
      </c>
      <c r="D1842">
        <v>23410</v>
      </c>
      <c r="E1842" t="s">
        <v>150</v>
      </c>
      <c r="F1842" t="s">
        <v>246</v>
      </c>
      <c r="G1842" s="28">
        <v>6</v>
      </c>
      <c r="H1842" s="32">
        <v>3.27</v>
      </c>
      <c r="I1842" s="32">
        <v>222.89</v>
      </c>
      <c r="J1842" t="s">
        <v>239</v>
      </c>
      <c r="K1842" t="s">
        <v>245</v>
      </c>
      <c r="L1842" t="s">
        <v>235</v>
      </c>
      <c r="M1842" t="s">
        <v>236</v>
      </c>
      <c r="N1842" t="s">
        <v>237</v>
      </c>
      <c r="O1842" s="27">
        <v>46063</v>
      </c>
    </row>
    <row r="1843" spans="2:15" hidden="1" x14ac:dyDescent="0.3">
      <c r="B1843">
        <v>440722</v>
      </c>
      <c r="C1843" t="s">
        <v>231</v>
      </c>
      <c r="D1843">
        <v>21468</v>
      </c>
      <c r="E1843" t="s">
        <v>150</v>
      </c>
      <c r="F1843" t="s">
        <v>163</v>
      </c>
      <c r="G1843" s="28">
        <v>35</v>
      </c>
      <c r="H1843" s="32">
        <v>3.25</v>
      </c>
      <c r="I1843" s="32">
        <v>461.1</v>
      </c>
      <c r="J1843" t="s">
        <v>239</v>
      </c>
      <c r="K1843" t="s">
        <v>245</v>
      </c>
      <c r="L1843" t="s">
        <v>235</v>
      </c>
      <c r="M1843" t="s">
        <v>236</v>
      </c>
      <c r="N1843" t="s">
        <v>237</v>
      </c>
      <c r="O1843" s="27">
        <v>46055</v>
      </c>
    </row>
    <row r="1844" spans="2:15" hidden="1" x14ac:dyDescent="0.3">
      <c r="B1844">
        <v>6468519</v>
      </c>
      <c r="C1844" t="s">
        <v>231</v>
      </c>
      <c r="D1844">
        <v>72444</v>
      </c>
      <c r="E1844" t="s">
        <v>150</v>
      </c>
      <c r="F1844" t="s">
        <v>318</v>
      </c>
      <c r="G1844" s="28">
        <v>2</v>
      </c>
      <c r="H1844" s="32">
        <v>3.24</v>
      </c>
      <c r="I1844" s="32">
        <v>307.44</v>
      </c>
      <c r="J1844" t="s">
        <v>239</v>
      </c>
      <c r="K1844" t="s">
        <v>245</v>
      </c>
      <c r="L1844" t="s">
        <v>235</v>
      </c>
      <c r="M1844" t="s">
        <v>236</v>
      </c>
      <c r="N1844" t="s">
        <v>237</v>
      </c>
      <c r="O1844" s="27">
        <v>46072</v>
      </c>
    </row>
    <row r="1845" spans="2:15" hidden="1" x14ac:dyDescent="0.3">
      <c r="B1845">
        <v>4658833</v>
      </c>
      <c r="C1845" t="s">
        <v>260</v>
      </c>
      <c r="D1845">
        <v>38517</v>
      </c>
      <c r="E1845" t="s">
        <v>150</v>
      </c>
      <c r="F1845" t="s">
        <v>337</v>
      </c>
      <c r="G1845" s="28">
        <v>14</v>
      </c>
      <c r="H1845" s="32">
        <v>3.24</v>
      </c>
      <c r="I1845" s="32">
        <v>514.71</v>
      </c>
      <c r="J1845" t="s">
        <v>239</v>
      </c>
      <c r="K1845" t="s">
        <v>245</v>
      </c>
      <c r="L1845" t="s">
        <v>235</v>
      </c>
      <c r="M1845" t="s">
        <v>236</v>
      </c>
      <c r="N1845" t="s">
        <v>237</v>
      </c>
      <c r="O1845" s="27">
        <v>46055</v>
      </c>
    </row>
    <row r="1846" spans="2:15" hidden="1" x14ac:dyDescent="0.3">
      <c r="B1846">
        <v>3322497</v>
      </c>
      <c r="C1846" t="s">
        <v>231</v>
      </c>
      <c r="D1846">
        <v>40901</v>
      </c>
      <c r="E1846" t="s">
        <v>150</v>
      </c>
      <c r="F1846" t="s">
        <v>301</v>
      </c>
      <c r="G1846" s="28">
        <v>12</v>
      </c>
      <c r="H1846" s="32">
        <v>3.23</v>
      </c>
      <c r="I1846" s="32">
        <v>97.69</v>
      </c>
      <c r="J1846" t="s">
        <v>267</v>
      </c>
      <c r="K1846" t="s">
        <v>245</v>
      </c>
      <c r="L1846" t="s">
        <v>235</v>
      </c>
      <c r="M1846" t="s">
        <v>236</v>
      </c>
      <c r="N1846" t="s">
        <v>240</v>
      </c>
      <c r="O1846" s="27">
        <v>46055</v>
      </c>
    </row>
    <row r="1847" spans="2:15" hidden="1" x14ac:dyDescent="0.3">
      <c r="B1847">
        <v>9673848</v>
      </c>
      <c r="C1847" t="s">
        <v>231</v>
      </c>
      <c r="D1847">
        <v>22674</v>
      </c>
      <c r="E1847" t="s">
        <v>150</v>
      </c>
      <c r="F1847" t="s">
        <v>298</v>
      </c>
      <c r="G1847" s="28">
        <v>11</v>
      </c>
      <c r="H1847" s="32">
        <v>3.22</v>
      </c>
      <c r="I1847" s="32">
        <v>180.58</v>
      </c>
      <c r="J1847" t="s">
        <v>239</v>
      </c>
      <c r="K1847" t="s">
        <v>245</v>
      </c>
      <c r="L1847" t="s">
        <v>235</v>
      </c>
      <c r="M1847" t="s">
        <v>236</v>
      </c>
      <c r="N1847" t="s">
        <v>237</v>
      </c>
      <c r="O1847" s="27">
        <v>46055</v>
      </c>
    </row>
    <row r="1848" spans="2:15" x14ac:dyDescent="0.3">
      <c r="B1848">
        <v>5658854</v>
      </c>
      <c r="C1848" t="s">
        <v>231</v>
      </c>
      <c r="D1848">
        <v>22103</v>
      </c>
      <c r="E1848" t="s">
        <v>150</v>
      </c>
      <c r="F1848" t="s">
        <v>387</v>
      </c>
      <c r="G1848" s="28">
        <v>54</v>
      </c>
      <c r="H1848" s="32">
        <v>3.22</v>
      </c>
      <c r="I1848" s="32">
        <v>639.9</v>
      </c>
      <c r="J1848" t="s">
        <v>330</v>
      </c>
      <c r="K1848" t="s">
        <v>234</v>
      </c>
      <c r="L1848" t="s">
        <v>235</v>
      </c>
      <c r="M1848" t="s">
        <v>236</v>
      </c>
      <c r="N1848" t="s">
        <v>240</v>
      </c>
      <c r="O1848" s="27">
        <v>46076</v>
      </c>
    </row>
    <row r="1849" spans="2:15" hidden="1" x14ac:dyDescent="0.3">
      <c r="B1849">
        <v>3310896</v>
      </c>
      <c r="C1849" t="s">
        <v>260</v>
      </c>
      <c r="D1849">
        <v>21559</v>
      </c>
      <c r="E1849" t="s">
        <v>150</v>
      </c>
      <c r="F1849" t="s">
        <v>282</v>
      </c>
      <c r="G1849" s="28">
        <v>8</v>
      </c>
      <c r="H1849" s="32">
        <v>3.22</v>
      </c>
      <c r="I1849" s="32">
        <v>408.67</v>
      </c>
      <c r="J1849" t="s">
        <v>239</v>
      </c>
      <c r="K1849" t="s">
        <v>245</v>
      </c>
      <c r="L1849" t="s">
        <v>235</v>
      </c>
      <c r="M1849" t="s">
        <v>236</v>
      </c>
      <c r="N1849" t="s">
        <v>240</v>
      </c>
      <c r="O1849" s="27">
        <v>46063</v>
      </c>
    </row>
    <row r="1850" spans="2:15" hidden="1" x14ac:dyDescent="0.3">
      <c r="B1850">
        <v>6468519</v>
      </c>
      <c r="C1850" t="s">
        <v>231</v>
      </c>
      <c r="D1850">
        <v>72444</v>
      </c>
      <c r="E1850" t="s">
        <v>150</v>
      </c>
      <c r="F1850" t="s">
        <v>246</v>
      </c>
      <c r="G1850" s="28">
        <v>13</v>
      </c>
      <c r="H1850" s="32">
        <v>3.21</v>
      </c>
      <c r="I1850" s="32">
        <v>480.36</v>
      </c>
      <c r="J1850" t="s">
        <v>239</v>
      </c>
      <c r="K1850" t="s">
        <v>245</v>
      </c>
      <c r="L1850" t="s">
        <v>235</v>
      </c>
      <c r="M1850" t="s">
        <v>236</v>
      </c>
      <c r="N1850" t="s">
        <v>237</v>
      </c>
      <c r="O1850" s="27">
        <v>46055</v>
      </c>
    </row>
    <row r="1851" spans="2:15" hidden="1" x14ac:dyDescent="0.3">
      <c r="B1851">
        <v>374210</v>
      </c>
      <c r="C1851" t="s">
        <v>260</v>
      </c>
      <c r="D1851">
        <v>24415</v>
      </c>
      <c r="E1851" t="s">
        <v>150</v>
      </c>
      <c r="F1851" t="s">
        <v>251</v>
      </c>
      <c r="G1851" s="28">
        <v>7</v>
      </c>
      <c r="H1851" s="32">
        <v>3.21</v>
      </c>
      <c r="I1851" s="32">
        <v>346.46</v>
      </c>
      <c r="J1851" t="s">
        <v>239</v>
      </c>
      <c r="K1851" t="s">
        <v>245</v>
      </c>
      <c r="L1851" t="s">
        <v>235</v>
      </c>
      <c r="M1851" t="s">
        <v>236</v>
      </c>
      <c r="N1851" t="s">
        <v>237</v>
      </c>
      <c r="O1851" s="27">
        <v>46072</v>
      </c>
    </row>
    <row r="1852" spans="2:15" hidden="1" x14ac:dyDescent="0.3">
      <c r="B1852">
        <v>4382412</v>
      </c>
      <c r="C1852" t="s">
        <v>231</v>
      </c>
      <c r="D1852">
        <v>49894</v>
      </c>
      <c r="E1852" t="s">
        <v>150</v>
      </c>
      <c r="F1852" t="s">
        <v>388</v>
      </c>
      <c r="G1852" s="28">
        <v>42</v>
      </c>
      <c r="H1852" s="32">
        <v>3.2</v>
      </c>
      <c r="I1852" s="32">
        <v>602.28</v>
      </c>
      <c r="J1852" t="s">
        <v>330</v>
      </c>
      <c r="K1852" t="s">
        <v>234</v>
      </c>
      <c r="L1852" t="s">
        <v>235</v>
      </c>
      <c r="M1852" t="s">
        <v>236</v>
      </c>
      <c r="N1852" t="s">
        <v>240</v>
      </c>
      <c r="O1852" s="27">
        <v>46076</v>
      </c>
    </row>
    <row r="1853" spans="2:15" hidden="1" x14ac:dyDescent="0.3">
      <c r="B1853">
        <v>11824888</v>
      </c>
      <c r="C1853" t="s">
        <v>231</v>
      </c>
      <c r="D1853">
        <v>71881</v>
      </c>
      <c r="E1853" t="s">
        <v>150</v>
      </c>
      <c r="F1853" t="s">
        <v>337</v>
      </c>
      <c r="G1853" s="28">
        <v>20</v>
      </c>
      <c r="H1853" s="32">
        <v>3.2</v>
      </c>
      <c r="I1853" s="32">
        <v>726.46</v>
      </c>
      <c r="J1853" t="s">
        <v>239</v>
      </c>
      <c r="K1853" t="s">
        <v>245</v>
      </c>
      <c r="L1853" t="s">
        <v>235</v>
      </c>
      <c r="M1853" t="s">
        <v>236</v>
      </c>
      <c r="N1853" t="s">
        <v>237</v>
      </c>
      <c r="O1853" s="27">
        <v>46063</v>
      </c>
    </row>
    <row r="1854" spans="2:15" hidden="1" x14ac:dyDescent="0.3">
      <c r="B1854">
        <v>250134</v>
      </c>
      <c r="C1854" t="s">
        <v>231</v>
      </c>
      <c r="D1854">
        <v>22674</v>
      </c>
      <c r="E1854" t="s">
        <v>150</v>
      </c>
      <c r="F1854" t="s">
        <v>337</v>
      </c>
      <c r="G1854" s="28">
        <v>16</v>
      </c>
      <c r="H1854" s="32">
        <v>3.2</v>
      </c>
      <c r="I1854" s="32">
        <v>581.17999999999995</v>
      </c>
      <c r="J1854" t="s">
        <v>239</v>
      </c>
      <c r="K1854" t="s">
        <v>245</v>
      </c>
      <c r="L1854" t="s">
        <v>235</v>
      </c>
      <c r="M1854" t="s">
        <v>236</v>
      </c>
      <c r="N1854" t="s">
        <v>237</v>
      </c>
      <c r="O1854" s="27">
        <v>46063</v>
      </c>
    </row>
    <row r="1855" spans="2:15" hidden="1" x14ac:dyDescent="0.3">
      <c r="B1855">
        <v>2410665</v>
      </c>
      <c r="C1855" t="s">
        <v>231</v>
      </c>
      <c r="D1855">
        <v>21559</v>
      </c>
      <c r="E1855" t="s">
        <v>150</v>
      </c>
      <c r="F1855" t="s">
        <v>287</v>
      </c>
      <c r="G1855" s="28">
        <v>15</v>
      </c>
      <c r="H1855" s="32">
        <v>3.18</v>
      </c>
      <c r="I1855" s="32">
        <v>470.49</v>
      </c>
      <c r="J1855" t="s">
        <v>239</v>
      </c>
      <c r="K1855" t="s">
        <v>245</v>
      </c>
      <c r="L1855" t="s">
        <v>235</v>
      </c>
      <c r="M1855" t="s">
        <v>236</v>
      </c>
      <c r="N1855" t="s">
        <v>237</v>
      </c>
      <c r="O1855" s="27">
        <v>46063</v>
      </c>
    </row>
    <row r="1856" spans="2:15" hidden="1" x14ac:dyDescent="0.3">
      <c r="B1856">
        <v>9796204</v>
      </c>
      <c r="C1856" t="s">
        <v>260</v>
      </c>
      <c r="D1856">
        <v>21468</v>
      </c>
      <c r="E1856" t="s">
        <v>150</v>
      </c>
      <c r="F1856" t="s">
        <v>246</v>
      </c>
      <c r="G1856" s="28">
        <v>6</v>
      </c>
      <c r="H1856" s="32">
        <v>3.18</v>
      </c>
      <c r="I1856" s="32">
        <v>227.82</v>
      </c>
      <c r="J1856" t="s">
        <v>239</v>
      </c>
      <c r="K1856" t="s">
        <v>245</v>
      </c>
      <c r="L1856" t="s">
        <v>235</v>
      </c>
      <c r="M1856" t="s">
        <v>236</v>
      </c>
      <c r="N1856" t="s">
        <v>240</v>
      </c>
      <c r="O1856" s="27">
        <v>46072</v>
      </c>
    </row>
    <row r="1857" spans="2:15" hidden="1" x14ac:dyDescent="0.3">
      <c r="B1857">
        <v>6468519</v>
      </c>
      <c r="C1857" t="s">
        <v>231</v>
      </c>
      <c r="D1857">
        <v>72444</v>
      </c>
      <c r="E1857" t="s">
        <v>150</v>
      </c>
      <c r="F1857" t="s">
        <v>163</v>
      </c>
      <c r="G1857" s="28">
        <v>23</v>
      </c>
      <c r="H1857" s="32">
        <v>3.17</v>
      </c>
      <c r="I1857" s="32">
        <v>327.8</v>
      </c>
      <c r="J1857" t="s">
        <v>239</v>
      </c>
      <c r="K1857" t="s">
        <v>245</v>
      </c>
      <c r="L1857" t="s">
        <v>235</v>
      </c>
      <c r="M1857" t="s">
        <v>236</v>
      </c>
      <c r="N1857" t="s">
        <v>237</v>
      </c>
      <c r="O1857" s="27">
        <v>46072</v>
      </c>
    </row>
    <row r="1858" spans="2:15" hidden="1" x14ac:dyDescent="0.3">
      <c r="B1858">
        <v>4358018</v>
      </c>
      <c r="C1858" t="s">
        <v>231</v>
      </c>
      <c r="D1858">
        <v>23410</v>
      </c>
      <c r="E1858" t="s">
        <v>150</v>
      </c>
      <c r="F1858" t="s">
        <v>282</v>
      </c>
      <c r="G1858" s="28">
        <v>5</v>
      </c>
      <c r="H1858" s="32">
        <v>3.17</v>
      </c>
      <c r="I1858" s="32">
        <v>255.43</v>
      </c>
      <c r="J1858" t="s">
        <v>239</v>
      </c>
      <c r="K1858" t="s">
        <v>245</v>
      </c>
      <c r="L1858" t="s">
        <v>235</v>
      </c>
      <c r="M1858" t="s">
        <v>236</v>
      </c>
      <c r="N1858" t="s">
        <v>240</v>
      </c>
      <c r="O1858" s="27">
        <v>46063</v>
      </c>
    </row>
    <row r="1859" spans="2:15" hidden="1" x14ac:dyDescent="0.3">
      <c r="B1859">
        <v>2041860</v>
      </c>
      <c r="C1859" t="s">
        <v>231</v>
      </c>
      <c r="D1859">
        <v>40901</v>
      </c>
      <c r="E1859" t="s">
        <v>150</v>
      </c>
      <c r="F1859" t="s">
        <v>305</v>
      </c>
      <c r="G1859" s="28">
        <v>4</v>
      </c>
      <c r="H1859" s="32">
        <v>3.17</v>
      </c>
      <c r="I1859" s="32">
        <v>423.66</v>
      </c>
      <c r="J1859" t="s">
        <v>267</v>
      </c>
      <c r="K1859" t="s">
        <v>245</v>
      </c>
      <c r="L1859" t="s">
        <v>235</v>
      </c>
      <c r="M1859" t="s">
        <v>236</v>
      </c>
      <c r="N1859" t="s">
        <v>237</v>
      </c>
      <c r="O1859" s="27">
        <v>46055</v>
      </c>
    </row>
    <row r="1860" spans="2:15" hidden="1" x14ac:dyDescent="0.3">
      <c r="B1860">
        <v>8841219</v>
      </c>
      <c r="C1860" t="s">
        <v>231</v>
      </c>
      <c r="D1860">
        <v>21468</v>
      </c>
      <c r="E1860" t="s">
        <v>150</v>
      </c>
      <c r="F1860" t="s">
        <v>246</v>
      </c>
      <c r="G1860" s="28">
        <v>6</v>
      </c>
      <c r="H1860" s="32">
        <v>3.17</v>
      </c>
      <c r="I1860" s="32">
        <v>222.89</v>
      </c>
      <c r="J1860" t="s">
        <v>239</v>
      </c>
      <c r="K1860" t="s">
        <v>245</v>
      </c>
      <c r="L1860" t="s">
        <v>235</v>
      </c>
      <c r="M1860" t="s">
        <v>236</v>
      </c>
      <c r="N1860" t="s">
        <v>237</v>
      </c>
      <c r="O1860" s="27">
        <v>46063</v>
      </c>
    </row>
    <row r="1861" spans="2:15" hidden="1" x14ac:dyDescent="0.3">
      <c r="B1861">
        <v>4744190</v>
      </c>
      <c r="C1861" t="s">
        <v>260</v>
      </c>
      <c r="D1861">
        <v>22674</v>
      </c>
      <c r="E1861" t="s">
        <v>150</v>
      </c>
      <c r="F1861" t="s">
        <v>164</v>
      </c>
      <c r="G1861" s="28">
        <v>7</v>
      </c>
      <c r="H1861" s="32">
        <v>3.17</v>
      </c>
      <c r="I1861" s="32">
        <v>340.28</v>
      </c>
      <c r="J1861" t="s">
        <v>239</v>
      </c>
      <c r="K1861" t="s">
        <v>245</v>
      </c>
      <c r="L1861" t="s">
        <v>235</v>
      </c>
      <c r="M1861" t="s">
        <v>236</v>
      </c>
      <c r="N1861" t="s">
        <v>240</v>
      </c>
      <c r="O1861" s="27">
        <v>46063</v>
      </c>
    </row>
    <row r="1862" spans="2:15" hidden="1" x14ac:dyDescent="0.3">
      <c r="B1862">
        <v>5751194</v>
      </c>
      <c r="C1862" t="s">
        <v>260</v>
      </c>
      <c r="D1862">
        <v>25104</v>
      </c>
      <c r="E1862" t="s">
        <v>150</v>
      </c>
      <c r="F1862" t="s">
        <v>454</v>
      </c>
      <c r="G1862" s="28">
        <v>50</v>
      </c>
      <c r="H1862" s="32">
        <v>3.17</v>
      </c>
      <c r="I1862" s="32">
        <v>760.5</v>
      </c>
      <c r="J1862" t="s">
        <v>330</v>
      </c>
      <c r="K1862" t="s">
        <v>234</v>
      </c>
      <c r="L1862" t="s">
        <v>235</v>
      </c>
      <c r="M1862" t="s">
        <v>236</v>
      </c>
      <c r="N1862" t="s">
        <v>240</v>
      </c>
      <c r="O1862" s="27">
        <v>46064</v>
      </c>
    </row>
    <row r="1863" spans="2:15" hidden="1" x14ac:dyDescent="0.3">
      <c r="B1863">
        <v>3731792</v>
      </c>
      <c r="C1863" t="s">
        <v>260</v>
      </c>
      <c r="D1863">
        <v>69579</v>
      </c>
      <c r="E1863" t="s">
        <v>150</v>
      </c>
      <c r="F1863" t="s">
        <v>246</v>
      </c>
      <c r="G1863" s="28">
        <v>6</v>
      </c>
      <c r="H1863" s="32">
        <v>3.17</v>
      </c>
      <c r="I1863" s="32">
        <v>222.89</v>
      </c>
      <c r="J1863" t="s">
        <v>239</v>
      </c>
      <c r="K1863" t="s">
        <v>245</v>
      </c>
      <c r="L1863" t="s">
        <v>235</v>
      </c>
      <c r="M1863" t="s">
        <v>236</v>
      </c>
      <c r="N1863" t="s">
        <v>237</v>
      </c>
      <c r="O1863" s="27">
        <v>46063</v>
      </c>
    </row>
    <row r="1864" spans="2:15" hidden="1" x14ac:dyDescent="0.3">
      <c r="B1864">
        <v>3845505</v>
      </c>
      <c r="C1864" t="s">
        <v>260</v>
      </c>
      <c r="D1864">
        <v>22674</v>
      </c>
      <c r="E1864" t="s">
        <v>150</v>
      </c>
      <c r="F1864" t="s">
        <v>381</v>
      </c>
      <c r="G1864" s="28">
        <v>34</v>
      </c>
      <c r="H1864" s="32">
        <v>3.16</v>
      </c>
      <c r="I1864" s="32">
        <v>503.2</v>
      </c>
      <c r="J1864" t="s">
        <v>330</v>
      </c>
      <c r="K1864" t="s">
        <v>234</v>
      </c>
      <c r="L1864" t="s">
        <v>235</v>
      </c>
      <c r="M1864" t="s">
        <v>236</v>
      </c>
      <c r="N1864" t="s">
        <v>237</v>
      </c>
      <c r="O1864" s="27">
        <v>46056</v>
      </c>
    </row>
    <row r="1865" spans="2:15" hidden="1" x14ac:dyDescent="0.3">
      <c r="B1865">
        <v>3824485</v>
      </c>
      <c r="C1865" t="s">
        <v>260</v>
      </c>
      <c r="D1865">
        <v>69579</v>
      </c>
      <c r="E1865" t="s">
        <v>150</v>
      </c>
      <c r="F1865" t="s">
        <v>164</v>
      </c>
      <c r="G1865" s="28">
        <v>5</v>
      </c>
      <c r="H1865" s="32">
        <v>3.16</v>
      </c>
      <c r="I1865" s="32">
        <v>242.77</v>
      </c>
      <c r="J1865" t="s">
        <v>239</v>
      </c>
      <c r="K1865" t="s">
        <v>245</v>
      </c>
      <c r="L1865" t="s">
        <v>235</v>
      </c>
      <c r="M1865" t="s">
        <v>236</v>
      </c>
      <c r="N1865" t="s">
        <v>240</v>
      </c>
      <c r="O1865" s="27">
        <v>46072</v>
      </c>
    </row>
    <row r="1866" spans="2:15" hidden="1" x14ac:dyDescent="0.3">
      <c r="B1866">
        <v>11824888</v>
      </c>
      <c r="C1866" t="s">
        <v>231</v>
      </c>
      <c r="D1866">
        <v>71881</v>
      </c>
      <c r="E1866" t="s">
        <v>150</v>
      </c>
      <c r="F1866" t="s">
        <v>287</v>
      </c>
      <c r="G1866" s="28">
        <v>20</v>
      </c>
      <c r="H1866" s="32">
        <v>3.15</v>
      </c>
      <c r="I1866" s="32">
        <v>627.29999999999995</v>
      </c>
      <c r="J1866" t="s">
        <v>239</v>
      </c>
      <c r="K1866" t="s">
        <v>245</v>
      </c>
      <c r="L1866" t="s">
        <v>235</v>
      </c>
      <c r="M1866" t="s">
        <v>236</v>
      </c>
      <c r="N1866" t="s">
        <v>240</v>
      </c>
      <c r="O1866" s="27">
        <v>46063</v>
      </c>
    </row>
    <row r="1867" spans="2:15" hidden="1" x14ac:dyDescent="0.3">
      <c r="B1867">
        <v>5664804</v>
      </c>
      <c r="C1867" t="s">
        <v>231</v>
      </c>
      <c r="D1867">
        <v>69493</v>
      </c>
      <c r="E1867" t="s">
        <v>150</v>
      </c>
      <c r="F1867" t="s">
        <v>163</v>
      </c>
      <c r="G1867" s="28">
        <v>24</v>
      </c>
      <c r="H1867" s="32">
        <v>3.15</v>
      </c>
      <c r="I1867" s="32">
        <v>316.18</v>
      </c>
      <c r="J1867" t="s">
        <v>239</v>
      </c>
      <c r="K1867" t="s">
        <v>245</v>
      </c>
      <c r="L1867" t="s">
        <v>235</v>
      </c>
      <c r="M1867" t="s">
        <v>236</v>
      </c>
      <c r="N1867" t="s">
        <v>237</v>
      </c>
      <c r="O1867" s="27">
        <v>46055</v>
      </c>
    </row>
    <row r="1868" spans="2:15" hidden="1" x14ac:dyDescent="0.3">
      <c r="B1868">
        <v>2562251</v>
      </c>
      <c r="C1868" t="s">
        <v>231</v>
      </c>
      <c r="D1868">
        <v>23648</v>
      </c>
      <c r="E1868" t="s">
        <v>150</v>
      </c>
      <c r="F1868" t="s">
        <v>164</v>
      </c>
      <c r="G1868" s="28">
        <v>8</v>
      </c>
      <c r="H1868" s="32">
        <v>3.15</v>
      </c>
      <c r="I1868" s="32">
        <v>388.89</v>
      </c>
      <c r="J1868" t="s">
        <v>239</v>
      </c>
      <c r="K1868" t="s">
        <v>245</v>
      </c>
      <c r="L1868" t="s">
        <v>235</v>
      </c>
      <c r="M1868" t="s">
        <v>236</v>
      </c>
      <c r="N1868" t="s">
        <v>240</v>
      </c>
      <c r="O1868" s="27">
        <v>46063</v>
      </c>
    </row>
    <row r="1869" spans="2:15" hidden="1" x14ac:dyDescent="0.3">
      <c r="B1869">
        <v>2013549</v>
      </c>
      <c r="C1869" t="s">
        <v>231</v>
      </c>
      <c r="D1869">
        <v>23648</v>
      </c>
      <c r="E1869" t="s">
        <v>150</v>
      </c>
      <c r="F1869" t="s">
        <v>387</v>
      </c>
      <c r="G1869" s="28">
        <v>54</v>
      </c>
      <c r="H1869" s="32">
        <v>3.14</v>
      </c>
      <c r="I1869" s="32">
        <v>611.28</v>
      </c>
      <c r="J1869" t="s">
        <v>330</v>
      </c>
      <c r="K1869" t="s">
        <v>234</v>
      </c>
      <c r="L1869" t="s">
        <v>235</v>
      </c>
      <c r="M1869" t="s">
        <v>236</v>
      </c>
      <c r="N1869" t="s">
        <v>240</v>
      </c>
      <c r="O1869" s="27">
        <v>46059</v>
      </c>
    </row>
    <row r="1870" spans="2:15" hidden="1" x14ac:dyDescent="0.3">
      <c r="B1870">
        <v>3528854</v>
      </c>
      <c r="C1870" t="s">
        <v>231</v>
      </c>
      <c r="D1870">
        <v>71881</v>
      </c>
      <c r="E1870" t="s">
        <v>150</v>
      </c>
      <c r="F1870" t="s">
        <v>246</v>
      </c>
      <c r="G1870" s="28">
        <v>6</v>
      </c>
      <c r="H1870" s="32">
        <v>3.14</v>
      </c>
      <c r="I1870" s="32">
        <v>222.89</v>
      </c>
      <c r="J1870" t="s">
        <v>239</v>
      </c>
      <c r="K1870" t="s">
        <v>245</v>
      </c>
      <c r="L1870" t="s">
        <v>235</v>
      </c>
      <c r="M1870" t="s">
        <v>236</v>
      </c>
      <c r="N1870" t="s">
        <v>237</v>
      </c>
      <c r="O1870" s="27">
        <v>46063</v>
      </c>
    </row>
    <row r="1871" spans="2:15" hidden="1" x14ac:dyDescent="0.3">
      <c r="B1871">
        <v>325473</v>
      </c>
      <c r="C1871" t="s">
        <v>231</v>
      </c>
      <c r="D1871">
        <v>22674</v>
      </c>
      <c r="E1871" t="s">
        <v>150</v>
      </c>
      <c r="F1871" t="s">
        <v>319</v>
      </c>
      <c r="G1871" s="28">
        <v>15</v>
      </c>
      <c r="H1871" s="32">
        <v>3.14</v>
      </c>
      <c r="I1871" s="32">
        <v>605.79999999999995</v>
      </c>
      <c r="J1871" t="s">
        <v>239</v>
      </c>
      <c r="K1871" t="s">
        <v>245</v>
      </c>
      <c r="L1871" t="s">
        <v>235</v>
      </c>
      <c r="M1871" t="s">
        <v>236</v>
      </c>
      <c r="N1871" t="s">
        <v>240</v>
      </c>
      <c r="O1871" s="27">
        <v>46063</v>
      </c>
    </row>
    <row r="1872" spans="2:15" hidden="1" x14ac:dyDescent="0.3">
      <c r="B1872">
        <v>4658833</v>
      </c>
      <c r="C1872" t="s">
        <v>260</v>
      </c>
      <c r="D1872">
        <v>38517</v>
      </c>
      <c r="E1872" t="s">
        <v>150</v>
      </c>
      <c r="F1872" t="s">
        <v>164</v>
      </c>
      <c r="G1872" s="28">
        <v>8</v>
      </c>
      <c r="H1872" s="32">
        <v>3.14</v>
      </c>
      <c r="I1872" s="32">
        <v>388.89</v>
      </c>
      <c r="J1872" t="s">
        <v>239</v>
      </c>
      <c r="K1872" t="s">
        <v>245</v>
      </c>
      <c r="L1872" t="s">
        <v>235</v>
      </c>
      <c r="M1872" t="s">
        <v>236</v>
      </c>
      <c r="N1872" t="s">
        <v>240</v>
      </c>
      <c r="O1872" s="27">
        <v>46063</v>
      </c>
    </row>
    <row r="1873" spans="2:15" x14ac:dyDescent="0.3">
      <c r="B1873">
        <v>8907980</v>
      </c>
      <c r="C1873" t="s">
        <v>231</v>
      </c>
      <c r="D1873">
        <v>22103</v>
      </c>
      <c r="E1873" t="s">
        <v>150</v>
      </c>
      <c r="F1873" t="s">
        <v>298</v>
      </c>
      <c r="G1873" s="28">
        <v>11</v>
      </c>
      <c r="H1873" s="32">
        <v>3.13</v>
      </c>
      <c r="I1873" s="32">
        <v>180.58</v>
      </c>
      <c r="J1873" t="s">
        <v>239</v>
      </c>
      <c r="K1873" t="s">
        <v>245</v>
      </c>
      <c r="L1873" t="s">
        <v>235</v>
      </c>
      <c r="M1873" t="s">
        <v>236</v>
      </c>
      <c r="N1873" t="s">
        <v>237</v>
      </c>
      <c r="O1873" s="27">
        <v>46055</v>
      </c>
    </row>
    <row r="1874" spans="2:15" hidden="1" x14ac:dyDescent="0.3">
      <c r="B1874">
        <v>11593572</v>
      </c>
      <c r="C1874" t="s">
        <v>231</v>
      </c>
      <c r="D1874">
        <v>22674</v>
      </c>
      <c r="E1874" t="s">
        <v>150</v>
      </c>
      <c r="F1874" t="s">
        <v>323</v>
      </c>
      <c r="G1874" s="28">
        <v>37</v>
      </c>
      <c r="H1874" s="32">
        <v>3.12</v>
      </c>
      <c r="I1874" s="32">
        <v>256.17</v>
      </c>
      <c r="J1874" t="s">
        <v>267</v>
      </c>
      <c r="K1874" t="s">
        <v>245</v>
      </c>
      <c r="L1874" t="s">
        <v>235</v>
      </c>
      <c r="M1874" t="s">
        <v>236</v>
      </c>
      <c r="N1874" t="s">
        <v>237</v>
      </c>
      <c r="O1874" s="27">
        <v>46056</v>
      </c>
    </row>
    <row r="1875" spans="2:15" hidden="1" x14ac:dyDescent="0.3">
      <c r="B1875">
        <v>2727239</v>
      </c>
      <c r="C1875" t="s">
        <v>231</v>
      </c>
      <c r="D1875">
        <v>21559</v>
      </c>
      <c r="E1875" t="s">
        <v>150</v>
      </c>
      <c r="F1875" t="s">
        <v>319</v>
      </c>
      <c r="G1875" s="28">
        <v>15</v>
      </c>
      <c r="H1875" s="32">
        <v>3.11</v>
      </c>
      <c r="I1875" s="32">
        <v>605.74</v>
      </c>
      <c r="J1875" t="s">
        <v>239</v>
      </c>
      <c r="K1875" t="s">
        <v>245</v>
      </c>
      <c r="L1875" t="s">
        <v>235</v>
      </c>
      <c r="M1875" t="s">
        <v>236</v>
      </c>
      <c r="N1875" t="s">
        <v>240</v>
      </c>
      <c r="O1875" s="27">
        <v>46063</v>
      </c>
    </row>
    <row r="1876" spans="2:15" hidden="1" x14ac:dyDescent="0.3">
      <c r="B1876">
        <v>9303108</v>
      </c>
      <c r="C1876" t="s">
        <v>260</v>
      </c>
      <c r="D1876">
        <v>69493</v>
      </c>
      <c r="E1876" t="s">
        <v>150</v>
      </c>
      <c r="F1876" t="s">
        <v>271</v>
      </c>
      <c r="G1876" s="28">
        <v>31</v>
      </c>
      <c r="H1876" s="32">
        <v>3.11</v>
      </c>
      <c r="I1876" s="32">
        <v>547.34</v>
      </c>
      <c r="J1876" t="s">
        <v>239</v>
      </c>
      <c r="K1876" t="s">
        <v>245</v>
      </c>
      <c r="L1876" t="s">
        <v>235</v>
      </c>
      <c r="M1876" t="s">
        <v>236</v>
      </c>
      <c r="N1876" t="s">
        <v>237</v>
      </c>
      <c r="O1876" s="27">
        <v>46055</v>
      </c>
    </row>
    <row r="1877" spans="2:15" hidden="1" x14ac:dyDescent="0.3">
      <c r="B1877">
        <v>8218280</v>
      </c>
      <c r="C1877" t="s">
        <v>260</v>
      </c>
      <c r="D1877">
        <v>21559</v>
      </c>
      <c r="E1877" t="s">
        <v>150</v>
      </c>
      <c r="F1877" t="s">
        <v>246</v>
      </c>
      <c r="G1877" s="28">
        <v>6</v>
      </c>
      <c r="H1877" s="32">
        <v>3.11</v>
      </c>
      <c r="I1877" s="32">
        <v>222.89</v>
      </c>
      <c r="J1877" t="s">
        <v>239</v>
      </c>
      <c r="K1877" t="s">
        <v>245</v>
      </c>
      <c r="L1877" t="s">
        <v>235</v>
      </c>
      <c r="M1877" t="s">
        <v>236</v>
      </c>
      <c r="N1877" t="s">
        <v>237</v>
      </c>
      <c r="O1877" s="27">
        <v>46063</v>
      </c>
    </row>
    <row r="1878" spans="2:15" hidden="1" x14ac:dyDescent="0.3">
      <c r="B1878">
        <v>15947590</v>
      </c>
      <c r="C1878" t="s">
        <v>231</v>
      </c>
      <c r="D1878">
        <v>69519</v>
      </c>
      <c r="E1878" t="s">
        <v>150</v>
      </c>
      <c r="F1878" t="s">
        <v>319</v>
      </c>
      <c r="G1878" s="28">
        <v>15</v>
      </c>
      <c r="H1878" s="32">
        <v>3.1</v>
      </c>
      <c r="I1878" s="32">
        <v>605.74</v>
      </c>
      <c r="J1878" t="s">
        <v>239</v>
      </c>
      <c r="K1878" t="s">
        <v>245</v>
      </c>
      <c r="L1878" t="s">
        <v>235</v>
      </c>
      <c r="M1878" t="s">
        <v>236</v>
      </c>
      <c r="N1878" t="s">
        <v>240</v>
      </c>
      <c r="O1878" s="27">
        <v>46063</v>
      </c>
    </row>
    <row r="1879" spans="2:15" hidden="1" x14ac:dyDescent="0.3">
      <c r="B1879">
        <v>3496979</v>
      </c>
      <c r="C1879" t="s">
        <v>231</v>
      </c>
      <c r="D1879">
        <v>21468</v>
      </c>
      <c r="E1879" t="s">
        <v>150</v>
      </c>
      <c r="F1879" t="s">
        <v>246</v>
      </c>
      <c r="G1879" s="28">
        <v>5</v>
      </c>
      <c r="H1879" s="32">
        <v>3.08</v>
      </c>
      <c r="I1879" s="32">
        <v>184.75</v>
      </c>
      <c r="J1879" t="s">
        <v>239</v>
      </c>
      <c r="K1879" t="s">
        <v>245</v>
      </c>
      <c r="L1879" t="s">
        <v>235</v>
      </c>
      <c r="M1879" t="s">
        <v>236</v>
      </c>
      <c r="N1879" t="s">
        <v>237</v>
      </c>
      <c r="O1879" s="27">
        <v>46055</v>
      </c>
    </row>
    <row r="1880" spans="2:15" hidden="1" x14ac:dyDescent="0.3">
      <c r="B1880">
        <v>2747758</v>
      </c>
      <c r="C1880" t="s">
        <v>231</v>
      </c>
      <c r="D1880">
        <v>96553</v>
      </c>
      <c r="E1880" t="s">
        <v>150</v>
      </c>
      <c r="F1880" t="s">
        <v>287</v>
      </c>
      <c r="G1880" s="28">
        <v>13</v>
      </c>
      <c r="H1880" s="32">
        <v>3.07</v>
      </c>
      <c r="I1880" s="32">
        <v>407.78</v>
      </c>
      <c r="J1880" t="s">
        <v>239</v>
      </c>
      <c r="K1880" t="s">
        <v>245</v>
      </c>
      <c r="L1880" t="s">
        <v>235</v>
      </c>
      <c r="M1880" t="s">
        <v>236</v>
      </c>
      <c r="N1880" t="s">
        <v>237</v>
      </c>
      <c r="O1880" s="27">
        <v>46063</v>
      </c>
    </row>
    <row r="1881" spans="2:15" hidden="1" x14ac:dyDescent="0.3">
      <c r="B1881">
        <v>4686193</v>
      </c>
      <c r="C1881" t="s">
        <v>231</v>
      </c>
      <c r="D1881">
        <v>21468</v>
      </c>
      <c r="E1881" t="s">
        <v>150</v>
      </c>
      <c r="F1881" t="s">
        <v>287</v>
      </c>
      <c r="G1881" s="28">
        <v>13</v>
      </c>
      <c r="H1881" s="32">
        <v>3.07</v>
      </c>
      <c r="I1881" s="32">
        <v>407.78</v>
      </c>
      <c r="J1881" t="s">
        <v>239</v>
      </c>
      <c r="K1881" t="s">
        <v>245</v>
      </c>
      <c r="L1881" t="s">
        <v>235</v>
      </c>
      <c r="M1881" t="s">
        <v>236</v>
      </c>
      <c r="N1881" t="s">
        <v>237</v>
      </c>
      <c r="O1881" s="27">
        <v>46063</v>
      </c>
    </row>
    <row r="1882" spans="2:15" hidden="1" x14ac:dyDescent="0.3">
      <c r="B1882">
        <v>5979107</v>
      </c>
      <c r="C1882" t="s">
        <v>231</v>
      </c>
      <c r="D1882">
        <v>35984</v>
      </c>
      <c r="E1882" t="s">
        <v>150</v>
      </c>
      <c r="F1882" t="s">
        <v>287</v>
      </c>
      <c r="G1882" s="28">
        <v>5</v>
      </c>
      <c r="H1882" s="32">
        <v>3.07</v>
      </c>
      <c r="I1882" s="32">
        <v>156.01</v>
      </c>
      <c r="J1882" t="s">
        <v>239</v>
      </c>
      <c r="K1882" t="s">
        <v>245</v>
      </c>
      <c r="L1882" t="s">
        <v>235</v>
      </c>
      <c r="M1882" t="s">
        <v>236</v>
      </c>
      <c r="N1882" t="s">
        <v>237</v>
      </c>
      <c r="O1882" s="27">
        <v>46055</v>
      </c>
    </row>
    <row r="1883" spans="2:15" hidden="1" x14ac:dyDescent="0.3">
      <c r="B1883">
        <v>2603913</v>
      </c>
      <c r="C1883" t="s">
        <v>231</v>
      </c>
      <c r="D1883">
        <v>69519</v>
      </c>
      <c r="E1883" t="s">
        <v>150</v>
      </c>
      <c r="F1883" t="s">
        <v>386</v>
      </c>
      <c r="G1883" s="28">
        <v>4</v>
      </c>
      <c r="H1883" s="32">
        <v>3.07</v>
      </c>
      <c r="I1883" s="32">
        <v>389.78</v>
      </c>
      <c r="J1883" t="s">
        <v>267</v>
      </c>
      <c r="K1883" t="s">
        <v>245</v>
      </c>
      <c r="L1883" t="s">
        <v>235</v>
      </c>
      <c r="M1883" t="s">
        <v>236</v>
      </c>
      <c r="N1883" t="s">
        <v>237</v>
      </c>
      <c r="O1883" s="27">
        <v>46063</v>
      </c>
    </row>
    <row r="1884" spans="2:15" x14ac:dyDescent="0.3">
      <c r="B1884">
        <v>7397602</v>
      </c>
      <c r="C1884" t="s">
        <v>231</v>
      </c>
      <c r="D1884">
        <v>22103</v>
      </c>
      <c r="E1884" t="s">
        <v>150</v>
      </c>
      <c r="F1884" t="s">
        <v>337</v>
      </c>
      <c r="G1884" s="28">
        <v>13</v>
      </c>
      <c r="H1884" s="32">
        <v>3.07</v>
      </c>
      <c r="I1884" s="32">
        <v>477.79</v>
      </c>
      <c r="J1884" t="s">
        <v>239</v>
      </c>
      <c r="K1884" t="s">
        <v>245</v>
      </c>
      <c r="L1884" t="s">
        <v>235</v>
      </c>
      <c r="M1884" t="s">
        <v>236</v>
      </c>
      <c r="N1884" t="s">
        <v>237</v>
      </c>
      <c r="O1884" s="27">
        <v>46055</v>
      </c>
    </row>
    <row r="1885" spans="2:15" hidden="1" x14ac:dyDescent="0.3">
      <c r="B1885">
        <v>3687422</v>
      </c>
      <c r="C1885" t="s">
        <v>260</v>
      </c>
      <c r="D1885">
        <v>68542</v>
      </c>
      <c r="E1885" t="s">
        <v>150</v>
      </c>
      <c r="F1885" t="s">
        <v>301</v>
      </c>
      <c r="G1885" s="28">
        <v>34</v>
      </c>
      <c r="H1885" s="32">
        <v>3.06</v>
      </c>
      <c r="I1885" s="32">
        <v>275.22000000000003</v>
      </c>
      <c r="J1885" t="s">
        <v>267</v>
      </c>
      <c r="K1885" t="s">
        <v>245</v>
      </c>
      <c r="L1885" t="s">
        <v>235</v>
      </c>
      <c r="M1885" t="s">
        <v>236</v>
      </c>
      <c r="N1885" t="s">
        <v>237</v>
      </c>
      <c r="O1885" s="27">
        <v>46057</v>
      </c>
    </row>
    <row r="1886" spans="2:15" hidden="1" x14ac:dyDescent="0.3">
      <c r="B1886">
        <v>3914788</v>
      </c>
      <c r="C1886" t="s">
        <v>260</v>
      </c>
      <c r="D1886">
        <v>21468</v>
      </c>
      <c r="E1886" t="s">
        <v>150</v>
      </c>
      <c r="F1886" t="s">
        <v>164</v>
      </c>
      <c r="G1886" s="28">
        <v>6</v>
      </c>
      <c r="H1886" s="32">
        <v>3.05</v>
      </c>
      <c r="I1886" s="32">
        <v>291.74</v>
      </c>
      <c r="J1886" t="s">
        <v>239</v>
      </c>
      <c r="K1886" t="s">
        <v>245</v>
      </c>
      <c r="L1886" t="s">
        <v>235</v>
      </c>
      <c r="M1886" t="s">
        <v>236</v>
      </c>
      <c r="N1886" t="s">
        <v>240</v>
      </c>
      <c r="O1886" s="27">
        <v>46063</v>
      </c>
    </row>
    <row r="1887" spans="2:15" hidden="1" x14ac:dyDescent="0.3">
      <c r="B1887">
        <v>2328302</v>
      </c>
      <c r="C1887" t="s">
        <v>231</v>
      </c>
      <c r="D1887">
        <v>22674</v>
      </c>
      <c r="E1887" t="s">
        <v>150</v>
      </c>
      <c r="F1887" t="s">
        <v>319</v>
      </c>
      <c r="G1887" s="28">
        <v>19</v>
      </c>
      <c r="H1887" s="32">
        <v>3.04</v>
      </c>
      <c r="I1887" s="32">
        <v>712.33</v>
      </c>
      <c r="J1887" t="s">
        <v>239</v>
      </c>
      <c r="K1887" t="s">
        <v>245</v>
      </c>
      <c r="L1887" t="s">
        <v>235</v>
      </c>
      <c r="M1887" t="s">
        <v>236</v>
      </c>
      <c r="N1887" t="s">
        <v>240</v>
      </c>
      <c r="O1887" s="27">
        <v>46055</v>
      </c>
    </row>
    <row r="1888" spans="2:15" hidden="1" x14ac:dyDescent="0.3">
      <c r="B1888">
        <v>15947590</v>
      </c>
      <c r="C1888" t="s">
        <v>231</v>
      </c>
      <c r="D1888">
        <v>69519</v>
      </c>
      <c r="E1888" t="s">
        <v>150</v>
      </c>
      <c r="F1888" t="s">
        <v>337</v>
      </c>
      <c r="G1888" s="28">
        <v>15</v>
      </c>
      <c r="H1888" s="32">
        <v>3.03</v>
      </c>
      <c r="I1888" s="32">
        <v>544.67999999999995</v>
      </c>
      <c r="J1888" t="s">
        <v>239</v>
      </c>
      <c r="K1888" t="s">
        <v>245</v>
      </c>
      <c r="L1888" t="s">
        <v>235</v>
      </c>
      <c r="M1888" t="s">
        <v>236</v>
      </c>
      <c r="N1888" t="s">
        <v>237</v>
      </c>
      <c r="O1888" s="27">
        <v>46063</v>
      </c>
    </row>
    <row r="1889" spans="2:15" hidden="1" x14ac:dyDescent="0.3">
      <c r="B1889">
        <v>2727239</v>
      </c>
      <c r="C1889" t="s">
        <v>231</v>
      </c>
      <c r="D1889">
        <v>21559</v>
      </c>
      <c r="E1889" t="s">
        <v>150</v>
      </c>
      <c r="F1889" t="s">
        <v>337</v>
      </c>
      <c r="G1889" s="28">
        <v>15</v>
      </c>
      <c r="H1889" s="32">
        <v>3.03</v>
      </c>
      <c r="I1889" s="32">
        <v>544.67999999999995</v>
      </c>
      <c r="J1889" t="s">
        <v>239</v>
      </c>
      <c r="K1889" t="s">
        <v>245</v>
      </c>
      <c r="L1889" t="s">
        <v>235</v>
      </c>
      <c r="M1889" t="s">
        <v>236</v>
      </c>
      <c r="N1889" t="s">
        <v>237</v>
      </c>
      <c r="O1889" s="27">
        <v>46063</v>
      </c>
    </row>
    <row r="1890" spans="2:15" hidden="1" x14ac:dyDescent="0.3">
      <c r="B1890">
        <v>5362471</v>
      </c>
      <c r="C1890" t="s">
        <v>260</v>
      </c>
      <c r="D1890">
        <v>22674</v>
      </c>
      <c r="E1890" t="s">
        <v>150</v>
      </c>
      <c r="F1890" t="s">
        <v>164</v>
      </c>
      <c r="G1890" s="28">
        <v>6</v>
      </c>
      <c r="H1890" s="32">
        <v>3.03</v>
      </c>
      <c r="I1890" s="32">
        <v>291.74</v>
      </c>
      <c r="J1890" t="s">
        <v>239</v>
      </c>
      <c r="K1890" t="s">
        <v>245</v>
      </c>
      <c r="L1890" t="s">
        <v>235</v>
      </c>
      <c r="M1890" t="s">
        <v>236</v>
      </c>
      <c r="N1890" t="s">
        <v>240</v>
      </c>
      <c r="O1890" s="27">
        <v>46063</v>
      </c>
    </row>
    <row r="1891" spans="2:15" hidden="1" x14ac:dyDescent="0.3">
      <c r="B1891">
        <v>8142187</v>
      </c>
      <c r="C1891" t="s">
        <v>260</v>
      </c>
      <c r="D1891">
        <v>21468</v>
      </c>
      <c r="E1891" t="s">
        <v>150</v>
      </c>
      <c r="F1891" t="s">
        <v>164</v>
      </c>
      <c r="G1891" s="28">
        <v>6</v>
      </c>
      <c r="H1891" s="32">
        <v>3.03</v>
      </c>
      <c r="I1891" s="32">
        <v>291.75</v>
      </c>
      <c r="J1891" t="s">
        <v>239</v>
      </c>
      <c r="K1891" t="s">
        <v>245</v>
      </c>
      <c r="L1891" t="s">
        <v>235</v>
      </c>
      <c r="M1891" t="s">
        <v>236</v>
      </c>
      <c r="N1891" t="s">
        <v>240</v>
      </c>
      <c r="O1891" s="27">
        <v>46063</v>
      </c>
    </row>
    <row r="1892" spans="2:15" hidden="1" x14ac:dyDescent="0.3">
      <c r="B1892">
        <v>6978173</v>
      </c>
      <c r="C1892" t="s">
        <v>231</v>
      </c>
      <c r="D1892">
        <v>38517</v>
      </c>
      <c r="E1892" t="s">
        <v>150</v>
      </c>
      <c r="F1892" t="s">
        <v>287</v>
      </c>
      <c r="G1892" s="28">
        <v>13</v>
      </c>
      <c r="H1892" s="32">
        <v>3.02</v>
      </c>
      <c r="I1892" s="32">
        <v>407.78</v>
      </c>
      <c r="J1892" t="s">
        <v>239</v>
      </c>
      <c r="K1892" t="s">
        <v>245</v>
      </c>
      <c r="L1892" t="s">
        <v>235</v>
      </c>
      <c r="M1892" t="s">
        <v>236</v>
      </c>
      <c r="N1892" t="s">
        <v>237</v>
      </c>
      <c r="O1892" s="27">
        <v>46063</v>
      </c>
    </row>
    <row r="1893" spans="2:15" hidden="1" x14ac:dyDescent="0.3">
      <c r="B1893">
        <v>374210</v>
      </c>
      <c r="C1893" t="s">
        <v>260</v>
      </c>
      <c r="D1893">
        <v>24415</v>
      </c>
      <c r="E1893" t="s">
        <v>150</v>
      </c>
      <c r="F1893" t="s">
        <v>338</v>
      </c>
      <c r="G1893" s="28">
        <v>5</v>
      </c>
      <c r="H1893" s="32">
        <v>3.02</v>
      </c>
      <c r="I1893" s="32">
        <v>325.33</v>
      </c>
      <c r="J1893" t="s">
        <v>239</v>
      </c>
      <c r="K1893" t="s">
        <v>245</v>
      </c>
      <c r="L1893" t="s">
        <v>235</v>
      </c>
      <c r="M1893" t="s">
        <v>236</v>
      </c>
      <c r="N1893" t="s">
        <v>237</v>
      </c>
      <c r="O1893" s="27">
        <v>46072</v>
      </c>
    </row>
    <row r="1894" spans="2:15" hidden="1" x14ac:dyDescent="0.3">
      <c r="B1894">
        <v>2340782</v>
      </c>
      <c r="C1894" t="s">
        <v>231</v>
      </c>
      <c r="D1894">
        <v>49894</v>
      </c>
      <c r="E1894" t="s">
        <v>150</v>
      </c>
      <c r="F1894" t="s">
        <v>287</v>
      </c>
      <c r="G1894" s="28">
        <v>13</v>
      </c>
      <c r="H1894" s="32">
        <v>3.01</v>
      </c>
      <c r="I1894" s="32">
        <v>407.78</v>
      </c>
      <c r="J1894" t="s">
        <v>239</v>
      </c>
      <c r="K1894" t="s">
        <v>245</v>
      </c>
      <c r="L1894" t="s">
        <v>235</v>
      </c>
      <c r="M1894" t="s">
        <v>236</v>
      </c>
      <c r="N1894" t="s">
        <v>237</v>
      </c>
      <c r="O1894" s="27">
        <v>46063</v>
      </c>
    </row>
    <row r="1895" spans="2:15" x14ac:dyDescent="0.3">
      <c r="B1895">
        <v>7397602</v>
      </c>
      <c r="C1895" t="s">
        <v>231</v>
      </c>
      <c r="D1895">
        <v>22103</v>
      </c>
      <c r="E1895" t="s">
        <v>150</v>
      </c>
      <c r="F1895" t="s">
        <v>287</v>
      </c>
      <c r="G1895" s="28">
        <v>15</v>
      </c>
      <c r="H1895" s="32">
        <v>3.01</v>
      </c>
      <c r="I1895" s="32">
        <v>468.22</v>
      </c>
      <c r="J1895" t="s">
        <v>239</v>
      </c>
      <c r="K1895" t="s">
        <v>245</v>
      </c>
      <c r="L1895" t="s">
        <v>235</v>
      </c>
      <c r="M1895" t="s">
        <v>236</v>
      </c>
      <c r="N1895" t="s">
        <v>237</v>
      </c>
      <c r="O1895" s="27">
        <v>46055</v>
      </c>
    </row>
    <row r="1896" spans="2:15" hidden="1" x14ac:dyDescent="0.3">
      <c r="B1896">
        <v>2603913</v>
      </c>
      <c r="C1896" t="s">
        <v>231</v>
      </c>
      <c r="D1896">
        <v>69519</v>
      </c>
      <c r="E1896" t="s">
        <v>150</v>
      </c>
      <c r="F1896" t="s">
        <v>371</v>
      </c>
      <c r="G1896" s="28">
        <v>21</v>
      </c>
      <c r="H1896" s="32">
        <v>3.01</v>
      </c>
      <c r="I1896" s="32">
        <v>194.92</v>
      </c>
      <c r="J1896" t="s">
        <v>267</v>
      </c>
      <c r="K1896" t="s">
        <v>245</v>
      </c>
      <c r="L1896" t="s">
        <v>235</v>
      </c>
      <c r="M1896" t="s">
        <v>236</v>
      </c>
      <c r="N1896" t="s">
        <v>240</v>
      </c>
      <c r="O1896" s="27">
        <v>46063</v>
      </c>
    </row>
    <row r="1897" spans="2:15" hidden="1" x14ac:dyDescent="0.3">
      <c r="B1897">
        <v>357627</v>
      </c>
      <c r="C1897" t="s">
        <v>231</v>
      </c>
      <c r="D1897">
        <v>72444</v>
      </c>
      <c r="E1897" t="s">
        <v>150</v>
      </c>
      <c r="F1897" t="s">
        <v>160</v>
      </c>
      <c r="G1897" s="28">
        <v>6</v>
      </c>
      <c r="H1897" s="32">
        <v>3</v>
      </c>
      <c r="I1897" s="32">
        <v>509.11</v>
      </c>
      <c r="J1897" t="s">
        <v>239</v>
      </c>
      <c r="K1897" t="s">
        <v>245</v>
      </c>
      <c r="L1897" t="s">
        <v>235</v>
      </c>
      <c r="M1897" t="s">
        <v>236</v>
      </c>
      <c r="N1897" t="s">
        <v>240</v>
      </c>
      <c r="O1897" s="27">
        <v>46055</v>
      </c>
    </row>
    <row r="1898" spans="2:15" hidden="1" x14ac:dyDescent="0.3">
      <c r="B1898">
        <v>15974810</v>
      </c>
      <c r="C1898" t="s">
        <v>231</v>
      </c>
      <c r="D1898">
        <v>49894</v>
      </c>
      <c r="E1898" t="s">
        <v>150</v>
      </c>
      <c r="F1898" t="s">
        <v>319</v>
      </c>
      <c r="G1898" s="28">
        <v>14</v>
      </c>
      <c r="H1898" s="32">
        <v>3</v>
      </c>
      <c r="I1898" s="32">
        <v>565.30999999999995</v>
      </c>
      <c r="J1898" t="s">
        <v>239</v>
      </c>
      <c r="K1898" t="s">
        <v>245</v>
      </c>
      <c r="L1898" t="s">
        <v>235</v>
      </c>
      <c r="M1898" t="s">
        <v>236</v>
      </c>
      <c r="N1898" t="s">
        <v>240</v>
      </c>
      <c r="O1898" s="27">
        <v>46063</v>
      </c>
    </row>
    <row r="1899" spans="2:15" hidden="1" x14ac:dyDescent="0.3">
      <c r="B1899">
        <v>4868551</v>
      </c>
      <c r="C1899" t="s">
        <v>231</v>
      </c>
      <c r="D1899">
        <v>22674</v>
      </c>
      <c r="E1899" t="s">
        <v>150</v>
      </c>
      <c r="F1899" t="s">
        <v>164</v>
      </c>
      <c r="G1899" s="28">
        <v>6</v>
      </c>
      <c r="H1899" s="32">
        <v>2.99</v>
      </c>
      <c r="I1899" s="32">
        <v>291.74</v>
      </c>
      <c r="J1899" t="s">
        <v>239</v>
      </c>
      <c r="K1899" t="s">
        <v>245</v>
      </c>
      <c r="L1899" t="s">
        <v>235</v>
      </c>
      <c r="M1899" t="s">
        <v>236</v>
      </c>
      <c r="N1899" t="s">
        <v>240</v>
      </c>
      <c r="O1899" s="27">
        <v>46063</v>
      </c>
    </row>
    <row r="1900" spans="2:15" hidden="1" x14ac:dyDescent="0.3">
      <c r="B1900">
        <v>7372714</v>
      </c>
      <c r="C1900" t="s">
        <v>231</v>
      </c>
      <c r="D1900">
        <v>22674</v>
      </c>
      <c r="E1900" t="s">
        <v>150</v>
      </c>
      <c r="F1900" t="s">
        <v>287</v>
      </c>
      <c r="G1900" s="28">
        <v>13</v>
      </c>
      <c r="H1900" s="32">
        <v>2.98</v>
      </c>
      <c r="I1900" s="32">
        <v>407.78</v>
      </c>
      <c r="J1900" t="s">
        <v>239</v>
      </c>
      <c r="K1900" t="s">
        <v>245</v>
      </c>
      <c r="L1900" t="s">
        <v>235</v>
      </c>
      <c r="M1900" t="s">
        <v>236</v>
      </c>
      <c r="N1900" t="s">
        <v>237</v>
      </c>
      <c r="O1900" s="27">
        <v>46063</v>
      </c>
    </row>
    <row r="1901" spans="2:15" hidden="1" x14ac:dyDescent="0.3">
      <c r="B1901">
        <v>4339096</v>
      </c>
      <c r="C1901" t="s">
        <v>231</v>
      </c>
      <c r="D1901">
        <v>25619</v>
      </c>
      <c r="E1901" t="s">
        <v>150</v>
      </c>
      <c r="F1901" t="s">
        <v>287</v>
      </c>
      <c r="G1901" s="28">
        <v>13</v>
      </c>
      <c r="H1901" s="32">
        <v>2.96</v>
      </c>
      <c r="I1901" s="32">
        <v>407.78</v>
      </c>
      <c r="J1901" t="s">
        <v>239</v>
      </c>
      <c r="K1901" t="s">
        <v>245</v>
      </c>
      <c r="L1901" t="s">
        <v>235</v>
      </c>
      <c r="M1901" t="s">
        <v>236</v>
      </c>
      <c r="N1901" t="s">
        <v>237</v>
      </c>
      <c r="O1901" s="27">
        <v>46063</v>
      </c>
    </row>
    <row r="1902" spans="2:15" x14ac:dyDescent="0.3">
      <c r="B1902">
        <v>3105908</v>
      </c>
      <c r="C1902" t="s">
        <v>231</v>
      </c>
      <c r="D1902">
        <v>22103</v>
      </c>
      <c r="E1902" t="s">
        <v>150</v>
      </c>
      <c r="F1902" t="s">
        <v>272</v>
      </c>
      <c r="G1902" s="28">
        <v>66</v>
      </c>
      <c r="H1902" s="32">
        <v>2.96</v>
      </c>
      <c r="I1902" s="32">
        <v>431.55</v>
      </c>
      <c r="J1902" t="s">
        <v>239</v>
      </c>
      <c r="K1902" t="s">
        <v>245</v>
      </c>
      <c r="L1902" t="s">
        <v>235</v>
      </c>
      <c r="M1902" t="s">
        <v>236</v>
      </c>
      <c r="N1902" t="s">
        <v>237</v>
      </c>
      <c r="O1902" s="27">
        <v>46055</v>
      </c>
    </row>
    <row r="1903" spans="2:15" hidden="1" x14ac:dyDescent="0.3">
      <c r="B1903">
        <v>4072213</v>
      </c>
      <c r="C1903" t="s">
        <v>231</v>
      </c>
      <c r="D1903">
        <v>22674</v>
      </c>
      <c r="E1903" t="s">
        <v>150</v>
      </c>
      <c r="F1903" t="s">
        <v>164</v>
      </c>
      <c r="G1903" s="28">
        <v>6</v>
      </c>
      <c r="H1903" s="32">
        <v>2.95</v>
      </c>
      <c r="I1903" s="32">
        <v>291.74</v>
      </c>
      <c r="J1903" t="s">
        <v>239</v>
      </c>
      <c r="K1903" t="s">
        <v>245</v>
      </c>
      <c r="L1903" t="s">
        <v>235</v>
      </c>
      <c r="M1903" t="s">
        <v>236</v>
      </c>
      <c r="N1903" t="s">
        <v>240</v>
      </c>
      <c r="O1903" s="27">
        <v>46063</v>
      </c>
    </row>
    <row r="1904" spans="2:15" x14ac:dyDescent="0.3">
      <c r="B1904">
        <v>7397602</v>
      </c>
      <c r="C1904" t="s">
        <v>231</v>
      </c>
      <c r="D1904">
        <v>22103</v>
      </c>
      <c r="E1904" t="s">
        <v>150</v>
      </c>
      <c r="F1904" t="s">
        <v>164</v>
      </c>
      <c r="G1904" s="28">
        <v>10</v>
      </c>
      <c r="H1904" s="32">
        <v>2.95</v>
      </c>
      <c r="I1904" s="32">
        <v>458.33</v>
      </c>
      <c r="J1904" t="s">
        <v>239</v>
      </c>
      <c r="K1904" t="s">
        <v>245</v>
      </c>
      <c r="L1904" t="s">
        <v>235</v>
      </c>
      <c r="M1904" t="s">
        <v>236</v>
      </c>
      <c r="N1904" t="s">
        <v>240</v>
      </c>
      <c r="O1904" s="27">
        <v>46055</v>
      </c>
    </row>
    <row r="1905" spans="2:15" hidden="1" x14ac:dyDescent="0.3">
      <c r="B1905">
        <v>3666312</v>
      </c>
      <c r="C1905" t="s">
        <v>231</v>
      </c>
      <c r="D1905">
        <v>21468</v>
      </c>
      <c r="E1905" t="s">
        <v>150</v>
      </c>
      <c r="F1905" t="s">
        <v>246</v>
      </c>
      <c r="G1905" s="28">
        <v>5</v>
      </c>
      <c r="H1905" s="32">
        <v>2.95</v>
      </c>
      <c r="I1905" s="32">
        <v>184.75</v>
      </c>
      <c r="J1905" t="s">
        <v>239</v>
      </c>
      <c r="K1905" t="s">
        <v>245</v>
      </c>
      <c r="L1905" t="s">
        <v>235</v>
      </c>
      <c r="M1905" t="s">
        <v>236</v>
      </c>
      <c r="N1905" t="s">
        <v>237</v>
      </c>
      <c r="O1905" s="27">
        <v>46055</v>
      </c>
    </row>
    <row r="1906" spans="2:15" hidden="1" x14ac:dyDescent="0.3">
      <c r="B1906">
        <v>2390017</v>
      </c>
      <c r="C1906" t="s">
        <v>231</v>
      </c>
      <c r="D1906">
        <v>69493</v>
      </c>
      <c r="E1906" t="s">
        <v>150</v>
      </c>
      <c r="F1906" t="s">
        <v>160</v>
      </c>
      <c r="G1906" s="28">
        <v>5</v>
      </c>
      <c r="H1906" s="32">
        <v>2.95</v>
      </c>
      <c r="I1906" s="32">
        <v>424.25</v>
      </c>
      <c r="J1906" t="s">
        <v>239</v>
      </c>
      <c r="K1906" t="s">
        <v>245</v>
      </c>
      <c r="L1906" t="s">
        <v>235</v>
      </c>
      <c r="M1906" t="s">
        <v>236</v>
      </c>
      <c r="N1906" t="s">
        <v>240</v>
      </c>
      <c r="O1906" s="27">
        <v>46055</v>
      </c>
    </row>
    <row r="1907" spans="2:15" hidden="1" x14ac:dyDescent="0.3">
      <c r="B1907">
        <v>2495068</v>
      </c>
      <c r="C1907" t="s">
        <v>231</v>
      </c>
      <c r="D1907">
        <v>69493</v>
      </c>
      <c r="E1907" t="s">
        <v>150</v>
      </c>
      <c r="F1907" t="s">
        <v>160</v>
      </c>
      <c r="G1907" s="28">
        <v>5</v>
      </c>
      <c r="H1907" s="32">
        <v>2.94</v>
      </c>
      <c r="I1907" s="32">
        <v>424.25</v>
      </c>
      <c r="J1907" t="s">
        <v>239</v>
      </c>
      <c r="K1907" t="s">
        <v>245</v>
      </c>
      <c r="L1907" t="s">
        <v>235</v>
      </c>
      <c r="M1907" t="s">
        <v>236</v>
      </c>
      <c r="N1907" t="s">
        <v>240</v>
      </c>
      <c r="O1907" s="27">
        <v>46055</v>
      </c>
    </row>
    <row r="1908" spans="2:15" hidden="1" x14ac:dyDescent="0.3">
      <c r="B1908">
        <v>4535206</v>
      </c>
      <c r="C1908" t="s">
        <v>231</v>
      </c>
      <c r="D1908">
        <v>68542</v>
      </c>
      <c r="E1908" t="s">
        <v>150</v>
      </c>
      <c r="F1908" t="s">
        <v>163</v>
      </c>
      <c r="G1908" s="28">
        <v>29</v>
      </c>
      <c r="H1908" s="32">
        <v>2.93</v>
      </c>
      <c r="I1908" s="32">
        <v>382.05</v>
      </c>
      <c r="J1908" t="s">
        <v>239</v>
      </c>
      <c r="K1908" t="s">
        <v>245</v>
      </c>
      <c r="L1908" t="s">
        <v>235</v>
      </c>
      <c r="M1908" t="s">
        <v>236</v>
      </c>
      <c r="N1908" t="s">
        <v>237</v>
      </c>
      <c r="O1908" s="27">
        <v>46055</v>
      </c>
    </row>
    <row r="1909" spans="2:15" hidden="1" x14ac:dyDescent="0.3">
      <c r="B1909">
        <v>3687422</v>
      </c>
      <c r="C1909" t="s">
        <v>260</v>
      </c>
      <c r="D1909">
        <v>68542</v>
      </c>
      <c r="E1909" t="s">
        <v>150</v>
      </c>
      <c r="F1909" t="s">
        <v>328</v>
      </c>
      <c r="G1909" s="28">
        <v>9</v>
      </c>
      <c r="H1909" s="32">
        <v>2.93</v>
      </c>
      <c r="I1909" s="32">
        <v>629.91999999999996</v>
      </c>
      <c r="J1909" t="s">
        <v>267</v>
      </c>
      <c r="K1909" t="s">
        <v>245</v>
      </c>
      <c r="L1909" t="s">
        <v>235</v>
      </c>
      <c r="M1909" t="s">
        <v>236</v>
      </c>
      <c r="N1909" t="s">
        <v>237</v>
      </c>
      <c r="O1909" s="27">
        <v>46057</v>
      </c>
    </row>
    <row r="1910" spans="2:15" hidden="1" x14ac:dyDescent="0.3">
      <c r="B1910">
        <v>2255037</v>
      </c>
      <c r="C1910" t="s">
        <v>231</v>
      </c>
      <c r="D1910">
        <v>22674</v>
      </c>
      <c r="E1910" t="s">
        <v>150</v>
      </c>
      <c r="F1910" t="s">
        <v>287</v>
      </c>
      <c r="G1910" s="28">
        <v>12</v>
      </c>
      <c r="H1910" s="32">
        <v>2.92</v>
      </c>
      <c r="I1910" s="32">
        <v>376.52</v>
      </c>
      <c r="J1910" t="s">
        <v>239</v>
      </c>
      <c r="K1910" t="s">
        <v>245</v>
      </c>
      <c r="L1910" t="s">
        <v>235</v>
      </c>
      <c r="M1910" t="s">
        <v>236</v>
      </c>
      <c r="N1910" t="s">
        <v>237</v>
      </c>
      <c r="O1910" s="27">
        <v>46063</v>
      </c>
    </row>
    <row r="1911" spans="2:15" hidden="1" x14ac:dyDescent="0.3">
      <c r="B1911">
        <v>2403987</v>
      </c>
      <c r="C1911" t="s">
        <v>231</v>
      </c>
      <c r="D1911">
        <v>23648</v>
      </c>
      <c r="E1911" t="s">
        <v>150</v>
      </c>
      <c r="F1911" t="s">
        <v>287</v>
      </c>
      <c r="G1911" s="28">
        <v>12</v>
      </c>
      <c r="H1911" s="32">
        <v>2.92</v>
      </c>
      <c r="I1911" s="32">
        <v>376.54</v>
      </c>
      <c r="J1911" t="s">
        <v>239</v>
      </c>
      <c r="K1911" t="s">
        <v>245</v>
      </c>
      <c r="L1911" t="s">
        <v>235</v>
      </c>
      <c r="M1911" t="s">
        <v>236</v>
      </c>
      <c r="N1911" t="s">
        <v>237</v>
      </c>
      <c r="O1911" s="27">
        <v>46063</v>
      </c>
    </row>
    <row r="1912" spans="2:15" hidden="1" x14ac:dyDescent="0.3">
      <c r="B1912">
        <v>14690888</v>
      </c>
      <c r="C1912" t="s">
        <v>231</v>
      </c>
      <c r="D1912">
        <v>21468</v>
      </c>
      <c r="E1912" t="s">
        <v>150</v>
      </c>
      <c r="F1912" t="s">
        <v>274</v>
      </c>
      <c r="G1912" s="28">
        <v>19</v>
      </c>
      <c r="H1912" s="32">
        <v>2.91</v>
      </c>
      <c r="I1912" s="32">
        <v>279.05</v>
      </c>
      <c r="J1912" t="s">
        <v>239</v>
      </c>
      <c r="K1912" t="s">
        <v>245</v>
      </c>
      <c r="L1912" t="s">
        <v>235</v>
      </c>
      <c r="M1912" t="s">
        <v>236</v>
      </c>
      <c r="N1912" t="s">
        <v>237</v>
      </c>
      <c r="O1912" s="27">
        <v>46055</v>
      </c>
    </row>
    <row r="1913" spans="2:15" hidden="1" x14ac:dyDescent="0.3">
      <c r="B1913">
        <v>4078178</v>
      </c>
      <c r="C1913" t="s">
        <v>231</v>
      </c>
      <c r="D1913">
        <v>49894</v>
      </c>
      <c r="E1913" t="s">
        <v>150</v>
      </c>
      <c r="F1913" t="s">
        <v>319</v>
      </c>
      <c r="G1913" s="28">
        <v>13</v>
      </c>
      <c r="H1913" s="32">
        <v>2.91</v>
      </c>
      <c r="I1913" s="32">
        <v>524.69000000000005</v>
      </c>
      <c r="J1913" t="s">
        <v>239</v>
      </c>
      <c r="K1913" t="s">
        <v>245</v>
      </c>
      <c r="L1913" t="s">
        <v>235</v>
      </c>
      <c r="M1913" t="s">
        <v>236</v>
      </c>
      <c r="N1913" t="s">
        <v>240</v>
      </c>
      <c r="O1913" s="27">
        <v>46063</v>
      </c>
    </row>
    <row r="1914" spans="2:15" hidden="1" x14ac:dyDescent="0.3">
      <c r="B1914">
        <v>389066</v>
      </c>
      <c r="C1914" t="s">
        <v>260</v>
      </c>
      <c r="D1914">
        <v>21559</v>
      </c>
      <c r="E1914" t="s">
        <v>150</v>
      </c>
      <c r="F1914" t="s">
        <v>320</v>
      </c>
      <c r="G1914" s="28">
        <v>7</v>
      </c>
      <c r="H1914" s="32">
        <v>2.91</v>
      </c>
      <c r="I1914" s="32">
        <v>287.64</v>
      </c>
      <c r="J1914" t="s">
        <v>239</v>
      </c>
      <c r="K1914" t="s">
        <v>245</v>
      </c>
      <c r="L1914" t="s">
        <v>235</v>
      </c>
      <c r="M1914" t="s">
        <v>236</v>
      </c>
      <c r="N1914" t="s">
        <v>240</v>
      </c>
      <c r="O1914" s="27">
        <v>46072</v>
      </c>
    </row>
    <row r="1915" spans="2:15" hidden="1" x14ac:dyDescent="0.3">
      <c r="B1915">
        <v>4535206</v>
      </c>
      <c r="C1915" t="s">
        <v>231</v>
      </c>
      <c r="D1915">
        <v>68542</v>
      </c>
      <c r="E1915" t="s">
        <v>150</v>
      </c>
      <c r="F1915" t="s">
        <v>160</v>
      </c>
      <c r="G1915" s="28">
        <v>6</v>
      </c>
      <c r="H1915" s="32">
        <v>2.9</v>
      </c>
      <c r="I1915" s="32">
        <v>508.76</v>
      </c>
      <c r="J1915" t="s">
        <v>239</v>
      </c>
      <c r="K1915" t="s">
        <v>245</v>
      </c>
      <c r="L1915" t="s">
        <v>235</v>
      </c>
      <c r="M1915" t="s">
        <v>236</v>
      </c>
      <c r="N1915" t="s">
        <v>240</v>
      </c>
      <c r="O1915" s="27">
        <v>46055</v>
      </c>
    </row>
    <row r="1916" spans="2:15" hidden="1" x14ac:dyDescent="0.3">
      <c r="B1916">
        <v>575946</v>
      </c>
      <c r="C1916" t="s">
        <v>231</v>
      </c>
      <c r="D1916">
        <v>25619</v>
      </c>
      <c r="E1916" t="s">
        <v>150</v>
      </c>
      <c r="F1916" t="s">
        <v>246</v>
      </c>
      <c r="G1916" s="28">
        <v>13</v>
      </c>
      <c r="H1916" s="32">
        <v>2.89</v>
      </c>
      <c r="I1916" s="32">
        <v>480.27</v>
      </c>
      <c r="J1916" t="s">
        <v>239</v>
      </c>
      <c r="K1916" t="s">
        <v>245</v>
      </c>
      <c r="L1916" t="s">
        <v>235</v>
      </c>
      <c r="M1916" t="s">
        <v>236</v>
      </c>
      <c r="N1916" t="s">
        <v>240</v>
      </c>
      <c r="O1916" s="27">
        <v>46055</v>
      </c>
    </row>
    <row r="1917" spans="2:15" hidden="1" x14ac:dyDescent="0.3">
      <c r="B1917">
        <v>4375042</v>
      </c>
      <c r="C1917" t="s">
        <v>231</v>
      </c>
      <c r="D1917">
        <v>25619</v>
      </c>
      <c r="E1917" t="s">
        <v>150</v>
      </c>
      <c r="F1917" t="s">
        <v>160</v>
      </c>
      <c r="G1917" s="28">
        <v>5</v>
      </c>
      <c r="H1917" s="32">
        <v>2.88</v>
      </c>
      <c r="I1917" s="32">
        <v>417.25</v>
      </c>
      <c r="J1917" t="s">
        <v>239</v>
      </c>
      <c r="K1917" t="s">
        <v>245</v>
      </c>
      <c r="L1917" t="s">
        <v>235</v>
      </c>
      <c r="M1917" t="s">
        <v>236</v>
      </c>
      <c r="N1917" t="s">
        <v>240</v>
      </c>
      <c r="O1917" s="27">
        <v>46072</v>
      </c>
    </row>
    <row r="1918" spans="2:15" hidden="1" x14ac:dyDescent="0.3">
      <c r="B1918">
        <v>3065087</v>
      </c>
      <c r="C1918" t="s">
        <v>231</v>
      </c>
      <c r="D1918">
        <v>22674</v>
      </c>
      <c r="E1918" t="s">
        <v>150</v>
      </c>
      <c r="F1918" t="s">
        <v>287</v>
      </c>
      <c r="G1918" s="28">
        <v>12</v>
      </c>
      <c r="H1918" s="32">
        <v>2.87</v>
      </c>
      <c r="I1918" s="32">
        <v>376.54</v>
      </c>
      <c r="J1918" t="s">
        <v>239</v>
      </c>
      <c r="K1918" t="s">
        <v>245</v>
      </c>
      <c r="L1918" t="s">
        <v>235</v>
      </c>
      <c r="M1918" t="s">
        <v>236</v>
      </c>
      <c r="N1918" t="s">
        <v>237</v>
      </c>
      <c r="O1918" s="27">
        <v>46063</v>
      </c>
    </row>
    <row r="1919" spans="2:15" hidden="1" x14ac:dyDescent="0.3">
      <c r="B1919">
        <v>389066</v>
      </c>
      <c r="C1919" t="s">
        <v>260</v>
      </c>
      <c r="D1919">
        <v>21559</v>
      </c>
      <c r="E1919" t="s">
        <v>150</v>
      </c>
      <c r="F1919" t="s">
        <v>379</v>
      </c>
      <c r="G1919" s="28">
        <v>38</v>
      </c>
      <c r="H1919" s="32">
        <v>2.87</v>
      </c>
      <c r="I1919" s="32">
        <v>562.02</v>
      </c>
      <c r="J1919" t="s">
        <v>330</v>
      </c>
      <c r="K1919" t="s">
        <v>234</v>
      </c>
      <c r="L1919" t="s">
        <v>235</v>
      </c>
      <c r="M1919" t="s">
        <v>236</v>
      </c>
      <c r="N1919" t="s">
        <v>237</v>
      </c>
      <c r="O1919" s="27">
        <v>46072</v>
      </c>
    </row>
    <row r="1920" spans="2:15" hidden="1" x14ac:dyDescent="0.3">
      <c r="B1920">
        <v>325473</v>
      </c>
      <c r="C1920" t="s">
        <v>231</v>
      </c>
      <c r="D1920">
        <v>22674</v>
      </c>
      <c r="E1920" t="s">
        <v>150</v>
      </c>
      <c r="F1920" t="s">
        <v>337</v>
      </c>
      <c r="G1920" s="28">
        <v>14</v>
      </c>
      <c r="H1920" s="32">
        <v>2.86</v>
      </c>
      <c r="I1920" s="32">
        <v>508.37</v>
      </c>
      <c r="J1920" t="s">
        <v>239</v>
      </c>
      <c r="K1920" t="s">
        <v>245</v>
      </c>
      <c r="L1920" t="s">
        <v>235</v>
      </c>
      <c r="M1920" t="s">
        <v>236</v>
      </c>
      <c r="N1920" t="s">
        <v>237</v>
      </c>
      <c r="O1920" s="27">
        <v>46063</v>
      </c>
    </row>
    <row r="1921" spans="2:15" hidden="1" x14ac:dyDescent="0.3">
      <c r="B1921">
        <v>5933489</v>
      </c>
      <c r="C1921" t="s">
        <v>231</v>
      </c>
      <c r="D1921">
        <v>23648</v>
      </c>
      <c r="E1921" t="s">
        <v>150</v>
      </c>
      <c r="F1921" t="s">
        <v>319</v>
      </c>
      <c r="G1921" s="28">
        <v>13</v>
      </c>
      <c r="H1921" s="32">
        <v>2.86</v>
      </c>
      <c r="I1921" s="32">
        <v>524.69000000000005</v>
      </c>
      <c r="J1921" t="s">
        <v>239</v>
      </c>
      <c r="K1921" t="s">
        <v>245</v>
      </c>
      <c r="L1921" t="s">
        <v>235</v>
      </c>
      <c r="M1921" t="s">
        <v>236</v>
      </c>
      <c r="N1921" t="s">
        <v>240</v>
      </c>
      <c r="O1921" s="27">
        <v>46063</v>
      </c>
    </row>
    <row r="1922" spans="2:15" hidden="1" x14ac:dyDescent="0.3">
      <c r="B1922">
        <v>3953521</v>
      </c>
      <c r="C1922" t="s">
        <v>231</v>
      </c>
      <c r="D1922">
        <v>38517</v>
      </c>
      <c r="E1922" t="s">
        <v>150</v>
      </c>
      <c r="F1922" t="s">
        <v>369</v>
      </c>
      <c r="G1922" s="28">
        <v>11</v>
      </c>
      <c r="H1922" s="32">
        <v>2.85</v>
      </c>
      <c r="I1922" s="32">
        <v>606.19000000000005</v>
      </c>
      <c r="J1922" t="s">
        <v>239</v>
      </c>
      <c r="K1922" t="s">
        <v>245</v>
      </c>
      <c r="L1922" t="s">
        <v>235</v>
      </c>
      <c r="M1922" t="s">
        <v>236</v>
      </c>
      <c r="N1922" t="s">
        <v>240</v>
      </c>
      <c r="O1922" s="27">
        <v>46063</v>
      </c>
    </row>
    <row r="1923" spans="2:15" hidden="1" x14ac:dyDescent="0.3">
      <c r="B1923">
        <v>2084946</v>
      </c>
      <c r="C1923" t="s">
        <v>231</v>
      </c>
      <c r="D1923">
        <v>69493</v>
      </c>
      <c r="E1923" t="s">
        <v>150</v>
      </c>
      <c r="F1923" t="s">
        <v>164</v>
      </c>
      <c r="G1923" s="28">
        <v>9</v>
      </c>
      <c r="H1923" s="32">
        <v>2.85</v>
      </c>
      <c r="I1923" s="32">
        <v>412.49</v>
      </c>
      <c r="J1923" t="s">
        <v>239</v>
      </c>
      <c r="K1923" t="s">
        <v>245</v>
      </c>
      <c r="L1923" t="s">
        <v>235</v>
      </c>
      <c r="M1923" t="s">
        <v>236</v>
      </c>
      <c r="N1923" t="s">
        <v>240</v>
      </c>
      <c r="O1923" s="27">
        <v>46055</v>
      </c>
    </row>
    <row r="1924" spans="2:15" x14ac:dyDescent="0.3">
      <c r="B1924">
        <v>7397602</v>
      </c>
      <c r="C1924" t="s">
        <v>231</v>
      </c>
      <c r="D1924">
        <v>22103</v>
      </c>
      <c r="E1924" t="s">
        <v>150</v>
      </c>
      <c r="F1924" t="s">
        <v>271</v>
      </c>
      <c r="G1924" s="28">
        <v>25</v>
      </c>
      <c r="H1924" s="32">
        <v>2.84</v>
      </c>
      <c r="I1924" s="32">
        <v>441.42</v>
      </c>
      <c r="J1924" t="s">
        <v>239</v>
      </c>
      <c r="K1924" t="s">
        <v>245</v>
      </c>
      <c r="L1924" t="s">
        <v>235</v>
      </c>
      <c r="M1924" t="s">
        <v>236</v>
      </c>
      <c r="N1924" t="s">
        <v>237</v>
      </c>
      <c r="O1924" s="27">
        <v>46055</v>
      </c>
    </row>
    <row r="1925" spans="2:15" hidden="1" x14ac:dyDescent="0.3">
      <c r="B1925">
        <v>8781959</v>
      </c>
      <c r="C1925" t="s">
        <v>231</v>
      </c>
      <c r="D1925">
        <v>72444</v>
      </c>
      <c r="E1925" t="s">
        <v>150</v>
      </c>
      <c r="F1925" t="s">
        <v>337</v>
      </c>
      <c r="G1925" s="28">
        <v>12</v>
      </c>
      <c r="H1925" s="32">
        <v>2.84</v>
      </c>
      <c r="I1925" s="32">
        <v>435.74</v>
      </c>
      <c r="J1925" t="s">
        <v>239</v>
      </c>
      <c r="K1925" t="s">
        <v>245</v>
      </c>
      <c r="L1925" t="s">
        <v>235</v>
      </c>
      <c r="M1925" t="s">
        <v>236</v>
      </c>
      <c r="N1925" t="s">
        <v>237</v>
      </c>
      <c r="O1925" s="27">
        <v>46063</v>
      </c>
    </row>
    <row r="1926" spans="2:15" hidden="1" x14ac:dyDescent="0.3">
      <c r="B1926">
        <v>6901714</v>
      </c>
      <c r="C1926" t="s">
        <v>260</v>
      </c>
      <c r="D1926">
        <v>71997</v>
      </c>
      <c r="E1926" t="s">
        <v>150</v>
      </c>
      <c r="F1926" t="s">
        <v>319</v>
      </c>
      <c r="G1926" s="28">
        <v>13</v>
      </c>
      <c r="H1926" s="32">
        <v>2.84</v>
      </c>
      <c r="I1926" s="32">
        <v>524.69000000000005</v>
      </c>
      <c r="J1926" t="s">
        <v>239</v>
      </c>
      <c r="K1926" t="s">
        <v>245</v>
      </c>
      <c r="L1926" t="s">
        <v>235</v>
      </c>
      <c r="M1926" t="s">
        <v>236</v>
      </c>
      <c r="N1926" t="s">
        <v>240</v>
      </c>
      <c r="O1926" s="27">
        <v>46063</v>
      </c>
    </row>
    <row r="1927" spans="2:15" hidden="1" x14ac:dyDescent="0.3">
      <c r="B1927">
        <v>5555592</v>
      </c>
      <c r="C1927" t="s">
        <v>231</v>
      </c>
      <c r="D1927">
        <v>38517</v>
      </c>
      <c r="E1927" t="s">
        <v>150</v>
      </c>
      <c r="F1927" t="s">
        <v>369</v>
      </c>
      <c r="G1927" s="28">
        <v>5</v>
      </c>
      <c r="H1927" s="32">
        <v>2.81</v>
      </c>
      <c r="I1927" s="32">
        <v>275.52999999999997</v>
      </c>
      <c r="J1927" t="s">
        <v>239</v>
      </c>
      <c r="K1927" t="s">
        <v>245</v>
      </c>
      <c r="L1927" t="s">
        <v>235</v>
      </c>
      <c r="M1927" t="s">
        <v>236</v>
      </c>
      <c r="N1927" t="s">
        <v>240</v>
      </c>
      <c r="O1927" s="27">
        <v>46063</v>
      </c>
    </row>
    <row r="1928" spans="2:15" hidden="1" x14ac:dyDescent="0.3">
      <c r="B1928">
        <v>5933489</v>
      </c>
      <c r="C1928" t="s">
        <v>231</v>
      </c>
      <c r="D1928">
        <v>23648</v>
      </c>
      <c r="E1928" t="s">
        <v>150</v>
      </c>
      <c r="F1928" t="s">
        <v>337</v>
      </c>
      <c r="G1928" s="28">
        <v>13</v>
      </c>
      <c r="H1928" s="32">
        <v>2.78</v>
      </c>
      <c r="I1928" s="32">
        <v>472.2</v>
      </c>
      <c r="J1928" t="s">
        <v>239</v>
      </c>
      <c r="K1928" t="s">
        <v>245</v>
      </c>
      <c r="L1928" t="s">
        <v>235</v>
      </c>
      <c r="M1928" t="s">
        <v>236</v>
      </c>
      <c r="N1928" t="s">
        <v>237</v>
      </c>
      <c r="O1928" s="27">
        <v>46063</v>
      </c>
    </row>
    <row r="1929" spans="2:15" hidden="1" x14ac:dyDescent="0.3">
      <c r="B1929">
        <v>9796204</v>
      </c>
      <c r="C1929" t="s">
        <v>260</v>
      </c>
      <c r="D1929">
        <v>21468</v>
      </c>
      <c r="E1929" t="s">
        <v>150</v>
      </c>
      <c r="F1929" t="s">
        <v>163</v>
      </c>
      <c r="G1929" s="28">
        <v>14</v>
      </c>
      <c r="H1929" s="32">
        <v>2.78</v>
      </c>
      <c r="I1929" s="32">
        <v>199.26</v>
      </c>
      <c r="J1929" t="s">
        <v>239</v>
      </c>
      <c r="K1929" t="s">
        <v>245</v>
      </c>
      <c r="L1929" t="s">
        <v>235</v>
      </c>
      <c r="M1929" t="s">
        <v>236</v>
      </c>
      <c r="N1929" t="s">
        <v>237</v>
      </c>
      <c r="O1929" s="27">
        <v>46072</v>
      </c>
    </row>
    <row r="1930" spans="2:15" hidden="1" x14ac:dyDescent="0.3">
      <c r="B1930">
        <v>3528854</v>
      </c>
      <c r="C1930" t="s">
        <v>231</v>
      </c>
      <c r="D1930">
        <v>71881</v>
      </c>
      <c r="E1930" t="s">
        <v>150</v>
      </c>
      <c r="F1930" t="s">
        <v>369</v>
      </c>
      <c r="G1930" s="28">
        <v>5</v>
      </c>
      <c r="H1930" s="32">
        <v>2.77</v>
      </c>
      <c r="I1930" s="32">
        <v>275.52999999999997</v>
      </c>
      <c r="J1930" t="s">
        <v>239</v>
      </c>
      <c r="K1930" t="s">
        <v>245</v>
      </c>
      <c r="L1930" t="s">
        <v>235</v>
      </c>
      <c r="M1930" t="s">
        <v>236</v>
      </c>
      <c r="N1930" t="s">
        <v>240</v>
      </c>
      <c r="O1930" s="27">
        <v>46063</v>
      </c>
    </row>
    <row r="1931" spans="2:15" hidden="1" x14ac:dyDescent="0.3">
      <c r="B1931">
        <v>2033851</v>
      </c>
      <c r="C1931" t="s">
        <v>231</v>
      </c>
      <c r="D1931">
        <v>24415</v>
      </c>
      <c r="E1931" t="s">
        <v>150</v>
      </c>
      <c r="F1931" t="s">
        <v>381</v>
      </c>
      <c r="G1931" s="28">
        <v>28</v>
      </c>
      <c r="H1931" s="32">
        <v>2.77</v>
      </c>
      <c r="I1931" s="32">
        <v>468.02</v>
      </c>
      <c r="J1931" t="s">
        <v>330</v>
      </c>
      <c r="K1931" t="s">
        <v>245</v>
      </c>
      <c r="L1931" t="s">
        <v>235</v>
      </c>
      <c r="M1931" t="s">
        <v>236</v>
      </c>
      <c r="N1931" t="s">
        <v>240</v>
      </c>
      <c r="O1931" s="27">
        <v>46072</v>
      </c>
    </row>
    <row r="1932" spans="2:15" hidden="1" x14ac:dyDescent="0.3">
      <c r="B1932">
        <v>4927477</v>
      </c>
      <c r="C1932" t="s">
        <v>231</v>
      </c>
      <c r="D1932">
        <v>21468</v>
      </c>
      <c r="E1932" t="s">
        <v>150</v>
      </c>
      <c r="F1932" t="s">
        <v>282</v>
      </c>
      <c r="G1932" s="28">
        <v>3</v>
      </c>
      <c r="H1932" s="32">
        <v>2.77</v>
      </c>
      <c r="I1932" s="32">
        <v>152.58000000000001</v>
      </c>
      <c r="J1932" t="s">
        <v>239</v>
      </c>
      <c r="K1932" t="s">
        <v>245</v>
      </c>
      <c r="L1932" t="s">
        <v>235</v>
      </c>
      <c r="M1932" t="s">
        <v>236</v>
      </c>
      <c r="N1932" t="s">
        <v>240</v>
      </c>
      <c r="O1932" s="27">
        <v>46055</v>
      </c>
    </row>
    <row r="1933" spans="2:15" hidden="1" x14ac:dyDescent="0.3">
      <c r="B1933">
        <v>3317498</v>
      </c>
      <c r="C1933" t="s">
        <v>231</v>
      </c>
      <c r="D1933">
        <v>69493</v>
      </c>
      <c r="E1933" t="s">
        <v>150</v>
      </c>
      <c r="F1933" t="s">
        <v>319</v>
      </c>
      <c r="G1933" s="28">
        <v>13</v>
      </c>
      <c r="H1933" s="32">
        <v>2.77</v>
      </c>
      <c r="I1933" s="32">
        <v>524.69000000000005</v>
      </c>
      <c r="J1933" t="s">
        <v>239</v>
      </c>
      <c r="K1933" t="s">
        <v>245</v>
      </c>
      <c r="L1933" t="s">
        <v>235</v>
      </c>
      <c r="M1933" t="s">
        <v>236</v>
      </c>
      <c r="N1933" t="s">
        <v>240</v>
      </c>
      <c r="O1933" s="27">
        <v>46063</v>
      </c>
    </row>
    <row r="1934" spans="2:15" hidden="1" x14ac:dyDescent="0.3">
      <c r="B1934">
        <v>4089266</v>
      </c>
      <c r="C1934" t="s">
        <v>260</v>
      </c>
      <c r="D1934">
        <v>22674</v>
      </c>
      <c r="E1934" t="s">
        <v>150</v>
      </c>
      <c r="F1934" t="s">
        <v>164</v>
      </c>
      <c r="G1934" s="28">
        <v>6</v>
      </c>
      <c r="H1934" s="32">
        <v>2.77</v>
      </c>
      <c r="I1934" s="32">
        <v>291.74</v>
      </c>
      <c r="J1934" t="s">
        <v>239</v>
      </c>
      <c r="K1934" t="s">
        <v>245</v>
      </c>
      <c r="L1934" t="s">
        <v>235</v>
      </c>
      <c r="M1934" t="s">
        <v>236</v>
      </c>
      <c r="N1934" t="s">
        <v>240</v>
      </c>
      <c r="O1934" s="27">
        <v>46063</v>
      </c>
    </row>
    <row r="1935" spans="2:15" hidden="1" x14ac:dyDescent="0.3">
      <c r="B1935">
        <v>3430907</v>
      </c>
      <c r="C1935" t="s">
        <v>260</v>
      </c>
      <c r="D1935">
        <v>21468</v>
      </c>
      <c r="E1935" t="s">
        <v>150</v>
      </c>
      <c r="F1935" t="s">
        <v>369</v>
      </c>
      <c r="G1935" s="28">
        <v>9</v>
      </c>
      <c r="H1935" s="32">
        <v>2.76</v>
      </c>
      <c r="I1935" s="32">
        <v>465.18</v>
      </c>
      <c r="J1935" t="s">
        <v>239</v>
      </c>
      <c r="K1935" t="s">
        <v>245</v>
      </c>
      <c r="L1935" t="s">
        <v>235</v>
      </c>
      <c r="M1935" t="s">
        <v>236</v>
      </c>
      <c r="N1935" t="s">
        <v>240</v>
      </c>
      <c r="O1935" s="27">
        <v>46055</v>
      </c>
    </row>
    <row r="1936" spans="2:15" hidden="1" x14ac:dyDescent="0.3">
      <c r="B1936">
        <v>4381878</v>
      </c>
      <c r="C1936" t="s">
        <v>231</v>
      </c>
      <c r="D1936">
        <v>74304</v>
      </c>
      <c r="E1936" t="s">
        <v>150</v>
      </c>
      <c r="F1936" t="s">
        <v>243</v>
      </c>
      <c r="G1936" s="28">
        <v>10</v>
      </c>
      <c r="H1936" s="32">
        <v>2.75</v>
      </c>
      <c r="I1936" s="32">
        <v>270.95999999999998</v>
      </c>
      <c r="J1936" t="s">
        <v>239</v>
      </c>
      <c r="K1936" t="s">
        <v>245</v>
      </c>
      <c r="L1936" t="s">
        <v>235</v>
      </c>
      <c r="M1936" t="s">
        <v>236</v>
      </c>
      <c r="N1936" t="s">
        <v>240</v>
      </c>
      <c r="O1936" s="27">
        <v>46072</v>
      </c>
    </row>
    <row r="1937" spans="2:15" hidden="1" x14ac:dyDescent="0.3">
      <c r="B1937">
        <v>3684655</v>
      </c>
      <c r="C1937" t="s">
        <v>260</v>
      </c>
      <c r="D1937">
        <v>38517</v>
      </c>
      <c r="E1937" t="s">
        <v>150</v>
      </c>
      <c r="F1937" t="s">
        <v>287</v>
      </c>
      <c r="G1937" s="28">
        <v>11</v>
      </c>
      <c r="H1937" s="32">
        <v>2.74</v>
      </c>
      <c r="I1937" s="32">
        <v>345.04</v>
      </c>
      <c r="J1937" t="s">
        <v>239</v>
      </c>
      <c r="K1937" t="s">
        <v>245</v>
      </c>
      <c r="L1937" t="s">
        <v>235</v>
      </c>
      <c r="M1937" t="s">
        <v>236</v>
      </c>
      <c r="N1937" t="s">
        <v>237</v>
      </c>
      <c r="O1937" s="27">
        <v>46063</v>
      </c>
    </row>
    <row r="1938" spans="2:15" hidden="1" x14ac:dyDescent="0.3">
      <c r="B1938">
        <v>3528854</v>
      </c>
      <c r="C1938" t="s">
        <v>231</v>
      </c>
      <c r="D1938">
        <v>71881</v>
      </c>
      <c r="E1938" t="s">
        <v>150</v>
      </c>
      <c r="F1938" t="s">
        <v>282</v>
      </c>
      <c r="G1938" s="28">
        <v>5</v>
      </c>
      <c r="H1938" s="32">
        <v>2.73</v>
      </c>
      <c r="I1938" s="32">
        <v>255.43</v>
      </c>
      <c r="J1938" t="s">
        <v>239</v>
      </c>
      <c r="K1938" t="s">
        <v>245</v>
      </c>
      <c r="L1938" t="s">
        <v>235</v>
      </c>
      <c r="M1938" t="s">
        <v>236</v>
      </c>
      <c r="N1938" t="s">
        <v>240</v>
      </c>
      <c r="O1938" s="27">
        <v>46063</v>
      </c>
    </row>
    <row r="1939" spans="2:15" x14ac:dyDescent="0.3">
      <c r="B1939">
        <v>7397602</v>
      </c>
      <c r="C1939" t="s">
        <v>231</v>
      </c>
      <c r="D1939">
        <v>22103</v>
      </c>
      <c r="E1939" t="s">
        <v>150</v>
      </c>
      <c r="F1939" t="s">
        <v>160</v>
      </c>
      <c r="G1939" s="28">
        <v>5</v>
      </c>
      <c r="H1939" s="32">
        <v>2.73</v>
      </c>
      <c r="I1939" s="32">
        <v>424.25</v>
      </c>
      <c r="J1939" t="s">
        <v>239</v>
      </c>
      <c r="K1939" t="s">
        <v>245</v>
      </c>
      <c r="L1939" t="s">
        <v>235</v>
      </c>
      <c r="M1939" t="s">
        <v>236</v>
      </c>
      <c r="N1939" t="s">
        <v>240</v>
      </c>
      <c r="O1939" s="27">
        <v>46055</v>
      </c>
    </row>
    <row r="1940" spans="2:15" hidden="1" x14ac:dyDescent="0.3">
      <c r="B1940">
        <v>5555592</v>
      </c>
      <c r="C1940" t="s">
        <v>231</v>
      </c>
      <c r="D1940">
        <v>38517</v>
      </c>
      <c r="E1940" t="s">
        <v>150</v>
      </c>
      <c r="F1940" t="s">
        <v>163</v>
      </c>
      <c r="G1940" s="28">
        <v>21</v>
      </c>
      <c r="H1940" s="32">
        <v>2.72</v>
      </c>
      <c r="I1940" s="32">
        <v>276.66000000000003</v>
      </c>
      <c r="J1940" t="s">
        <v>239</v>
      </c>
      <c r="K1940" t="s">
        <v>245</v>
      </c>
      <c r="L1940" t="s">
        <v>235</v>
      </c>
      <c r="M1940" t="s">
        <v>236</v>
      </c>
      <c r="N1940" t="s">
        <v>237</v>
      </c>
      <c r="O1940" s="27">
        <v>46055</v>
      </c>
    </row>
    <row r="1941" spans="2:15" hidden="1" x14ac:dyDescent="0.3">
      <c r="B1941">
        <v>9673848</v>
      </c>
      <c r="C1941" t="s">
        <v>231</v>
      </c>
      <c r="D1941">
        <v>22674</v>
      </c>
      <c r="E1941" t="s">
        <v>150</v>
      </c>
      <c r="F1941" t="s">
        <v>282</v>
      </c>
      <c r="G1941" s="28">
        <v>3</v>
      </c>
      <c r="H1941" s="32">
        <v>2.72</v>
      </c>
      <c r="I1941" s="32">
        <v>152.58000000000001</v>
      </c>
      <c r="J1941" t="s">
        <v>239</v>
      </c>
      <c r="K1941" t="s">
        <v>245</v>
      </c>
      <c r="L1941" t="s">
        <v>235</v>
      </c>
      <c r="M1941" t="s">
        <v>236</v>
      </c>
      <c r="N1941" t="s">
        <v>240</v>
      </c>
      <c r="O1941" s="27">
        <v>46055</v>
      </c>
    </row>
    <row r="1942" spans="2:15" hidden="1" x14ac:dyDescent="0.3">
      <c r="B1942">
        <v>3055824</v>
      </c>
      <c r="C1942" t="s">
        <v>231</v>
      </c>
      <c r="D1942">
        <v>96553</v>
      </c>
      <c r="E1942" t="s">
        <v>150</v>
      </c>
      <c r="F1942" t="s">
        <v>164</v>
      </c>
      <c r="G1942" s="28">
        <v>6</v>
      </c>
      <c r="H1942" s="32">
        <v>2.72</v>
      </c>
      <c r="I1942" s="32">
        <v>291.74</v>
      </c>
      <c r="J1942" t="s">
        <v>239</v>
      </c>
      <c r="K1942" t="s">
        <v>245</v>
      </c>
      <c r="L1942" t="s">
        <v>235</v>
      </c>
      <c r="M1942" t="s">
        <v>236</v>
      </c>
      <c r="N1942" t="s">
        <v>240</v>
      </c>
      <c r="O1942" s="27">
        <v>46063</v>
      </c>
    </row>
    <row r="1943" spans="2:15" hidden="1" x14ac:dyDescent="0.3">
      <c r="B1943">
        <v>5377617</v>
      </c>
      <c r="C1943" t="s">
        <v>231</v>
      </c>
      <c r="D1943">
        <v>21559</v>
      </c>
      <c r="E1943" t="s">
        <v>150</v>
      </c>
      <c r="F1943" t="s">
        <v>164</v>
      </c>
      <c r="G1943" s="28">
        <v>5</v>
      </c>
      <c r="H1943" s="32">
        <v>2.72</v>
      </c>
      <c r="I1943" s="32">
        <v>243.08</v>
      </c>
      <c r="J1943" t="s">
        <v>239</v>
      </c>
      <c r="K1943" t="s">
        <v>245</v>
      </c>
      <c r="L1943" t="s">
        <v>235</v>
      </c>
      <c r="M1943" t="s">
        <v>236</v>
      </c>
      <c r="N1943" t="s">
        <v>240</v>
      </c>
      <c r="O1943" s="27">
        <v>46063</v>
      </c>
    </row>
    <row r="1944" spans="2:15" hidden="1" x14ac:dyDescent="0.3">
      <c r="B1944">
        <v>357627</v>
      </c>
      <c r="C1944" t="s">
        <v>231</v>
      </c>
      <c r="D1944">
        <v>72444</v>
      </c>
      <c r="E1944" t="s">
        <v>150</v>
      </c>
      <c r="F1944" t="s">
        <v>271</v>
      </c>
      <c r="G1944" s="28">
        <v>26</v>
      </c>
      <c r="H1944" s="32">
        <v>2.71</v>
      </c>
      <c r="I1944" s="32">
        <v>459.06</v>
      </c>
      <c r="J1944" t="s">
        <v>239</v>
      </c>
      <c r="K1944" t="s">
        <v>245</v>
      </c>
      <c r="L1944" t="s">
        <v>235</v>
      </c>
      <c r="M1944" t="s">
        <v>236</v>
      </c>
      <c r="N1944" t="s">
        <v>237</v>
      </c>
      <c r="O1944" s="27">
        <v>46055</v>
      </c>
    </row>
    <row r="1945" spans="2:15" hidden="1" x14ac:dyDescent="0.3">
      <c r="B1945">
        <v>8218280</v>
      </c>
      <c r="C1945" t="s">
        <v>260</v>
      </c>
      <c r="D1945">
        <v>21559</v>
      </c>
      <c r="E1945" t="s">
        <v>150</v>
      </c>
      <c r="F1945" t="s">
        <v>282</v>
      </c>
      <c r="G1945" s="28">
        <v>5</v>
      </c>
      <c r="H1945" s="32">
        <v>2.71</v>
      </c>
      <c r="I1945" s="32">
        <v>255.43</v>
      </c>
      <c r="J1945" t="s">
        <v>239</v>
      </c>
      <c r="K1945" t="s">
        <v>245</v>
      </c>
      <c r="L1945" t="s">
        <v>235</v>
      </c>
      <c r="M1945" t="s">
        <v>236</v>
      </c>
      <c r="N1945" t="s">
        <v>240</v>
      </c>
      <c r="O1945" s="27">
        <v>46063</v>
      </c>
    </row>
    <row r="1946" spans="2:15" hidden="1" x14ac:dyDescent="0.3">
      <c r="B1946">
        <v>357627</v>
      </c>
      <c r="C1946" t="s">
        <v>231</v>
      </c>
      <c r="D1946">
        <v>72444</v>
      </c>
      <c r="E1946" t="s">
        <v>150</v>
      </c>
      <c r="F1946" t="s">
        <v>164</v>
      </c>
      <c r="G1946" s="28">
        <v>10</v>
      </c>
      <c r="H1946" s="32">
        <v>2.7</v>
      </c>
      <c r="I1946" s="32">
        <v>458.32</v>
      </c>
      <c r="J1946" t="s">
        <v>239</v>
      </c>
      <c r="K1946" t="s">
        <v>245</v>
      </c>
      <c r="L1946" t="s">
        <v>235</v>
      </c>
      <c r="M1946" t="s">
        <v>236</v>
      </c>
      <c r="N1946" t="s">
        <v>240</v>
      </c>
      <c r="O1946" s="27">
        <v>46055</v>
      </c>
    </row>
    <row r="1947" spans="2:15" hidden="1" x14ac:dyDescent="0.3">
      <c r="B1947">
        <v>3317498</v>
      </c>
      <c r="C1947" t="s">
        <v>231</v>
      </c>
      <c r="D1947">
        <v>69493</v>
      </c>
      <c r="E1947" t="s">
        <v>150</v>
      </c>
      <c r="F1947" t="s">
        <v>337</v>
      </c>
      <c r="G1947" s="28">
        <v>13</v>
      </c>
      <c r="H1947" s="32">
        <v>2.7</v>
      </c>
      <c r="I1947" s="32">
        <v>472.21</v>
      </c>
      <c r="J1947" t="s">
        <v>239</v>
      </c>
      <c r="K1947" t="s">
        <v>245</v>
      </c>
      <c r="L1947" t="s">
        <v>235</v>
      </c>
      <c r="M1947" t="s">
        <v>236</v>
      </c>
      <c r="N1947" t="s">
        <v>237</v>
      </c>
      <c r="O1947" s="27">
        <v>46063</v>
      </c>
    </row>
    <row r="1948" spans="2:15" hidden="1" x14ac:dyDescent="0.3">
      <c r="B1948">
        <v>2470712</v>
      </c>
      <c r="C1948" t="s">
        <v>260</v>
      </c>
      <c r="D1948">
        <v>72444</v>
      </c>
      <c r="E1948" t="s">
        <v>150</v>
      </c>
      <c r="F1948" t="s">
        <v>163</v>
      </c>
      <c r="G1948" s="28">
        <v>19</v>
      </c>
      <c r="H1948" s="32">
        <v>2.7</v>
      </c>
      <c r="I1948" s="32">
        <v>250.31</v>
      </c>
      <c r="J1948" t="s">
        <v>239</v>
      </c>
      <c r="K1948" t="s">
        <v>245</v>
      </c>
      <c r="L1948" t="s">
        <v>235</v>
      </c>
      <c r="M1948" t="s">
        <v>236</v>
      </c>
      <c r="N1948" t="s">
        <v>237</v>
      </c>
      <c r="O1948" s="27">
        <v>46055</v>
      </c>
    </row>
    <row r="1949" spans="2:15" hidden="1" x14ac:dyDescent="0.3">
      <c r="B1949">
        <v>15974810</v>
      </c>
      <c r="C1949" t="s">
        <v>231</v>
      </c>
      <c r="D1949">
        <v>49894</v>
      </c>
      <c r="E1949" t="s">
        <v>150</v>
      </c>
      <c r="F1949" t="s">
        <v>337</v>
      </c>
      <c r="G1949" s="28">
        <v>13</v>
      </c>
      <c r="H1949" s="32">
        <v>2.69</v>
      </c>
      <c r="I1949" s="32">
        <v>472.2</v>
      </c>
      <c r="J1949" t="s">
        <v>239</v>
      </c>
      <c r="K1949" t="s">
        <v>245</v>
      </c>
      <c r="L1949" t="s">
        <v>235</v>
      </c>
      <c r="M1949" t="s">
        <v>236</v>
      </c>
      <c r="N1949" t="s">
        <v>237</v>
      </c>
      <c r="O1949" s="27">
        <v>46063</v>
      </c>
    </row>
    <row r="1950" spans="2:15" hidden="1" x14ac:dyDescent="0.3">
      <c r="B1950">
        <v>8230892</v>
      </c>
      <c r="C1950" t="s">
        <v>231</v>
      </c>
      <c r="D1950">
        <v>69519</v>
      </c>
      <c r="E1950" t="s">
        <v>150</v>
      </c>
      <c r="F1950" t="s">
        <v>319</v>
      </c>
      <c r="G1950" s="28">
        <v>12</v>
      </c>
      <c r="H1950" s="32">
        <v>2.69</v>
      </c>
      <c r="I1950" s="32">
        <v>484.74</v>
      </c>
      <c r="J1950" t="s">
        <v>239</v>
      </c>
      <c r="K1950" t="s">
        <v>245</v>
      </c>
      <c r="L1950" t="s">
        <v>235</v>
      </c>
      <c r="M1950" t="s">
        <v>236</v>
      </c>
      <c r="N1950" t="s">
        <v>240</v>
      </c>
      <c r="O1950" s="27">
        <v>46063</v>
      </c>
    </row>
    <row r="1951" spans="2:15" hidden="1" x14ac:dyDescent="0.3">
      <c r="B1951">
        <v>2987541</v>
      </c>
      <c r="C1951" t="s">
        <v>231</v>
      </c>
      <c r="D1951">
        <v>23648</v>
      </c>
      <c r="E1951" t="s">
        <v>150</v>
      </c>
      <c r="F1951" t="s">
        <v>287</v>
      </c>
      <c r="G1951" s="28">
        <v>11</v>
      </c>
      <c r="H1951" s="32">
        <v>2.68</v>
      </c>
      <c r="I1951" s="32">
        <v>345.04</v>
      </c>
      <c r="J1951" t="s">
        <v>239</v>
      </c>
      <c r="K1951" t="s">
        <v>245</v>
      </c>
      <c r="L1951" t="s">
        <v>235</v>
      </c>
      <c r="M1951" t="s">
        <v>236</v>
      </c>
      <c r="N1951" t="s">
        <v>237</v>
      </c>
      <c r="O1951" s="27">
        <v>46063</v>
      </c>
    </row>
    <row r="1952" spans="2:15" hidden="1" x14ac:dyDescent="0.3">
      <c r="B1952">
        <v>4927477</v>
      </c>
      <c r="C1952" t="s">
        <v>231</v>
      </c>
      <c r="D1952">
        <v>21468</v>
      </c>
      <c r="E1952" t="s">
        <v>150</v>
      </c>
      <c r="F1952" t="s">
        <v>298</v>
      </c>
      <c r="G1952" s="28">
        <v>9</v>
      </c>
      <c r="H1952" s="32">
        <v>2.68</v>
      </c>
      <c r="I1952" s="32">
        <v>147.75</v>
      </c>
      <c r="J1952" t="s">
        <v>239</v>
      </c>
      <c r="K1952" t="s">
        <v>245</v>
      </c>
      <c r="L1952" t="s">
        <v>235</v>
      </c>
      <c r="M1952" t="s">
        <v>236</v>
      </c>
      <c r="N1952" t="s">
        <v>237</v>
      </c>
      <c r="O1952" s="27">
        <v>46055</v>
      </c>
    </row>
    <row r="1953" spans="2:15" hidden="1" x14ac:dyDescent="0.3">
      <c r="B1953">
        <v>325473</v>
      </c>
      <c r="C1953" t="s">
        <v>231</v>
      </c>
      <c r="D1953">
        <v>22674</v>
      </c>
      <c r="E1953" t="s">
        <v>150</v>
      </c>
      <c r="F1953" t="s">
        <v>306</v>
      </c>
      <c r="G1953" s="28">
        <v>25</v>
      </c>
      <c r="H1953" s="32">
        <v>2.68</v>
      </c>
      <c r="I1953" s="32">
        <v>225.11</v>
      </c>
      <c r="J1953" t="s">
        <v>267</v>
      </c>
      <c r="K1953" t="s">
        <v>245</v>
      </c>
      <c r="L1953" t="s">
        <v>235</v>
      </c>
      <c r="M1953" t="s">
        <v>236</v>
      </c>
      <c r="N1953" t="s">
        <v>237</v>
      </c>
      <c r="O1953" s="27">
        <v>46056</v>
      </c>
    </row>
    <row r="1954" spans="2:15" hidden="1" x14ac:dyDescent="0.3">
      <c r="B1954">
        <v>245239</v>
      </c>
      <c r="C1954" t="s">
        <v>231</v>
      </c>
      <c r="D1954">
        <v>21468</v>
      </c>
      <c r="E1954" t="s">
        <v>150</v>
      </c>
      <c r="F1954" t="s">
        <v>160</v>
      </c>
      <c r="G1954" s="28">
        <v>3</v>
      </c>
      <c r="H1954" s="32">
        <v>2.67</v>
      </c>
      <c r="I1954" s="32">
        <v>254.55</v>
      </c>
      <c r="J1954" t="s">
        <v>239</v>
      </c>
      <c r="K1954" t="s">
        <v>245</v>
      </c>
      <c r="L1954" t="s">
        <v>235</v>
      </c>
      <c r="M1954" t="s">
        <v>236</v>
      </c>
      <c r="N1954" t="s">
        <v>240</v>
      </c>
      <c r="O1954" s="27">
        <v>46055</v>
      </c>
    </row>
    <row r="1955" spans="2:15" hidden="1" x14ac:dyDescent="0.3">
      <c r="B1955">
        <v>2922242</v>
      </c>
      <c r="C1955" t="s">
        <v>260</v>
      </c>
      <c r="D1955">
        <v>69519</v>
      </c>
      <c r="E1955" t="s">
        <v>150</v>
      </c>
      <c r="F1955" t="s">
        <v>384</v>
      </c>
      <c r="G1955" s="28">
        <v>24</v>
      </c>
      <c r="H1955" s="32">
        <v>2.67</v>
      </c>
      <c r="I1955" s="32">
        <v>495.84</v>
      </c>
      <c r="J1955" t="s">
        <v>330</v>
      </c>
      <c r="K1955" t="s">
        <v>234</v>
      </c>
      <c r="L1955" t="s">
        <v>235</v>
      </c>
      <c r="M1955" t="s">
        <v>236</v>
      </c>
      <c r="N1955" t="s">
        <v>237</v>
      </c>
      <c r="O1955" s="27">
        <v>46062</v>
      </c>
    </row>
    <row r="1956" spans="2:15" hidden="1" x14ac:dyDescent="0.3">
      <c r="B1956">
        <v>3255792</v>
      </c>
      <c r="C1956" t="s">
        <v>231</v>
      </c>
      <c r="D1956">
        <v>71881</v>
      </c>
      <c r="E1956" t="s">
        <v>150</v>
      </c>
      <c r="F1956" t="s">
        <v>163</v>
      </c>
      <c r="G1956" s="28">
        <v>15</v>
      </c>
      <c r="H1956" s="32">
        <v>2.66</v>
      </c>
      <c r="I1956" s="32">
        <v>197.61</v>
      </c>
      <c r="J1956" t="s">
        <v>239</v>
      </c>
      <c r="K1956" t="s">
        <v>245</v>
      </c>
      <c r="L1956" t="s">
        <v>235</v>
      </c>
      <c r="M1956" t="s">
        <v>236</v>
      </c>
      <c r="N1956" t="s">
        <v>237</v>
      </c>
      <c r="O1956" s="27">
        <v>46055</v>
      </c>
    </row>
    <row r="1957" spans="2:15" hidden="1" x14ac:dyDescent="0.3">
      <c r="B1957">
        <v>2922242</v>
      </c>
      <c r="C1957" t="s">
        <v>260</v>
      </c>
      <c r="D1957">
        <v>69519</v>
      </c>
      <c r="E1957" t="s">
        <v>150</v>
      </c>
      <c r="F1957" t="s">
        <v>377</v>
      </c>
      <c r="G1957" s="28">
        <v>16</v>
      </c>
      <c r="H1957" s="32">
        <v>2.66</v>
      </c>
      <c r="I1957" s="32">
        <v>494.08</v>
      </c>
      <c r="J1957" t="s">
        <v>330</v>
      </c>
      <c r="K1957" t="s">
        <v>234</v>
      </c>
      <c r="L1957" t="s">
        <v>235</v>
      </c>
      <c r="M1957" t="s">
        <v>236</v>
      </c>
      <c r="N1957" t="s">
        <v>237</v>
      </c>
      <c r="O1957" s="27">
        <v>46062</v>
      </c>
    </row>
    <row r="1958" spans="2:15" hidden="1" x14ac:dyDescent="0.3">
      <c r="B1958">
        <v>4415330</v>
      </c>
      <c r="C1958" t="s">
        <v>260</v>
      </c>
      <c r="D1958">
        <v>22674</v>
      </c>
      <c r="E1958" t="s">
        <v>150</v>
      </c>
      <c r="F1958" t="s">
        <v>319</v>
      </c>
      <c r="G1958" s="28">
        <v>12</v>
      </c>
      <c r="H1958" s="32">
        <v>2.66</v>
      </c>
      <c r="I1958" s="32">
        <v>484.74</v>
      </c>
      <c r="J1958" t="s">
        <v>239</v>
      </c>
      <c r="K1958" t="s">
        <v>245</v>
      </c>
      <c r="L1958" t="s">
        <v>235</v>
      </c>
      <c r="M1958" t="s">
        <v>236</v>
      </c>
      <c r="N1958" t="s">
        <v>240</v>
      </c>
      <c r="O1958" s="27">
        <v>46063</v>
      </c>
    </row>
    <row r="1959" spans="2:15" hidden="1" x14ac:dyDescent="0.3">
      <c r="B1959">
        <v>5599981</v>
      </c>
      <c r="C1959" t="s">
        <v>231</v>
      </c>
      <c r="D1959">
        <v>69493</v>
      </c>
      <c r="E1959" t="s">
        <v>150</v>
      </c>
      <c r="F1959" t="s">
        <v>287</v>
      </c>
      <c r="G1959" s="28">
        <v>11</v>
      </c>
      <c r="H1959" s="32">
        <v>2.65</v>
      </c>
      <c r="I1959" s="32">
        <v>345.04</v>
      </c>
      <c r="J1959" t="s">
        <v>239</v>
      </c>
      <c r="K1959" t="s">
        <v>245</v>
      </c>
      <c r="L1959" t="s">
        <v>235</v>
      </c>
      <c r="M1959" t="s">
        <v>236</v>
      </c>
      <c r="N1959" t="s">
        <v>237</v>
      </c>
      <c r="O1959" s="27">
        <v>46063</v>
      </c>
    </row>
    <row r="1960" spans="2:15" hidden="1" x14ac:dyDescent="0.3">
      <c r="B1960">
        <v>18872460</v>
      </c>
      <c r="C1960" t="s">
        <v>231</v>
      </c>
      <c r="D1960">
        <v>74304</v>
      </c>
      <c r="E1960" t="s">
        <v>150</v>
      </c>
      <c r="F1960" t="s">
        <v>160</v>
      </c>
      <c r="G1960" s="28">
        <v>6</v>
      </c>
      <c r="H1960" s="32">
        <v>2.65</v>
      </c>
      <c r="I1960" s="32">
        <v>509.11</v>
      </c>
      <c r="J1960" t="s">
        <v>239</v>
      </c>
      <c r="K1960" t="s">
        <v>245</v>
      </c>
      <c r="L1960" t="s">
        <v>235</v>
      </c>
      <c r="M1960" t="s">
        <v>236</v>
      </c>
      <c r="N1960" t="s">
        <v>237</v>
      </c>
      <c r="O1960" s="27">
        <v>46055</v>
      </c>
    </row>
    <row r="1961" spans="2:15" hidden="1" x14ac:dyDescent="0.3">
      <c r="B1961">
        <v>2826183</v>
      </c>
      <c r="C1961" t="s">
        <v>231</v>
      </c>
      <c r="D1961">
        <v>69493</v>
      </c>
      <c r="E1961" t="s">
        <v>150</v>
      </c>
      <c r="F1961" t="s">
        <v>164</v>
      </c>
      <c r="G1961" s="28">
        <v>8</v>
      </c>
      <c r="H1961" s="32">
        <v>2.63</v>
      </c>
      <c r="I1961" s="32">
        <v>366.66</v>
      </c>
      <c r="J1961" t="s">
        <v>239</v>
      </c>
      <c r="K1961" t="s">
        <v>245</v>
      </c>
      <c r="L1961" t="s">
        <v>235</v>
      </c>
      <c r="M1961" t="s">
        <v>236</v>
      </c>
      <c r="N1961" t="s">
        <v>240</v>
      </c>
      <c r="O1961" s="27">
        <v>46055</v>
      </c>
    </row>
    <row r="1962" spans="2:15" hidden="1" x14ac:dyDescent="0.3">
      <c r="B1962">
        <v>5555592</v>
      </c>
      <c r="C1962" t="s">
        <v>231</v>
      </c>
      <c r="D1962">
        <v>38517</v>
      </c>
      <c r="E1962" t="s">
        <v>150</v>
      </c>
      <c r="F1962" t="s">
        <v>246</v>
      </c>
      <c r="G1962" s="28">
        <v>5</v>
      </c>
      <c r="H1962" s="32">
        <v>2.63</v>
      </c>
      <c r="I1962" s="32">
        <v>185.73</v>
      </c>
      <c r="J1962" t="s">
        <v>239</v>
      </c>
      <c r="K1962" t="s">
        <v>245</v>
      </c>
      <c r="L1962" t="s">
        <v>235</v>
      </c>
      <c r="M1962" t="s">
        <v>236</v>
      </c>
      <c r="N1962" t="s">
        <v>237</v>
      </c>
      <c r="O1962" s="27">
        <v>46063</v>
      </c>
    </row>
    <row r="1963" spans="2:15" hidden="1" x14ac:dyDescent="0.3">
      <c r="B1963">
        <v>325473</v>
      </c>
      <c r="C1963" t="s">
        <v>231</v>
      </c>
      <c r="D1963">
        <v>22674</v>
      </c>
      <c r="E1963" t="s">
        <v>150</v>
      </c>
      <c r="F1963" t="s">
        <v>305</v>
      </c>
      <c r="G1963" s="28">
        <v>6</v>
      </c>
      <c r="H1963" s="32">
        <v>2.62</v>
      </c>
      <c r="I1963" s="32">
        <v>634.41</v>
      </c>
      <c r="J1963" t="s">
        <v>267</v>
      </c>
      <c r="K1963" t="s">
        <v>245</v>
      </c>
      <c r="L1963" t="s">
        <v>235</v>
      </c>
      <c r="M1963" t="s">
        <v>236</v>
      </c>
      <c r="N1963" t="s">
        <v>237</v>
      </c>
      <c r="O1963" s="27">
        <v>46056</v>
      </c>
    </row>
    <row r="1964" spans="2:15" hidden="1" x14ac:dyDescent="0.3">
      <c r="B1964">
        <v>4382412</v>
      </c>
      <c r="C1964" t="s">
        <v>231</v>
      </c>
      <c r="D1964">
        <v>49894</v>
      </c>
      <c r="E1964" t="s">
        <v>150</v>
      </c>
      <c r="F1964" t="s">
        <v>287</v>
      </c>
      <c r="G1964" s="28">
        <v>10</v>
      </c>
      <c r="H1964" s="32">
        <v>2.61</v>
      </c>
      <c r="I1964" s="32">
        <v>313.52999999999997</v>
      </c>
      <c r="J1964" t="s">
        <v>239</v>
      </c>
      <c r="K1964" t="s">
        <v>245</v>
      </c>
      <c r="L1964" t="s">
        <v>235</v>
      </c>
      <c r="M1964" t="s">
        <v>236</v>
      </c>
      <c r="N1964" t="s">
        <v>237</v>
      </c>
      <c r="O1964" s="27">
        <v>46063</v>
      </c>
    </row>
    <row r="1965" spans="2:15" hidden="1" x14ac:dyDescent="0.3">
      <c r="B1965">
        <v>6027332</v>
      </c>
      <c r="C1965" t="s">
        <v>231</v>
      </c>
      <c r="D1965">
        <v>23410</v>
      </c>
      <c r="E1965" t="s">
        <v>150</v>
      </c>
      <c r="F1965" t="s">
        <v>272</v>
      </c>
      <c r="G1965" s="28">
        <v>74</v>
      </c>
      <c r="H1965" s="32">
        <v>2.61</v>
      </c>
      <c r="I1965" s="32">
        <v>483.86</v>
      </c>
      <c r="J1965" t="s">
        <v>239</v>
      </c>
      <c r="K1965" t="s">
        <v>245</v>
      </c>
      <c r="L1965" t="s">
        <v>235</v>
      </c>
      <c r="M1965" t="s">
        <v>236</v>
      </c>
      <c r="N1965" t="s">
        <v>237</v>
      </c>
      <c r="O1965" s="27">
        <v>46055</v>
      </c>
    </row>
    <row r="1966" spans="2:15" hidden="1" x14ac:dyDescent="0.3">
      <c r="B1966">
        <v>8230892</v>
      </c>
      <c r="C1966" t="s">
        <v>231</v>
      </c>
      <c r="D1966">
        <v>69519</v>
      </c>
      <c r="E1966" t="s">
        <v>150</v>
      </c>
      <c r="F1966" t="s">
        <v>337</v>
      </c>
      <c r="G1966" s="28">
        <v>12</v>
      </c>
      <c r="H1966" s="32">
        <v>2.6</v>
      </c>
      <c r="I1966" s="32">
        <v>435.74</v>
      </c>
      <c r="J1966" t="s">
        <v>239</v>
      </c>
      <c r="K1966" t="s">
        <v>245</v>
      </c>
      <c r="L1966" t="s">
        <v>235</v>
      </c>
      <c r="M1966" t="s">
        <v>236</v>
      </c>
      <c r="N1966" t="s">
        <v>237</v>
      </c>
      <c r="O1966" s="27">
        <v>46063</v>
      </c>
    </row>
    <row r="1967" spans="2:15" hidden="1" x14ac:dyDescent="0.3">
      <c r="B1967">
        <v>14521528</v>
      </c>
      <c r="C1967" t="s">
        <v>260</v>
      </c>
      <c r="D1967">
        <v>25619</v>
      </c>
      <c r="E1967" t="s">
        <v>150</v>
      </c>
      <c r="F1967" t="s">
        <v>319</v>
      </c>
      <c r="G1967" s="28">
        <v>11</v>
      </c>
      <c r="H1967" s="32">
        <v>2.6</v>
      </c>
      <c r="I1967" s="32">
        <v>444.24</v>
      </c>
      <c r="J1967" t="s">
        <v>239</v>
      </c>
      <c r="K1967" t="s">
        <v>245</v>
      </c>
      <c r="L1967" t="s">
        <v>235</v>
      </c>
      <c r="M1967" t="s">
        <v>236</v>
      </c>
      <c r="N1967" t="s">
        <v>240</v>
      </c>
      <c r="O1967" s="27">
        <v>46063</v>
      </c>
    </row>
    <row r="1968" spans="2:15" hidden="1" x14ac:dyDescent="0.3">
      <c r="B1968">
        <v>2084946</v>
      </c>
      <c r="C1968" t="s">
        <v>231</v>
      </c>
      <c r="D1968">
        <v>69493</v>
      </c>
      <c r="E1968" t="s">
        <v>150</v>
      </c>
      <c r="F1968" t="s">
        <v>287</v>
      </c>
      <c r="G1968" s="28">
        <v>12</v>
      </c>
      <c r="H1968" s="32">
        <v>2.59</v>
      </c>
      <c r="I1968" s="32">
        <v>374.57</v>
      </c>
      <c r="J1968" t="s">
        <v>239</v>
      </c>
      <c r="K1968" t="s">
        <v>245</v>
      </c>
      <c r="L1968" t="s">
        <v>235</v>
      </c>
      <c r="M1968" t="s">
        <v>236</v>
      </c>
      <c r="N1968" t="s">
        <v>237</v>
      </c>
      <c r="O1968" s="27">
        <v>46055</v>
      </c>
    </row>
    <row r="1969" spans="2:15" hidden="1" x14ac:dyDescent="0.3">
      <c r="B1969">
        <v>2495068</v>
      </c>
      <c r="C1969" t="s">
        <v>231</v>
      </c>
      <c r="D1969">
        <v>69493</v>
      </c>
      <c r="E1969" t="s">
        <v>150</v>
      </c>
      <c r="F1969" t="s">
        <v>287</v>
      </c>
      <c r="G1969" s="28">
        <v>12</v>
      </c>
      <c r="H1969" s="32">
        <v>2.59</v>
      </c>
      <c r="I1969" s="32">
        <v>374.57</v>
      </c>
      <c r="J1969" t="s">
        <v>239</v>
      </c>
      <c r="K1969" t="s">
        <v>245</v>
      </c>
      <c r="L1969" t="s">
        <v>235</v>
      </c>
      <c r="M1969" t="s">
        <v>236</v>
      </c>
      <c r="N1969" t="s">
        <v>237</v>
      </c>
      <c r="O1969" s="27">
        <v>46055</v>
      </c>
    </row>
    <row r="1970" spans="2:15" hidden="1" x14ac:dyDescent="0.3">
      <c r="B1970">
        <v>5263260</v>
      </c>
      <c r="C1970" t="s">
        <v>231</v>
      </c>
      <c r="D1970">
        <v>23648</v>
      </c>
      <c r="E1970" t="s">
        <v>150</v>
      </c>
      <c r="F1970" t="s">
        <v>164</v>
      </c>
      <c r="G1970" s="28">
        <v>6</v>
      </c>
      <c r="H1970" s="32">
        <v>2.59</v>
      </c>
      <c r="I1970" s="32">
        <v>291.74</v>
      </c>
      <c r="J1970" t="s">
        <v>239</v>
      </c>
      <c r="K1970" t="s">
        <v>245</v>
      </c>
      <c r="L1970" t="s">
        <v>235</v>
      </c>
      <c r="M1970" t="s">
        <v>236</v>
      </c>
      <c r="N1970" t="s">
        <v>240</v>
      </c>
      <c r="O1970" s="27">
        <v>46063</v>
      </c>
    </row>
    <row r="1971" spans="2:15" hidden="1" x14ac:dyDescent="0.3">
      <c r="B1971">
        <v>4415330</v>
      </c>
      <c r="C1971" t="s">
        <v>260</v>
      </c>
      <c r="D1971">
        <v>22674</v>
      </c>
      <c r="E1971" t="s">
        <v>150</v>
      </c>
      <c r="F1971" t="s">
        <v>337</v>
      </c>
      <c r="G1971" s="28">
        <v>12</v>
      </c>
      <c r="H1971" s="32">
        <v>2.59</v>
      </c>
      <c r="I1971" s="32">
        <v>435.73</v>
      </c>
      <c r="J1971" t="s">
        <v>239</v>
      </c>
      <c r="K1971" t="s">
        <v>245</v>
      </c>
      <c r="L1971" t="s">
        <v>235</v>
      </c>
      <c r="M1971" t="s">
        <v>236</v>
      </c>
      <c r="N1971" t="s">
        <v>237</v>
      </c>
      <c r="O1971" s="27">
        <v>46063</v>
      </c>
    </row>
    <row r="1972" spans="2:15" hidden="1" x14ac:dyDescent="0.3">
      <c r="B1972">
        <v>2091913</v>
      </c>
      <c r="C1972" t="s">
        <v>260</v>
      </c>
      <c r="D1972">
        <v>49894</v>
      </c>
      <c r="E1972" t="s">
        <v>150</v>
      </c>
      <c r="F1972" t="s">
        <v>319</v>
      </c>
      <c r="G1972" s="28">
        <v>11</v>
      </c>
      <c r="H1972" s="32">
        <v>2.58</v>
      </c>
      <c r="I1972" s="32">
        <v>444.24</v>
      </c>
      <c r="J1972" t="s">
        <v>239</v>
      </c>
      <c r="K1972" t="s">
        <v>245</v>
      </c>
      <c r="L1972" t="s">
        <v>235</v>
      </c>
      <c r="M1972" t="s">
        <v>236</v>
      </c>
      <c r="N1972" t="s">
        <v>240</v>
      </c>
      <c r="O1972" s="27">
        <v>46063</v>
      </c>
    </row>
    <row r="1973" spans="2:15" hidden="1" x14ac:dyDescent="0.3">
      <c r="B1973">
        <v>4382412</v>
      </c>
      <c r="C1973" t="s">
        <v>231</v>
      </c>
      <c r="D1973">
        <v>49894</v>
      </c>
      <c r="E1973" t="s">
        <v>150</v>
      </c>
      <c r="F1973" t="s">
        <v>424</v>
      </c>
      <c r="G1973" s="28">
        <v>21</v>
      </c>
      <c r="H1973" s="32">
        <v>2.57</v>
      </c>
      <c r="I1973" s="32">
        <v>453.88</v>
      </c>
      <c r="J1973" t="s">
        <v>330</v>
      </c>
      <c r="K1973" t="s">
        <v>245</v>
      </c>
      <c r="L1973" t="s">
        <v>235</v>
      </c>
      <c r="M1973" t="s">
        <v>236</v>
      </c>
      <c r="N1973" t="s">
        <v>240</v>
      </c>
      <c r="O1973" s="27">
        <v>46062</v>
      </c>
    </row>
    <row r="1974" spans="2:15" hidden="1" x14ac:dyDescent="0.3">
      <c r="B1974">
        <v>3461330</v>
      </c>
      <c r="C1974" t="s">
        <v>260</v>
      </c>
      <c r="D1974">
        <v>21468</v>
      </c>
      <c r="E1974" t="s">
        <v>150</v>
      </c>
      <c r="F1974" t="s">
        <v>287</v>
      </c>
      <c r="G1974" s="28">
        <v>10</v>
      </c>
      <c r="H1974" s="32">
        <v>2.57</v>
      </c>
      <c r="I1974" s="32">
        <v>313.54000000000002</v>
      </c>
      <c r="J1974" t="s">
        <v>239</v>
      </c>
      <c r="K1974" t="s">
        <v>245</v>
      </c>
      <c r="L1974" t="s">
        <v>235</v>
      </c>
      <c r="M1974" t="s">
        <v>236</v>
      </c>
      <c r="N1974" t="s">
        <v>237</v>
      </c>
      <c r="O1974" s="27">
        <v>46063</v>
      </c>
    </row>
    <row r="1975" spans="2:15" hidden="1" x14ac:dyDescent="0.3">
      <c r="B1975">
        <v>6859448</v>
      </c>
      <c r="C1975" t="s">
        <v>231</v>
      </c>
      <c r="D1975">
        <v>25619</v>
      </c>
      <c r="E1975" t="s">
        <v>150</v>
      </c>
      <c r="F1975" t="s">
        <v>287</v>
      </c>
      <c r="G1975" s="28">
        <v>10</v>
      </c>
      <c r="H1975" s="32">
        <v>2.56</v>
      </c>
      <c r="I1975" s="32">
        <v>313.54000000000002</v>
      </c>
      <c r="J1975" t="s">
        <v>239</v>
      </c>
      <c r="K1975" t="s">
        <v>245</v>
      </c>
      <c r="L1975" t="s">
        <v>235</v>
      </c>
      <c r="M1975" t="s">
        <v>236</v>
      </c>
      <c r="N1975" t="s">
        <v>237</v>
      </c>
      <c r="O1975" s="27">
        <v>46063</v>
      </c>
    </row>
    <row r="1976" spans="2:15" x14ac:dyDescent="0.3">
      <c r="B1976">
        <v>8907980</v>
      </c>
      <c r="C1976" t="s">
        <v>231</v>
      </c>
      <c r="D1976">
        <v>22103</v>
      </c>
      <c r="E1976" t="s">
        <v>150</v>
      </c>
      <c r="F1976" t="s">
        <v>246</v>
      </c>
      <c r="G1976" s="28">
        <v>4</v>
      </c>
      <c r="H1976" s="32">
        <v>2.56</v>
      </c>
      <c r="I1976" s="32">
        <v>147.80000000000001</v>
      </c>
      <c r="J1976" t="s">
        <v>239</v>
      </c>
      <c r="K1976" t="s">
        <v>245</v>
      </c>
      <c r="L1976" t="s">
        <v>235</v>
      </c>
      <c r="M1976" t="s">
        <v>236</v>
      </c>
      <c r="N1976" t="s">
        <v>237</v>
      </c>
      <c r="O1976" s="27">
        <v>46055</v>
      </c>
    </row>
    <row r="1977" spans="2:15" hidden="1" x14ac:dyDescent="0.3">
      <c r="B1977">
        <v>575946</v>
      </c>
      <c r="C1977" t="s">
        <v>231</v>
      </c>
      <c r="D1977">
        <v>25619</v>
      </c>
      <c r="E1977" t="s">
        <v>150</v>
      </c>
      <c r="F1977" t="s">
        <v>160</v>
      </c>
      <c r="G1977" s="28">
        <v>5</v>
      </c>
      <c r="H1977" s="32">
        <v>2.56</v>
      </c>
      <c r="I1977" s="32">
        <v>424.26</v>
      </c>
      <c r="J1977" t="s">
        <v>239</v>
      </c>
      <c r="K1977" t="s">
        <v>245</v>
      </c>
      <c r="L1977" t="s">
        <v>235</v>
      </c>
      <c r="M1977" t="s">
        <v>236</v>
      </c>
      <c r="N1977" t="s">
        <v>237</v>
      </c>
      <c r="O1977" s="27">
        <v>46055</v>
      </c>
    </row>
    <row r="1978" spans="2:15" hidden="1" x14ac:dyDescent="0.3">
      <c r="B1978">
        <v>542586</v>
      </c>
      <c r="C1978" t="s">
        <v>260</v>
      </c>
      <c r="D1978">
        <v>21468</v>
      </c>
      <c r="E1978" t="s">
        <v>150</v>
      </c>
      <c r="F1978" t="s">
        <v>363</v>
      </c>
      <c r="G1978" s="28">
        <v>14</v>
      </c>
      <c r="H1978" s="32">
        <v>2.5499999999999998</v>
      </c>
      <c r="I1978" s="32">
        <v>503.16</v>
      </c>
      <c r="J1978" t="s">
        <v>330</v>
      </c>
      <c r="K1978" t="s">
        <v>234</v>
      </c>
      <c r="L1978" t="s">
        <v>235</v>
      </c>
      <c r="M1978" t="s">
        <v>236</v>
      </c>
      <c r="N1978" t="s">
        <v>237</v>
      </c>
      <c r="O1978" s="27">
        <v>46058</v>
      </c>
    </row>
    <row r="1979" spans="2:15" hidden="1" x14ac:dyDescent="0.3">
      <c r="B1979">
        <v>2051406</v>
      </c>
      <c r="C1979" t="s">
        <v>231</v>
      </c>
      <c r="D1979">
        <v>25104</v>
      </c>
      <c r="E1979" t="s">
        <v>150</v>
      </c>
      <c r="F1979" t="s">
        <v>163</v>
      </c>
      <c r="G1979" s="28">
        <v>17</v>
      </c>
      <c r="H1979" s="32">
        <v>2.54</v>
      </c>
      <c r="I1979" s="32">
        <v>223.96</v>
      </c>
      <c r="J1979" t="s">
        <v>239</v>
      </c>
      <c r="K1979" t="s">
        <v>245</v>
      </c>
      <c r="L1979" t="s">
        <v>235</v>
      </c>
      <c r="M1979" t="s">
        <v>236</v>
      </c>
      <c r="N1979" t="s">
        <v>237</v>
      </c>
      <c r="O1979" s="27">
        <v>46055</v>
      </c>
    </row>
    <row r="1980" spans="2:15" hidden="1" x14ac:dyDescent="0.3">
      <c r="B1980">
        <v>2084946</v>
      </c>
      <c r="C1980" t="s">
        <v>231</v>
      </c>
      <c r="D1980">
        <v>69493</v>
      </c>
      <c r="E1980" t="s">
        <v>150</v>
      </c>
      <c r="F1980" t="s">
        <v>337</v>
      </c>
      <c r="G1980" s="28">
        <v>10</v>
      </c>
      <c r="H1980" s="32">
        <v>2.54</v>
      </c>
      <c r="I1980" s="32">
        <v>367.53</v>
      </c>
      <c r="J1980" t="s">
        <v>239</v>
      </c>
      <c r="K1980" t="s">
        <v>245</v>
      </c>
      <c r="L1980" t="s">
        <v>235</v>
      </c>
      <c r="M1980" t="s">
        <v>236</v>
      </c>
      <c r="N1980" t="s">
        <v>237</v>
      </c>
      <c r="O1980" s="27">
        <v>46055</v>
      </c>
    </row>
    <row r="1981" spans="2:15" hidden="1" x14ac:dyDescent="0.3">
      <c r="B1981">
        <v>6901714</v>
      </c>
      <c r="C1981" t="s">
        <v>260</v>
      </c>
      <c r="D1981">
        <v>71997</v>
      </c>
      <c r="E1981" t="s">
        <v>150</v>
      </c>
      <c r="F1981" t="s">
        <v>337</v>
      </c>
      <c r="G1981" s="28">
        <v>12</v>
      </c>
      <c r="H1981" s="32">
        <v>2.54</v>
      </c>
      <c r="I1981" s="32">
        <v>435.74</v>
      </c>
      <c r="J1981" t="s">
        <v>239</v>
      </c>
      <c r="K1981" t="s">
        <v>245</v>
      </c>
      <c r="L1981" t="s">
        <v>235</v>
      </c>
      <c r="M1981" t="s">
        <v>236</v>
      </c>
      <c r="N1981" t="s">
        <v>237</v>
      </c>
      <c r="O1981" s="27">
        <v>46063</v>
      </c>
    </row>
    <row r="1982" spans="2:15" hidden="1" x14ac:dyDescent="0.3">
      <c r="B1982">
        <v>8781959</v>
      </c>
      <c r="C1982" t="s">
        <v>231</v>
      </c>
      <c r="D1982">
        <v>72444</v>
      </c>
      <c r="E1982" t="s">
        <v>150</v>
      </c>
      <c r="F1982" t="s">
        <v>271</v>
      </c>
      <c r="G1982" s="28">
        <v>15</v>
      </c>
      <c r="H1982" s="32">
        <v>2.5299999999999998</v>
      </c>
      <c r="I1982" s="32">
        <v>264.85000000000002</v>
      </c>
      <c r="J1982" t="s">
        <v>239</v>
      </c>
      <c r="K1982" t="s">
        <v>245</v>
      </c>
      <c r="L1982" t="s">
        <v>235</v>
      </c>
      <c r="M1982" t="s">
        <v>236</v>
      </c>
      <c r="N1982" t="s">
        <v>237</v>
      </c>
      <c r="O1982" s="27">
        <v>46055</v>
      </c>
    </row>
    <row r="1983" spans="2:15" hidden="1" x14ac:dyDescent="0.3">
      <c r="B1983">
        <v>3270381</v>
      </c>
      <c r="C1983" t="s">
        <v>260</v>
      </c>
      <c r="D1983">
        <v>21559</v>
      </c>
      <c r="E1983" t="s">
        <v>150</v>
      </c>
      <c r="F1983" t="s">
        <v>246</v>
      </c>
      <c r="G1983" s="28">
        <v>4</v>
      </c>
      <c r="H1983" s="32">
        <v>2.5299999999999998</v>
      </c>
      <c r="I1983" s="32">
        <v>147.80000000000001</v>
      </c>
      <c r="J1983" t="s">
        <v>239</v>
      </c>
      <c r="K1983" t="s">
        <v>245</v>
      </c>
      <c r="L1983" t="s">
        <v>235</v>
      </c>
      <c r="M1983" t="s">
        <v>236</v>
      </c>
      <c r="N1983" t="s">
        <v>237</v>
      </c>
      <c r="O1983" s="27">
        <v>46055</v>
      </c>
    </row>
    <row r="1984" spans="2:15" hidden="1" x14ac:dyDescent="0.3">
      <c r="B1984">
        <v>2411460</v>
      </c>
      <c r="C1984" t="s">
        <v>231</v>
      </c>
      <c r="D1984">
        <v>72444</v>
      </c>
      <c r="E1984" t="s">
        <v>150</v>
      </c>
      <c r="F1984" t="s">
        <v>316</v>
      </c>
      <c r="G1984" s="28">
        <v>3</v>
      </c>
      <c r="H1984" s="32">
        <v>2.52</v>
      </c>
      <c r="I1984" s="32">
        <v>324.22000000000003</v>
      </c>
      <c r="J1984" t="s">
        <v>256</v>
      </c>
      <c r="K1984" t="s">
        <v>245</v>
      </c>
      <c r="L1984" t="s">
        <v>235</v>
      </c>
      <c r="M1984" t="s">
        <v>236</v>
      </c>
      <c r="N1984" t="s">
        <v>240</v>
      </c>
      <c r="O1984" s="27">
        <v>46055</v>
      </c>
    </row>
    <row r="1985" spans="2:15" hidden="1" x14ac:dyDescent="0.3">
      <c r="B1985">
        <v>3255792</v>
      </c>
      <c r="C1985" t="s">
        <v>231</v>
      </c>
      <c r="D1985">
        <v>71881</v>
      </c>
      <c r="E1985" t="s">
        <v>150</v>
      </c>
      <c r="F1985" t="s">
        <v>164</v>
      </c>
      <c r="G1985" s="28">
        <v>5</v>
      </c>
      <c r="H1985" s="32">
        <v>2.52</v>
      </c>
      <c r="I1985" s="32">
        <v>243.08</v>
      </c>
      <c r="J1985" t="s">
        <v>239</v>
      </c>
      <c r="K1985" t="s">
        <v>245</v>
      </c>
      <c r="L1985" t="s">
        <v>235</v>
      </c>
      <c r="M1985" t="s">
        <v>236</v>
      </c>
      <c r="N1985" t="s">
        <v>240</v>
      </c>
      <c r="O1985" s="27">
        <v>46063</v>
      </c>
    </row>
    <row r="1986" spans="2:15" hidden="1" x14ac:dyDescent="0.3">
      <c r="B1986">
        <v>3593981</v>
      </c>
      <c r="C1986" t="s">
        <v>260</v>
      </c>
      <c r="D1986">
        <v>23648</v>
      </c>
      <c r="E1986" t="s">
        <v>150</v>
      </c>
      <c r="F1986" t="s">
        <v>163</v>
      </c>
      <c r="G1986" s="28">
        <v>4</v>
      </c>
      <c r="H1986" s="32">
        <v>2.52</v>
      </c>
      <c r="I1986" s="32">
        <v>55.84</v>
      </c>
      <c r="J1986" t="s">
        <v>239</v>
      </c>
      <c r="K1986" t="s">
        <v>245</v>
      </c>
      <c r="L1986" t="s">
        <v>235</v>
      </c>
      <c r="M1986" t="s">
        <v>236</v>
      </c>
      <c r="N1986" t="s">
        <v>237</v>
      </c>
      <c r="O1986" s="27">
        <v>46063</v>
      </c>
    </row>
    <row r="1987" spans="2:15" hidden="1" x14ac:dyDescent="0.3">
      <c r="B1987">
        <v>3321439</v>
      </c>
      <c r="C1987" t="s">
        <v>231</v>
      </c>
      <c r="D1987">
        <v>22674</v>
      </c>
      <c r="E1987" t="s">
        <v>150</v>
      </c>
      <c r="F1987" t="s">
        <v>287</v>
      </c>
      <c r="G1987" s="28">
        <v>10</v>
      </c>
      <c r="H1987" s="32">
        <v>2.5099999999999998</v>
      </c>
      <c r="I1987" s="32">
        <v>313.54000000000002</v>
      </c>
      <c r="J1987" t="s">
        <v>239</v>
      </c>
      <c r="K1987" t="s">
        <v>245</v>
      </c>
      <c r="L1987" t="s">
        <v>235</v>
      </c>
      <c r="M1987" t="s">
        <v>236</v>
      </c>
      <c r="N1987" t="s">
        <v>237</v>
      </c>
      <c r="O1987" s="27">
        <v>46063</v>
      </c>
    </row>
    <row r="1988" spans="2:15" hidden="1" x14ac:dyDescent="0.3">
      <c r="B1988">
        <v>2538267</v>
      </c>
      <c r="C1988" t="s">
        <v>231</v>
      </c>
      <c r="D1988">
        <v>69579</v>
      </c>
      <c r="E1988" t="s">
        <v>150</v>
      </c>
      <c r="F1988" t="s">
        <v>164</v>
      </c>
      <c r="G1988" s="28">
        <v>10</v>
      </c>
      <c r="H1988" s="32">
        <v>2.5099999999999998</v>
      </c>
      <c r="I1988" s="32">
        <v>458.32</v>
      </c>
      <c r="J1988" t="s">
        <v>239</v>
      </c>
      <c r="K1988" t="s">
        <v>245</v>
      </c>
      <c r="L1988" t="s">
        <v>235</v>
      </c>
      <c r="M1988" t="s">
        <v>236</v>
      </c>
      <c r="N1988" t="s">
        <v>240</v>
      </c>
      <c r="O1988" s="27">
        <v>46055</v>
      </c>
    </row>
    <row r="1989" spans="2:15" hidden="1" x14ac:dyDescent="0.3">
      <c r="B1989">
        <v>3343807</v>
      </c>
      <c r="C1989" t="s">
        <v>231</v>
      </c>
      <c r="D1989">
        <v>69519</v>
      </c>
      <c r="E1989" t="s">
        <v>150</v>
      </c>
      <c r="F1989" t="s">
        <v>331</v>
      </c>
      <c r="G1989" s="28">
        <v>24</v>
      </c>
      <c r="H1989" s="32">
        <v>2.5099999999999998</v>
      </c>
      <c r="I1989" s="32">
        <v>231.7</v>
      </c>
      <c r="J1989" t="s">
        <v>267</v>
      </c>
      <c r="K1989" t="s">
        <v>245</v>
      </c>
      <c r="L1989" t="s">
        <v>235</v>
      </c>
      <c r="M1989" t="s">
        <v>236</v>
      </c>
      <c r="N1989" t="s">
        <v>240</v>
      </c>
      <c r="O1989" s="27">
        <v>46063</v>
      </c>
    </row>
    <row r="1990" spans="2:15" hidden="1" x14ac:dyDescent="0.3">
      <c r="B1990">
        <v>14471054</v>
      </c>
      <c r="C1990" t="s">
        <v>260</v>
      </c>
      <c r="D1990">
        <v>72444</v>
      </c>
      <c r="E1990" t="s">
        <v>150</v>
      </c>
      <c r="F1990" t="s">
        <v>163</v>
      </c>
      <c r="G1990" s="28">
        <v>14</v>
      </c>
      <c r="H1990" s="32">
        <v>2.5099999999999998</v>
      </c>
      <c r="I1990" s="32">
        <v>184.44</v>
      </c>
      <c r="J1990" t="s">
        <v>239</v>
      </c>
      <c r="K1990" t="s">
        <v>245</v>
      </c>
      <c r="L1990" t="s">
        <v>235</v>
      </c>
      <c r="M1990" t="s">
        <v>236</v>
      </c>
      <c r="N1990" t="s">
        <v>237</v>
      </c>
      <c r="O1990" s="27">
        <v>46055</v>
      </c>
    </row>
    <row r="1991" spans="2:15" hidden="1" x14ac:dyDescent="0.3">
      <c r="B1991">
        <v>2922242</v>
      </c>
      <c r="C1991" t="s">
        <v>260</v>
      </c>
      <c r="D1991">
        <v>69519</v>
      </c>
      <c r="E1991" t="s">
        <v>150</v>
      </c>
      <c r="F1991" t="s">
        <v>381</v>
      </c>
      <c r="G1991" s="28">
        <v>30</v>
      </c>
      <c r="H1991" s="32">
        <v>2.5099999999999998</v>
      </c>
      <c r="I1991" s="32">
        <v>466.2</v>
      </c>
      <c r="J1991" t="s">
        <v>330</v>
      </c>
      <c r="K1991" t="s">
        <v>234</v>
      </c>
      <c r="L1991" t="s">
        <v>235</v>
      </c>
      <c r="M1991" t="s">
        <v>236</v>
      </c>
      <c r="N1991" t="s">
        <v>237</v>
      </c>
      <c r="O1991" s="27">
        <v>46062</v>
      </c>
    </row>
    <row r="1992" spans="2:15" hidden="1" x14ac:dyDescent="0.3">
      <c r="B1992">
        <v>4051319</v>
      </c>
      <c r="C1992" t="s">
        <v>231</v>
      </c>
      <c r="D1992">
        <v>22674</v>
      </c>
      <c r="E1992" t="s">
        <v>150</v>
      </c>
      <c r="F1992" t="s">
        <v>319</v>
      </c>
      <c r="G1992" s="28">
        <v>11</v>
      </c>
      <c r="H1992" s="32">
        <v>2.5</v>
      </c>
      <c r="I1992" s="32">
        <v>444.22</v>
      </c>
      <c r="J1992" t="s">
        <v>239</v>
      </c>
      <c r="K1992" t="s">
        <v>245</v>
      </c>
      <c r="L1992" t="s">
        <v>235</v>
      </c>
      <c r="M1992" t="s">
        <v>236</v>
      </c>
      <c r="N1992" t="s">
        <v>240</v>
      </c>
      <c r="O1992" s="27">
        <v>46063</v>
      </c>
    </row>
    <row r="1993" spans="2:15" hidden="1" x14ac:dyDescent="0.3">
      <c r="B1993">
        <v>2091913</v>
      </c>
      <c r="C1993" t="s">
        <v>260</v>
      </c>
      <c r="D1993">
        <v>49894</v>
      </c>
      <c r="E1993" t="s">
        <v>150</v>
      </c>
      <c r="F1993" t="s">
        <v>337</v>
      </c>
      <c r="G1993" s="28">
        <v>11</v>
      </c>
      <c r="H1993" s="32">
        <v>2.5</v>
      </c>
      <c r="I1993" s="32">
        <v>399.71</v>
      </c>
      <c r="J1993" t="s">
        <v>239</v>
      </c>
      <c r="K1993" t="s">
        <v>245</v>
      </c>
      <c r="L1993" t="s">
        <v>235</v>
      </c>
      <c r="M1993" t="s">
        <v>236</v>
      </c>
      <c r="N1993" t="s">
        <v>237</v>
      </c>
      <c r="O1993" s="27">
        <v>46063</v>
      </c>
    </row>
    <row r="1994" spans="2:15" hidden="1" x14ac:dyDescent="0.3">
      <c r="B1994">
        <v>12025620</v>
      </c>
      <c r="C1994" t="s">
        <v>231</v>
      </c>
      <c r="D1994">
        <v>38517</v>
      </c>
      <c r="E1994" t="s">
        <v>150</v>
      </c>
      <c r="F1994" t="s">
        <v>319</v>
      </c>
      <c r="G1994" s="28">
        <v>11</v>
      </c>
      <c r="H1994" s="32">
        <v>2.48</v>
      </c>
      <c r="I1994" s="32">
        <v>444.24</v>
      </c>
      <c r="J1994" t="s">
        <v>239</v>
      </c>
      <c r="K1994" t="s">
        <v>245</v>
      </c>
      <c r="L1994" t="s">
        <v>235</v>
      </c>
      <c r="M1994" t="s">
        <v>236</v>
      </c>
      <c r="N1994" t="s">
        <v>240</v>
      </c>
      <c r="O1994" s="27">
        <v>46063</v>
      </c>
    </row>
    <row r="1995" spans="2:15" hidden="1" x14ac:dyDescent="0.3">
      <c r="B1995">
        <v>2826183</v>
      </c>
      <c r="C1995" t="s">
        <v>231</v>
      </c>
      <c r="D1995">
        <v>69493</v>
      </c>
      <c r="E1995" t="s">
        <v>150</v>
      </c>
      <c r="F1995" t="s">
        <v>287</v>
      </c>
      <c r="G1995" s="28">
        <v>11</v>
      </c>
      <c r="H1995" s="32">
        <v>2.4700000000000002</v>
      </c>
      <c r="I1995" s="32">
        <v>343.36</v>
      </c>
      <c r="J1995" t="s">
        <v>239</v>
      </c>
      <c r="K1995" t="s">
        <v>245</v>
      </c>
      <c r="L1995" t="s">
        <v>235</v>
      </c>
      <c r="M1995" t="s">
        <v>236</v>
      </c>
      <c r="N1995" t="s">
        <v>237</v>
      </c>
      <c r="O1995" s="27">
        <v>46055</v>
      </c>
    </row>
    <row r="1996" spans="2:15" hidden="1" x14ac:dyDescent="0.3">
      <c r="B1996">
        <v>8781959</v>
      </c>
      <c r="C1996" t="s">
        <v>231</v>
      </c>
      <c r="D1996">
        <v>72444</v>
      </c>
      <c r="E1996" t="s">
        <v>150</v>
      </c>
      <c r="F1996" t="s">
        <v>369</v>
      </c>
      <c r="G1996" s="28">
        <v>5</v>
      </c>
      <c r="H1996" s="32">
        <v>2.4700000000000002</v>
      </c>
      <c r="I1996" s="32">
        <v>258.43</v>
      </c>
      <c r="J1996" t="s">
        <v>239</v>
      </c>
      <c r="K1996" t="s">
        <v>245</v>
      </c>
      <c r="L1996" t="s">
        <v>235</v>
      </c>
      <c r="M1996" t="s">
        <v>236</v>
      </c>
      <c r="N1996" t="s">
        <v>240</v>
      </c>
      <c r="O1996" s="27">
        <v>46055</v>
      </c>
    </row>
    <row r="1997" spans="2:15" hidden="1" x14ac:dyDescent="0.3">
      <c r="B1997">
        <v>1579</v>
      </c>
      <c r="C1997" t="s">
        <v>231</v>
      </c>
      <c r="D1997">
        <v>21468</v>
      </c>
      <c r="E1997" t="s">
        <v>150</v>
      </c>
      <c r="F1997" t="s">
        <v>246</v>
      </c>
      <c r="G1997" s="28">
        <v>5</v>
      </c>
      <c r="H1997" s="32">
        <v>2.4700000000000002</v>
      </c>
      <c r="I1997" s="32">
        <v>184.72</v>
      </c>
      <c r="J1997" t="s">
        <v>239</v>
      </c>
      <c r="K1997" t="s">
        <v>245</v>
      </c>
      <c r="L1997" t="s">
        <v>235</v>
      </c>
      <c r="M1997" t="s">
        <v>236</v>
      </c>
      <c r="N1997" t="s">
        <v>240</v>
      </c>
      <c r="O1997" s="27">
        <v>46055</v>
      </c>
    </row>
    <row r="1998" spans="2:15" hidden="1" x14ac:dyDescent="0.3">
      <c r="B1998">
        <v>2538267</v>
      </c>
      <c r="C1998" t="s">
        <v>231</v>
      </c>
      <c r="D1998">
        <v>69579</v>
      </c>
      <c r="E1998" t="s">
        <v>150</v>
      </c>
      <c r="F1998" t="s">
        <v>272</v>
      </c>
      <c r="G1998" s="28">
        <v>69</v>
      </c>
      <c r="H1998" s="32">
        <v>2.4700000000000002</v>
      </c>
      <c r="I1998" s="32">
        <v>451.17</v>
      </c>
      <c r="J1998" t="s">
        <v>239</v>
      </c>
      <c r="K1998" t="s">
        <v>245</v>
      </c>
      <c r="L1998" t="s">
        <v>235</v>
      </c>
      <c r="M1998" t="s">
        <v>236</v>
      </c>
      <c r="N1998" t="s">
        <v>237</v>
      </c>
      <c r="O1998" s="27">
        <v>46055</v>
      </c>
    </row>
    <row r="1999" spans="2:15" hidden="1" x14ac:dyDescent="0.3">
      <c r="B1999">
        <v>389066</v>
      </c>
      <c r="C1999" t="s">
        <v>260</v>
      </c>
      <c r="D1999">
        <v>21559</v>
      </c>
      <c r="E1999" t="s">
        <v>150</v>
      </c>
      <c r="F1999" t="s">
        <v>380</v>
      </c>
      <c r="G1999" s="28">
        <v>27</v>
      </c>
      <c r="H1999" s="32">
        <v>2.4700000000000002</v>
      </c>
      <c r="I1999" s="32">
        <v>483.3</v>
      </c>
      <c r="J1999" t="s">
        <v>330</v>
      </c>
      <c r="K1999" t="s">
        <v>234</v>
      </c>
      <c r="L1999" t="s">
        <v>235</v>
      </c>
      <c r="M1999" t="s">
        <v>236</v>
      </c>
      <c r="N1999" t="s">
        <v>237</v>
      </c>
      <c r="O1999" s="27">
        <v>46072</v>
      </c>
    </row>
    <row r="2000" spans="2:15" hidden="1" x14ac:dyDescent="0.3">
      <c r="B2000">
        <v>3911170</v>
      </c>
      <c r="C2000" t="s">
        <v>231</v>
      </c>
      <c r="D2000">
        <v>21468</v>
      </c>
      <c r="E2000" t="s">
        <v>150</v>
      </c>
      <c r="F2000" t="s">
        <v>287</v>
      </c>
      <c r="G2000" s="28">
        <v>9</v>
      </c>
      <c r="H2000" s="32">
        <v>2.46</v>
      </c>
      <c r="I2000" s="32">
        <v>282.32</v>
      </c>
      <c r="J2000" t="s">
        <v>239</v>
      </c>
      <c r="K2000" t="s">
        <v>245</v>
      </c>
      <c r="L2000" t="s">
        <v>235</v>
      </c>
      <c r="M2000" t="s">
        <v>236</v>
      </c>
      <c r="N2000" t="s">
        <v>237</v>
      </c>
      <c r="O2000" s="27">
        <v>46063</v>
      </c>
    </row>
    <row r="2001" spans="2:15" hidden="1" x14ac:dyDescent="0.3">
      <c r="B2001">
        <v>2632292</v>
      </c>
      <c r="C2001" t="s">
        <v>231</v>
      </c>
      <c r="D2001">
        <v>69519</v>
      </c>
      <c r="E2001" t="s">
        <v>150</v>
      </c>
      <c r="F2001" t="s">
        <v>160</v>
      </c>
      <c r="G2001" s="28">
        <v>5</v>
      </c>
      <c r="H2001" s="32">
        <v>2.4500000000000002</v>
      </c>
      <c r="I2001" s="32">
        <v>416.34</v>
      </c>
      <c r="J2001" t="s">
        <v>239</v>
      </c>
      <c r="K2001" t="s">
        <v>245</v>
      </c>
      <c r="L2001" t="s">
        <v>235</v>
      </c>
      <c r="M2001" t="s">
        <v>236</v>
      </c>
      <c r="N2001" t="s">
        <v>240</v>
      </c>
      <c r="O2001" s="27">
        <v>46072</v>
      </c>
    </row>
    <row r="2002" spans="2:15" hidden="1" x14ac:dyDescent="0.3">
      <c r="B2002">
        <v>18731282</v>
      </c>
      <c r="C2002" t="s">
        <v>231</v>
      </c>
      <c r="D2002">
        <v>40901</v>
      </c>
      <c r="E2002" t="s">
        <v>150</v>
      </c>
      <c r="F2002" t="s">
        <v>287</v>
      </c>
      <c r="G2002" s="28">
        <v>9</v>
      </c>
      <c r="H2002" s="32">
        <v>2.44</v>
      </c>
      <c r="I2002" s="32">
        <v>282.32</v>
      </c>
      <c r="J2002" t="s">
        <v>239</v>
      </c>
      <c r="K2002" t="s">
        <v>245</v>
      </c>
      <c r="L2002" t="s">
        <v>235</v>
      </c>
      <c r="M2002" t="s">
        <v>236</v>
      </c>
      <c r="N2002" t="s">
        <v>237</v>
      </c>
      <c r="O2002" s="27">
        <v>46063</v>
      </c>
    </row>
    <row r="2003" spans="2:15" hidden="1" x14ac:dyDescent="0.3">
      <c r="B2003">
        <v>6905571</v>
      </c>
      <c r="C2003" t="s">
        <v>260</v>
      </c>
      <c r="D2003">
        <v>38517</v>
      </c>
      <c r="E2003" t="s">
        <v>150</v>
      </c>
      <c r="F2003" t="s">
        <v>274</v>
      </c>
      <c r="G2003" s="28">
        <v>19</v>
      </c>
      <c r="H2003" s="32">
        <v>2.44</v>
      </c>
      <c r="I2003" s="32">
        <v>279.05</v>
      </c>
      <c r="J2003" t="s">
        <v>239</v>
      </c>
      <c r="K2003" t="s">
        <v>245</v>
      </c>
      <c r="L2003" t="s">
        <v>235</v>
      </c>
      <c r="M2003" t="s">
        <v>236</v>
      </c>
      <c r="N2003" t="s">
        <v>237</v>
      </c>
      <c r="O2003" s="27">
        <v>46055</v>
      </c>
    </row>
    <row r="2004" spans="2:15" hidden="1" x14ac:dyDescent="0.3">
      <c r="B2004">
        <v>9303108</v>
      </c>
      <c r="C2004" t="s">
        <v>260</v>
      </c>
      <c r="D2004">
        <v>69493</v>
      </c>
      <c r="E2004" t="s">
        <v>150</v>
      </c>
      <c r="F2004" t="s">
        <v>367</v>
      </c>
      <c r="G2004" s="28">
        <v>5</v>
      </c>
      <c r="H2004" s="32">
        <v>2.44</v>
      </c>
      <c r="I2004" s="32">
        <v>468.35</v>
      </c>
      <c r="J2004" t="s">
        <v>267</v>
      </c>
      <c r="K2004" t="s">
        <v>245</v>
      </c>
      <c r="L2004" t="s">
        <v>235</v>
      </c>
      <c r="M2004" t="s">
        <v>236</v>
      </c>
      <c r="N2004" t="s">
        <v>237</v>
      </c>
      <c r="O2004" s="27">
        <v>46057</v>
      </c>
    </row>
    <row r="2005" spans="2:15" hidden="1" x14ac:dyDescent="0.3">
      <c r="B2005">
        <v>2410665</v>
      </c>
      <c r="C2005" t="s">
        <v>231</v>
      </c>
      <c r="D2005">
        <v>21559</v>
      </c>
      <c r="E2005" t="s">
        <v>150</v>
      </c>
      <c r="F2005" t="s">
        <v>337</v>
      </c>
      <c r="G2005" s="28">
        <v>11</v>
      </c>
      <c r="H2005" s="32">
        <v>2.4300000000000002</v>
      </c>
      <c r="I2005" s="32">
        <v>399.71</v>
      </c>
      <c r="J2005" t="s">
        <v>239</v>
      </c>
      <c r="K2005" t="s">
        <v>245</v>
      </c>
      <c r="L2005" t="s">
        <v>235</v>
      </c>
      <c r="M2005" t="s">
        <v>236</v>
      </c>
      <c r="N2005" t="s">
        <v>237</v>
      </c>
      <c r="O2005" s="27">
        <v>46063</v>
      </c>
    </row>
    <row r="2006" spans="2:15" hidden="1" x14ac:dyDescent="0.3">
      <c r="B2006">
        <v>4051319</v>
      </c>
      <c r="C2006" t="s">
        <v>231</v>
      </c>
      <c r="D2006">
        <v>22674</v>
      </c>
      <c r="E2006" t="s">
        <v>150</v>
      </c>
      <c r="F2006" t="s">
        <v>337</v>
      </c>
      <c r="G2006" s="28">
        <v>11</v>
      </c>
      <c r="H2006" s="32">
        <v>2.4300000000000002</v>
      </c>
      <c r="I2006" s="32">
        <v>399.71</v>
      </c>
      <c r="J2006" t="s">
        <v>239</v>
      </c>
      <c r="K2006" t="s">
        <v>245</v>
      </c>
      <c r="L2006" t="s">
        <v>235</v>
      </c>
      <c r="M2006" t="s">
        <v>236</v>
      </c>
      <c r="N2006" t="s">
        <v>237</v>
      </c>
      <c r="O2006" s="27">
        <v>46063</v>
      </c>
    </row>
    <row r="2007" spans="2:15" hidden="1" x14ac:dyDescent="0.3">
      <c r="B2007">
        <v>2538267</v>
      </c>
      <c r="C2007" t="s">
        <v>231</v>
      </c>
      <c r="D2007">
        <v>69579</v>
      </c>
      <c r="E2007" t="s">
        <v>150</v>
      </c>
      <c r="F2007" t="s">
        <v>271</v>
      </c>
      <c r="G2007" s="28">
        <v>25</v>
      </c>
      <c r="H2007" s="32">
        <v>2.42</v>
      </c>
      <c r="I2007" s="32">
        <v>441.41</v>
      </c>
      <c r="J2007" t="s">
        <v>239</v>
      </c>
      <c r="K2007" t="s">
        <v>245</v>
      </c>
      <c r="L2007" t="s">
        <v>235</v>
      </c>
      <c r="M2007" t="s">
        <v>236</v>
      </c>
      <c r="N2007" t="s">
        <v>237</v>
      </c>
      <c r="O2007" s="27">
        <v>46055</v>
      </c>
    </row>
    <row r="2008" spans="2:15" hidden="1" x14ac:dyDescent="0.3">
      <c r="B2008">
        <v>3430907</v>
      </c>
      <c r="C2008" t="s">
        <v>260</v>
      </c>
      <c r="D2008">
        <v>21468</v>
      </c>
      <c r="E2008" t="s">
        <v>150</v>
      </c>
      <c r="F2008" t="s">
        <v>282</v>
      </c>
      <c r="G2008" s="28">
        <v>8</v>
      </c>
      <c r="H2008" s="32">
        <v>2.42</v>
      </c>
      <c r="I2008" s="32">
        <v>406.88</v>
      </c>
      <c r="J2008" t="s">
        <v>239</v>
      </c>
      <c r="K2008" t="s">
        <v>245</v>
      </c>
      <c r="L2008" t="s">
        <v>235</v>
      </c>
      <c r="M2008" t="s">
        <v>236</v>
      </c>
      <c r="N2008" t="s">
        <v>240</v>
      </c>
      <c r="O2008" s="27">
        <v>46055</v>
      </c>
    </row>
    <row r="2009" spans="2:15" hidden="1" x14ac:dyDescent="0.3">
      <c r="B2009">
        <v>2727175</v>
      </c>
      <c r="C2009" t="s">
        <v>231</v>
      </c>
      <c r="D2009">
        <v>23648</v>
      </c>
      <c r="E2009" t="s">
        <v>150</v>
      </c>
      <c r="F2009" t="s">
        <v>287</v>
      </c>
      <c r="G2009" s="28">
        <v>9</v>
      </c>
      <c r="H2009" s="32">
        <v>2.41</v>
      </c>
      <c r="I2009" s="32">
        <v>282.32</v>
      </c>
      <c r="J2009" t="s">
        <v>239</v>
      </c>
      <c r="K2009" t="s">
        <v>245</v>
      </c>
      <c r="L2009" t="s">
        <v>235</v>
      </c>
      <c r="M2009" t="s">
        <v>236</v>
      </c>
      <c r="N2009" t="s">
        <v>237</v>
      </c>
      <c r="O2009" s="27">
        <v>46063</v>
      </c>
    </row>
    <row r="2010" spans="2:15" hidden="1" x14ac:dyDescent="0.3">
      <c r="B2010">
        <v>12025620</v>
      </c>
      <c r="C2010" t="s">
        <v>231</v>
      </c>
      <c r="D2010">
        <v>38517</v>
      </c>
      <c r="E2010" t="s">
        <v>150</v>
      </c>
      <c r="F2010" t="s">
        <v>337</v>
      </c>
      <c r="G2010" s="28">
        <v>11</v>
      </c>
      <c r="H2010" s="32">
        <v>2.41</v>
      </c>
      <c r="I2010" s="32">
        <v>399.41</v>
      </c>
      <c r="J2010" t="s">
        <v>239</v>
      </c>
      <c r="K2010" t="s">
        <v>245</v>
      </c>
      <c r="L2010" t="s">
        <v>235</v>
      </c>
      <c r="M2010" t="s">
        <v>236</v>
      </c>
      <c r="N2010" t="s">
        <v>237</v>
      </c>
      <c r="O2010" s="27">
        <v>46063</v>
      </c>
    </row>
    <row r="2011" spans="2:15" hidden="1" x14ac:dyDescent="0.3">
      <c r="B2011">
        <v>15083827</v>
      </c>
      <c r="C2011" t="s">
        <v>260</v>
      </c>
      <c r="D2011">
        <v>69493</v>
      </c>
      <c r="E2011" t="s">
        <v>150</v>
      </c>
      <c r="F2011" t="s">
        <v>287</v>
      </c>
      <c r="G2011" s="28">
        <v>9</v>
      </c>
      <c r="H2011" s="32">
        <v>2.41</v>
      </c>
      <c r="I2011" s="32">
        <v>282.32</v>
      </c>
      <c r="J2011" t="s">
        <v>239</v>
      </c>
      <c r="K2011" t="s">
        <v>245</v>
      </c>
      <c r="L2011" t="s">
        <v>235</v>
      </c>
      <c r="M2011" t="s">
        <v>236</v>
      </c>
      <c r="N2011" t="s">
        <v>237</v>
      </c>
      <c r="O2011" s="27">
        <v>46063</v>
      </c>
    </row>
    <row r="2012" spans="2:15" hidden="1" x14ac:dyDescent="0.3">
      <c r="B2012">
        <v>17005725</v>
      </c>
      <c r="C2012" t="s">
        <v>260</v>
      </c>
      <c r="D2012">
        <v>22674</v>
      </c>
      <c r="E2012" t="s">
        <v>150</v>
      </c>
      <c r="F2012" t="s">
        <v>287</v>
      </c>
      <c r="G2012" s="28">
        <v>9</v>
      </c>
      <c r="H2012" s="32">
        <v>2.41</v>
      </c>
      <c r="I2012" s="32">
        <v>282.32</v>
      </c>
      <c r="J2012" t="s">
        <v>239</v>
      </c>
      <c r="K2012" t="s">
        <v>245</v>
      </c>
      <c r="L2012" t="s">
        <v>235</v>
      </c>
      <c r="M2012" t="s">
        <v>236</v>
      </c>
      <c r="N2012" t="s">
        <v>237</v>
      </c>
      <c r="O2012" s="27">
        <v>46063</v>
      </c>
    </row>
    <row r="2013" spans="2:15" hidden="1" x14ac:dyDescent="0.3">
      <c r="B2013">
        <v>18805586</v>
      </c>
      <c r="C2013" t="s">
        <v>260</v>
      </c>
      <c r="D2013">
        <v>23410</v>
      </c>
      <c r="E2013" t="s">
        <v>150</v>
      </c>
      <c r="F2013" t="s">
        <v>287</v>
      </c>
      <c r="G2013" s="28">
        <v>9</v>
      </c>
      <c r="H2013" s="32">
        <v>2.41</v>
      </c>
      <c r="I2013" s="32">
        <v>282.32</v>
      </c>
      <c r="J2013" t="s">
        <v>239</v>
      </c>
      <c r="K2013" t="s">
        <v>245</v>
      </c>
      <c r="L2013" t="s">
        <v>235</v>
      </c>
      <c r="M2013" t="s">
        <v>236</v>
      </c>
      <c r="N2013" t="s">
        <v>237</v>
      </c>
      <c r="O2013" s="27">
        <v>46063</v>
      </c>
    </row>
    <row r="2014" spans="2:15" hidden="1" x14ac:dyDescent="0.3">
      <c r="B2014">
        <v>9303108</v>
      </c>
      <c r="C2014" t="s">
        <v>260</v>
      </c>
      <c r="D2014">
        <v>69493</v>
      </c>
      <c r="E2014" t="s">
        <v>150</v>
      </c>
      <c r="F2014" t="s">
        <v>160</v>
      </c>
      <c r="G2014" s="28">
        <v>5</v>
      </c>
      <c r="H2014" s="32">
        <v>2.41</v>
      </c>
      <c r="I2014" s="32">
        <v>424.26</v>
      </c>
      <c r="J2014" t="s">
        <v>239</v>
      </c>
      <c r="K2014" t="s">
        <v>245</v>
      </c>
      <c r="L2014" t="s">
        <v>235</v>
      </c>
      <c r="M2014" t="s">
        <v>236</v>
      </c>
      <c r="N2014" t="s">
        <v>237</v>
      </c>
      <c r="O2014" s="27">
        <v>46055</v>
      </c>
    </row>
    <row r="2015" spans="2:15" hidden="1" x14ac:dyDescent="0.3">
      <c r="B2015">
        <v>215083</v>
      </c>
      <c r="C2015" t="s">
        <v>231</v>
      </c>
      <c r="D2015">
        <v>23410</v>
      </c>
      <c r="E2015" t="s">
        <v>150</v>
      </c>
      <c r="F2015" t="s">
        <v>274</v>
      </c>
      <c r="G2015" s="28">
        <v>29</v>
      </c>
      <c r="H2015" s="32">
        <v>2.4</v>
      </c>
      <c r="I2015" s="32">
        <v>425.92</v>
      </c>
      <c r="J2015" t="s">
        <v>239</v>
      </c>
      <c r="K2015" t="s">
        <v>245</v>
      </c>
      <c r="L2015" t="s">
        <v>235</v>
      </c>
      <c r="M2015" t="s">
        <v>236</v>
      </c>
      <c r="N2015" t="s">
        <v>237</v>
      </c>
      <c r="O2015" s="27">
        <v>46055</v>
      </c>
    </row>
    <row r="2016" spans="2:15" hidden="1" x14ac:dyDescent="0.3">
      <c r="B2016">
        <v>4078178</v>
      </c>
      <c r="C2016" t="s">
        <v>231</v>
      </c>
      <c r="D2016">
        <v>49894</v>
      </c>
      <c r="E2016" t="s">
        <v>150</v>
      </c>
      <c r="F2016" t="s">
        <v>337</v>
      </c>
      <c r="G2016" s="28">
        <v>11</v>
      </c>
      <c r="H2016" s="32">
        <v>2.4</v>
      </c>
      <c r="I2016" s="32">
        <v>399.71</v>
      </c>
      <c r="J2016" t="s">
        <v>239</v>
      </c>
      <c r="K2016" t="s">
        <v>245</v>
      </c>
      <c r="L2016" t="s">
        <v>235</v>
      </c>
      <c r="M2016" t="s">
        <v>236</v>
      </c>
      <c r="N2016" t="s">
        <v>237</v>
      </c>
      <c r="O2016" s="27">
        <v>46063</v>
      </c>
    </row>
    <row r="2017" spans="2:15" hidden="1" x14ac:dyDescent="0.3">
      <c r="B2017">
        <v>2390017</v>
      </c>
      <c r="C2017" t="s">
        <v>231</v>
      </c>
      <c r="D2017">
        <v>69493</v>
      </c>
      <c r="E2017" t="s">
        <v>150</v>
      </c>
      <c r="F2017" t="s">
        <v>287</v>
      </c>
      <c r="G2017" s="28">
        <v>11</v>
      </c>
      <c r="H2017" s="32">
        <v>2.39</v>
      </c>
      <c r="I2017" s="32">
        <v>343.36</v>
      </c>
      <c r="J2017" t="s">
        <v>239</v>
      </c>
      <c r="K2017" t="s">
        <v>245</v>
      </c>
      <c r="L2017" t="s">
        <v>235</v>
      </c>
      <c r="M2017" t="s">
        <v>236</v>
      </c>
      <c r="N2017" t="s">
        <v>237</v>
      </c>
      <c r="O2017" s="27">
        <v>46055</v>
      </c>
    </row>
    <row r="2018" spans="2:15" hidden="1" x14ac:dyDescent="0.3">
      <c r="B2018">
        <v>215083</v>
      </c>
      <c r="C2018" t="s">
        <v>231</v>
      </c>
      <c r="D2018">
        <v>23410</v>
      </c>
      <c r="E2018" t="s">
        <v>150</v>
      </c>
      <c r="F2018" t="s">
        <v>271</v>
      </c>
      <c r="G2018" s="28">
        <v>24</v>
      </c>
      <c r="H2018" s="32">
        <v>2.39</v>
      </c>
      <c r="I2018" s="32">
        <v>423.75</v>
      </c>
      <c r="J2018" t="s">
        <v>239</v>
      </c>
      <c r="K2018" t="s">
        <v>245</v>
      </c>
      <c r="L2018" t="s">
        <v>235</v>
      </c>
      <c r="M2018" t="s">
        <v>236</v>
      </c>
      <c r="N2018" t="s">
        <v>237</v>
      </c>
      <c r="O2018" s="27">
        <v>46055</v>
      </c>
    </row>
    <row r="2019" spans="2:15" hidden="1" x14ac:dyDescent="0.3">
      <c r="B2019">
        <v>18731282</v>
      </c>
      <c r="C2019" t="s">
        <v>231</v>
      </c>
      <c r="D2019">
        <v>40901</v>
      </c>
      <c r="E2019" t="s">
        <v>150</v>
      </c>
      <c r="F2019" t="s">
        <v>414</v>
      </c>
      <c r="G2019" s="28">
        <v>28</v>
      </c>
      <c r="H2019" s="32">
        <v>2.38</v>
      </c>
      <c r="I2019" s="32">
        <v>438.24</v>
      </c>
      <c r="J2019" t="s">
        <v>239</v>
      </c>
      <c r="K2019" t="s">
        <v>245</v>
      </c>
      <c r="L2019" t="s">
        <v>235</v>
      </c>
      <c r="M2019" t="s">
        <v>236</v>
      </c>
      <c r="N2019" t="s">
        <v>237</v>
      </c>
      <c r="O2019" s="27">
        <v>46055</v>
      </c>
    </row>
    <row r="2020" spans="2:15" hidden="1" x14ac:dyDescent="0.3">
      <c r="B2020">
        <v>18547873</v>
      </c>
      <c r="C2020" t="s">
        <v>260</v>
      </c>
      <c r="D2020">
        <v>38517</v>
      </c>
      <c r="E2020" t="s">
        <v>150</v>
      </c>
      <c r="F2020" t="s">
        <v>274</v>
      </c>
      <c r="G2020" s="28">
        <v>23</v>
      </c>
      <c r="H2020" s="32">
        <v>2.38</v>
      </c>
      <c r="I2020" s="32">
        <v>337.8</v>
      </c>
      <c r="J2020" t="s">
        <v>239</v>
      </c>
      <c r="K2020" t="s">
        <v>245</v>
      </c>
      <c r="L2020" t="s">
        <v>235</v>
      </c>
      <c r="M2020" t="s">
        <v>236</v>
      </c>
      <c r="N2020" t="s">
        <v>237</v>
      </c>
      <c r="O2020" s="27">
        <v>46055</v>
      </c>
    </row>
    <row r="2021" spans="2:15" hidden="1" x14ac:dyDescent="0.3">
      <c r="B2021">
        <v>4382412</v>
      </c>
      <c r="C2021" t="s">
        <v>231</v>
      </c>
      <c r="D2021">
        <v>49894</v>
      </c>
      <c r="E2021" t="s">
        <v>150</v>
      </c>
      <c r="F2021" t="s">
        <v>385</v>
      </c>
      <c r="G2021" s="28">
        <v>25</v>
      </c>
      <c r="H2021" s="32">
        <v>2.37</v>
      </c>
      <c r="I2021" s="32">
        <v>446.25</v>
      </c>
      <c r="J2021" t="s">
        <v>330</v>
      </c>
      <c r="K2021" t="s">
        <v>234</v>
      </c>
      <c r="L2021" t="s">
        <v>235</v>
      </c>
      <c r="M2021" t="s">
        <v>236</v>
      </c>
      <c r="N2021" t="s">
        <v>240</v>
      </c>
      <c r="O2021" s="27">
        <v>46076</v>
      </c>
    </row>
    <row r="2022" spans="2:15" hidden="1" x14ac:dyDescent="0.3">
      <c r="B2022">
        <v>7768707</v>
      </c>
      <c r="C2022" t="s">
        <v>260</v>
      </c>
      <c r="D2022">
        <v>21559</v>
      </c>
      <c r="E2022" t="s">
        <v>150</v>
      </c>
      <c r="F2022" t="s">
        <v>164</v>
      </c>
      <c r="G2022" s="28">
        <v>5</v>
      </c>
      <c r="H2022" s="32">
        <v>2.37</v>
      </c>
      <c r="I2022" s="32">
        <v>243.09</v>
      </c>
      <c r="J2022" t="s">
        <v>239</v>
      </c>
      <c r="K2022" t="s">
        <v>245</v>
      </c>
      <c r="L2022" t="s">
        <v>235</v>
      </c>
      <c r="M2022" t="s">
        <v>236</v>
      </c>
      <c r="N2022" t="s">
        <v>240</v>
      </c>
      <c r="O2022" s="27">
        <v>46063</v>
      </c>
    </row>
    <row r="2023" spans="2:15" hidden="1" x14ac:dyDescent="0.3">
      <c r="B2023">
        <v>2229229</v>
      </c>
      <c r="C2023" t="s">
        <v>260</v>
      </c>
      <c r="D2023">
        <v>40901</v>
      </c>
      <c r="E2023" t="s">
        <v>150</v>
      </c>
      <c r="F2023" t="s">
        <v>160</v>
      </c>
      <c r="G2023" s="28">
        <v>4</v>
      </c>
      <c r="H2023" s="32">
        <v>2.37</v>
      </c>
      <c r="I2023" s="32">
        <v>339.41</v>
      </c>
      <c r="J2023" t="s">
        <v>239</v>
      </c>
      <c r="K2023" t="s">
        <v>245</v>
      </c>
      <c r="L2023" t="s">
        <v>235</v>
      </c>
      <c r="M2023" t="s">
        <v>236</v>
      </c>
      <c r="N2023" t="s">
        <v>240</v>
      </c>
      <c r="O2023" s="27">
        <v>46055</v>
      </c>
    </row>
    <row r="2024" spans="2:15" hidden="1" x14ac:dyDescent="0.3">
      <c r="B2024">
        <v>293951</v>
      </c>
      <c r="C2024" t="s">
        <v>231</v>
      </c>
      <c r="D2024">
        <v>25619</v>
      </c>
      <c r="E2024" t="s">
        <v>150</v>
      </c>
      <c r="F2024" t="s">
        <v>287</v>
      </c>
      <c r="G2024" s="28">
        <v>8</v>
      </c>
      <c r="H2024" s="32">
        <v>2.36</v>
      </c>
      <c r="I2024" s="32">
        <v>250.83</v>
      </c>
      <c r="J2024" t="s">
        <v>239</v>
      </c>
      <c r="K2024" t="s">
        <v>245</v>
      </c>
      <c r="L2024" t="s">
        <v>235</v>
      </c>
      <c r="M2024" t="s">
        <v>236</v>
      </c>
      <c r="N2024" t="s">
        <v>237</v>
      </c>
      <c r="O2024" s="27">
        <v>46063</v>
      </c>
    </row>
    <row r="2025" spans="2:15" hidden="1" x14ac:dyDescent="0.3">
      <c r="B2025">
        <v>3413995</v>
      </c>
      <c r="C2025" t="s">
        <v>231</v>
      </c>
      <c r="D2025">
        <v>22674</v>
      </c>
      <c r="E2025" t="s">
        <v>150</v>
      </c>
      <c r="F2025" t="s">
        <v>163</v>
      </c>
      <c r="G2025" s="28">
        <v>13</v>
      </c>
      <c r="H2025" s="32">
        <v>2.36</v>
      </c>
      <c r="I2025" s="32">
        <v>171.26</v>
      </c>
      <c r="J2025" t="s">
        <v>239</v>
      </c>
      <c r="K2025" t="s">
        <v>245</v>
      </c>
      <c r="L2025" t="s">
        <v>235</v>
      </c>
      <c r="M2025" t="s">
        <v>236</v>
      </c>
      <c r="N2025" t="s">
        <v>237</v>
      </c>
      <c r="O2025" s="27">
        <v>46055</v>
      </c>
    </row>
    <row r="2026" spans="2:15" hidden="1" x14ac:dyDescent="0.3">
      <c r="B2026">
        <v>3409614</v>
      </c>
      <c r="C2026" t="s">
        <v>231</v>
      </c>
      <c r="D2026">
        <v>71881</v>
      </c>
      <c r="E2026" t="s">
        <v>150</v>
      </c>
      <c r="F2026" t="s">
        <v>369</v>
      </c>
      <c r="G2026" s="28">
        <v>9</v>
      </c>
      <c r="H2026" s="32">
        <v>2.36</v>
      </c>
      <c r="I2026" s="32">
        <v>495.92</v>
      </c>
      <c r="J2026" t="s">
        <v>239</v>
      </c>
      <c r="K2026" t="s">
        <v>245</v>
      </c>
      <c r="L2026" t="s">
        <v>235</v>
      </c>
      <c r="M2026" t="s">
        <v>236</v>
      </c>
      <c r="N2026" t="s">
        <v>240</v>
      </c>
      <c r="O2026" s="27">
        <v>46063</v>
      </c>
    </row>
    <row r="2027" spans="2:15" hidden="1" x14ac:dyDescent="0.3">
      <c r="B2027">
        <v>2412490</v>
      </c>
      <c r="C2027" t="s">
        <v>231</v>
      </c>
      <c r="D2027">
        <v>71881</v>
      </c>
      <c r="E2027" t="s">
        <v>150</v>
      </c>
      <c r="F2027" t="s">
        <v>329</v>
      </c>
      <c r="G2027" s="28">
        <v>3</v>
      </c>
      <c r="H2027" s="32">
        <v>2.36</v>
      </c>
      <c r="I2027" s="32">
        <v>268.3</v>
      </c>
      <c r="J2027" t="s">
        <v>330</v>
      </c>
      <c r="K2027" t="s">
        <v>234</v>
      </c>
      <c r="L2027" t="s">
        <v>235</v>
      </c>
      <c r="M2027" t="s">
        <v>236</v>
      </c>
      <c r="N2027" t="s">
        <v>240</v>
      </c>
      <c r="O2027" s="27">
        <v>46057</v>
      </c>
    </row>
    <row r="2028" spans="2:15" hidden="1" x14ac:dyDescent="0.3">
      <c r="B2028">
        <v>4842372</v>
      </c>
      <c r="C2028" t="s">
        <v>260</v>
      </c>
      <c r="D2028">
        <v>23648</v>
      </c>
      <c r="E2028" t="s">
        <v>150</v>
      </c>
      <c r="F2028" t="s">
        <v>163</v>
      </c>
      <c r="G2028" s="28">
        <v>13</v>
      </c>
      <c r="H2028" s="32">
        <v>2.36</v>
      </c>
      <c r="I2028" s="32">
        <v>171.26</v>
      </c>
      <c r="J2028" t="s">
        <v>239</v>
      </c>
      <c r="K2028" t="s">
        <v>245</v>
      </c>
      <c r="L2028" t="s">
        <v>235</v>
      </c>
      <c r="M2028" t="s">
        <v>236</v>
      </c>
      <c r="N2028" t="s">
        <v>237</v>
      </c>
      <c r="O2028" s="27">
        <v>46055</v>
      </c>
    </row>
    <row r="2029" spans="2:15" hidden="1" x14ac:dyDescent="0.3">
      <c r="B2029">
        <v>18731282</v>
      </c>
      <c r="C2029" t="s">
        <v>231</v>
      </c>
      <c r="D2029">
        <v>40901</v>
      </c>
      <c r="E2029" t="s">
        <v>150</v>
      </c>
      <c r="F2029" t="s">
        <v>316</v>
      </c>
      <c r="G2029" s="28">
        <v>4</v>
      </c>
      <c r="H2029" s="32">
        <v>2.35</v>
      </c>
      <c r="I2029" s="32">
        <v>432.31</v>
      </c>
      <c r="J2029" t="s">
        <v>256</v>
      </c>
      <c r="K2029" t="s">
        <v>245</v>
      </c>
      <c r="L2029" t="s">
        <v>235</v>
      </c>
      <c r="M2029" t="s">
        <v>236</v>
      </c>
      <c r="N2029" t="s">
        <v>237</v>
      </c>
      <c r="O2029" s="27">
        <v>46055</v>
      </c>
    </row>
    <row r="2030" spans="2:15" hidden="1" x14ac:dyDescent="0.3">
      <c r="B2030">
        <v>6304689</v>
      </c>
      <c r="C2030" t="s">
        <v>231</v>
      </c>
      <c r="D2030">
        <v>25619</v>
      </c>
      <c r="E2030" t="s">
        <v>150</v>
      </c>
      <c r="F2030" t="s">
        <v>164</v>
      </c>
      <c r="G2030" s="28">
        <v>5</v>
      </c>
      <c r="H2030" s="32">
        <v>2.35</v>
      </c>
      <c r="I2030" s="32">
        <v>243.08</v>
      </c>
      <c r="J2030" t="s">
        <v>239</v>
      </c>
      <c r="K2030" t="s">
        <v>245</v>
      </c>
      <c r="L2030" t="s">
        <v>235</v>
      </c>
      <c r="M2030" t="s">
        <v>236</v>
      </c>
      <c r="N2030" t="s">
        <v>240</v>
      </c>
      <c r="O2030" s="27">
        <v>46063</v>
      </c>
    </row>
    <row r="2031" spans="2:15" hidden="1" x14ac:dyDescent="0.3">
      <c r="B2031">
        <v>2084946</v>
      </c>
      <c r="C2031" t="s">
        <v>231</v>
      </c>
      <c r="D2031">
        <v>69493</v>
      </c>
      <c r="E2031" t="s">
        <v>150</v>
      </c>
      <c r="F2031" t="s">
        <v>160</v>
      </c>
      <c r="G2031" s="28">
        <v>4</v>
      </c>
      <c r="H2031" s="32">
        <v>2.35</v>
      </c>
      <c r="I2031" s="32">
        <v>339.4</v>
      </c>
      <c r="J2031" t="s">
        <v>239</v>
      </c>
      <c r="K2031" t="s">
        <v>245</v>
      </c>
      <c r="L2031" t="s">
        <v>235</v>
      </c>
      <c r="M2031" t="s">
        <v>236</v>
      </c>
      <c r="N2031" t="s">
        <v>240</v>
      </c>
      <c r="O2031" s="27">
        <v>46055</v>
      </c>
    </row>
    <row r="2032" spans="2:15" hidden="1" x14ac:dyDescent="0.3">
      <c r="B2032">
        <v>3270381</v>
      </c>
      <c r="C2032" t="s">
        <v>260</v>
      </c>
      <c r="D2032">
        <v>21559</v>
      </c>
      <c r="E2032" t="s">
        <v>150</v>
      </c>
      <c r="F2032" t="s">
        <v>367</v>
      </c>
      <c r="G2032" s="28">
        <v>3</v>
      </c>
      <c r="H2032" s="32">
        <v>2.35</v>
      </c>
      <c r="I2032" s="32">
        <v>281.2</v>
      </c>
      <c r="J2032" t="s">
        <v>267</v>
      </c>
      <c r="K2032" t="s">
        <v>245</v>
      </c>
      <c r="L2032" t="s">
        <v>235</v>
      </c>
      <c r="M2032" t="s">
        <v>236</v>
      </c>
      <c r="N2032" t="s">
        <v>237</v>
      </c>
      <c r="O2032" s="27">
        <v>46057</v>
      </c>
    </row>
    <row r="2033" spans="2:15" hidden="1" x14ac:dyDescent="0.3">
      <c r="B2033">
        <v>8810663</v>
      </c>
      <c r="C2033" t="s">
        <v>231</v>
      </c>
      <c r="D2033">
        <v>72444</v>
      </c>
      <c r="E2033" t="s">
        <v>150</v>
      </c>
      <c r="F2033" t="s">
        <v>272</v>
      </c>
      <c r="G2033" s="28">
        <v>46</v>
      </c>
      <c r="H2033" s="32">
        <v>2.34</v>
      </c>
      <c r="I2033" s="32">
        <v>300.55</v>
      </c>
      <c r="J2033" t="s">
        <v>239</v>
      </c>
      <c r="K2033" t="s">
        <v>245</v>
      </c>
      <c r="L2033" t="s">
        <v>235</v>
      </c>
      <c r="M2033" t="s">
        <v>236</v>
      </c>
      <c r="N2033" t="s">
        <v>240</v>
      </c>
      <c r="O2033" s="27">
        <v>46055</v>
      </c>
    </row>
    <row r="2034" spans="2:15" hidden="1" x14ac:dyDescent="0.3">
      <c r="B2034">
        <v>4381878</v>
      </c>
      <c r="C2034" t="s">
        <v>231</v>
      </c>
      <c r="D2034">
        <v>74304</v>
      </c>
      <c r="E2034" t="s">
        <v>150</v>
      </c>
      <c r="F2034" t="s">
        <v>318</v>
      </c>
      <c r="G2034" s="28">
        <v>1</v>
      </c>
      <c r="H2034" s="32">
        <v>2.34</v>
      </c>
      <c r="I2034" s="32">
        <v>153.69</v>
      </c>
      <c r="J2034" t="s">
        <v>239</v>
      </c>
      <c r="K2034" t="s">
        <v>245</v>
      </c>
      <c r="L2034" t="s">
        <v>235</v>
      </c>
      <c r="M2034" t="s">
        <v>236</v>
      </c>
      <c r="N2034" t="s">
        <v>237</v>
      </c>
      <c r="O2034" s="27">
        <v>46072</v>
      </c>
    </row>
    <row r="2035" spans="2:15" hidden="1" x14ac:dyDescent="0.3">
      <c r="B2035">
        <v>9303108</v>
      </c>
      <c r="C2035" t="s">
        <v>260</v>
      </c>
      <c r="D2035">
        <v>69493</v>
      </c>
      <c r="E2035" t="s">
        <v>150</v>
      </c>
      <c r="F2035" t="s">
        <v>164</v>
      </c>
      <c r="G2035" s="28">
        <v>9</v>
      </c>
      <c r="H2035" s="32">
        <v>2.34</v>
      </c>
      <c r="I2035" s="32">
        <v>412.49</v>
      </c>
      <c r="J2035" t="s">
        <v>239</v>
      </c>
      <c r="K2035" t="s">
        <v>245</v>
      </c>
      <c r="L2035" t="s">
        <v>235</v>
      </c>
      <c r="M2035" t="s">
        <v>236</v>
      </c>
      <c r="N2035" t="s">
        <v>240</v>
      </c>
      <c r="O2035" s="27">
        <v>46055</v>
      </c>
    </row>
    <row r="2036" spans="2:15" hidden="1" x14ac:dyDescent="0.3">
      <c r="B2036">
        <v>18547873</v>
      </c>
      <c r="C2036" t="s">
        <v>260</v>
      </c>
      <c r="D2036">
        <v>38517</v>
      </c>
      <c r="E2036" t="s">
        <v>150</v>
      </c>
      <c r="F2036" t="s">
        <v>246</v>
      </c>
      <c r="G2036" s="28">
        <v>9</v>
      </c>
      <c r="H2036" s="32">
        <v>2.34</v>
      </c>
      <c r="I2036" s="32">
        <v>332.49</v>
      </c>
      <c r="J2036" t="s">
        <v>239</v>
      </c>
      <c r="K2036" t="s">
        <v>245</v>
      </c>
      <c r="L2036" t="s">
        <v>235</v>
      </c>
      <c r="M2036" t="s">
        <v>236</v>
      </c>
      <c r="N2036" t="s">
        <v>240</v>
      </c>
      <c r="O2036" s="27">
        <v>46055</v>
      </c>
    </row>
    <row r="2037" spans="2:15" hidden="1" x14ac:dyDescent="0.3">
      <c r="B2037">
        <v>2229229</v>
      </c>
      <c r="C2037" t="s">
        <v>260</v>
      </c>
      <c r="D2037">
        <v>40901</v>
      </c>
      <c r="E2037" t="s">
        <v>150</v>
      </c>
      <c r="F2037" t="s">
        <v>276</v>
      </c>
      <c r="G2037" s="28">
        <v>11</v>
      </c>
      <c r="H2037" s="32">
        <v>2.33</v>
      </c>
      <c r="I2037" s="32">
        <v>332.98</v>
      </c>
      <c r="J2037" t="s">
        <v>239</v>
      </c>
      <c r="K2037" t="s">
        <v>245</v>
      </c>
      <c r="L2037" t="s">
        <v>235</v>
      </c>
      <c r="M2037" t="s">
        <v>236</v>
      </c>
      <c r="N2037" t="s">
        <v>240</v>
      </c>
      <c r="O2037" s="27">
        <v>46055</v>
      </c>
    </row>
    <row r="2038" spans="2:15" hidden="1" x14ac:dyDescent="0.3">
      <c r="B2038">
        <v>5263260</v>
      </c>
      <c r="C2038" t="s">
        <v>231</v>
      </c>
      <c r="D2038">
        <v>23648</v>
      </c>
      <c r="E2038" t="s">
        <v>150</v>
      </c>
      <c r="F2038" t="s">
        <v>287</v>
      </c>
      <c r="G2038" s="28">
        <v>7</v>
      </c>
      <c r="H2038" s="32">
        <v>2.3199999999999998</v>
      </c>
      <c r="I2038" s="32">
        <v>219.6</v>
      </c>
      <c r="J2038" t="s">
        <v>239</v>
      </c>
      <c r="K2038" t="s">
        <v>245</v>
      </c>
      <c r="L2038" t="s">
        <v>235</v>
      </c>
      <c r="M2038" t="s">
        <v>236</v>
      </c>
      <c r="N2038" t="s">
        <v>237</v>
      </c>
      <c r="O2038" s="27">
        <v>46063</v>
      </c>
    </row>
    <row r="2039" spans="2:15" hidden="1" x14ac:dyDescent="0.3">
      <c r="B2039">
        <v>4381878</v>
      </c>
      <c r="C2039" t="s">
        <v>231</v>
      </c>
      <c r="D2039">
        <v>74304</v>
      </c>
      <c r="E2039" t="s">
        <v>150</v>
      </c>
      <c r="F2039" t="s">
        <v>246</v>
      </c>
      <c r="G2039" s="28">
        <v>6</v>
      </c>
      <c r="H2039" s="32">
        <v>2.31</v>
      </c>
      <c r="I2039" s="32">
        <v>227.86</v>
      </c>
      <c r="J2039" t="s">
        <v>239</v>
      </c>
      <c r="K2039" t="s">
        <v>245</v>
      </c>
      <c r="L2039" t="s">
        <v>235</v>
      </c>
      <c r="M2039" t="s">
        <v>236</v>
      </c>
      <c r="N2039" t="s">
        <v>240</v>
      </c>
      <c r="O2039" s="27">
        <v>46072</v>
      </c>
    </row>
    <row r="2040" spans="2:15" hidden="1" x14ac:dyDescent="0.3">
      <c r="B2040">
        <v>2390017</v>
      </c>
      <c r="C2040" t="s">
        <v>231</v>
      </c>
      <c r="D2040">
        <v>69493</v>
      </c>
      <c r="E2040" t="s">
        <v>150</v>
      </c>
      <c r="F2040" t="s">
        <v>337</v>
      </c>
      <c r="G2040" s="28">
        <v>9</v>
      </c>
      <c r="H2040" s="32">
        <v>2.2999999999999998</v>
      </c>
      <c r="I2040" s="32">
        <v>330.77</v>
      </c>
      <c r="J2040" t="s">
        <v>239</v>
      </c>
      <c r="K2040" t="s">
        <v>245</v>
      </c>
      <c r="L2040" t="s">
        <v>235</v>
      </c>
      <c r="M2040" t="s">
        <v>236</v>
      </c>
      <c r="N2040" t="s">
        <v>237</v>
      </c>
      <c r="O2040" s="27">
        <v>46055</v>
      </c>
    </row>
    <row r="2041" spans="2:15" hidden="1" x14ac:dyDescent="0.3">
      <c r="B2041">
        <v>389066</v>
      </c>
      <c r="C2041" t="s">
        <v>260</v>
      </c>
      <c r="D2041">
        <v>21559</v>
      </c>
      <c r="E2041" t="s">
        <v>150</v>
      </c>
      <c r="F2041" t="s">
        <v>246</v>
      </c>
      <c r="G2041" s="28">
        <v>6</v>
      </c>
      <c r="H2041" s="32">
        <v>2.2999999999999998</v>
      </c>
      <c r="I2041" s="32">
        <v>227.84</v>
      </c>
      <c r="J2041" t="s">
        <v>239</v>
      </c>
      <c r="K2041" t="s">
        <v>245</v>
      </c>
      <c r="L2041" t="s">
        <v>235</v>
      </c>
      <c r="M2041" t="s">
        <v>236</v>
      </c>
      <c r="N2041" t="s">
        <v>240</v>
      </c>
      <c r="O2041" s="27">
        <v>46072</v>
      </c>
    </row>
    <row r="2042" spans="2:15" hidden="1" x14ac:dyDescent="0.3">
      <c r="B2042">
        <v>6468519</v>
      </c>
      <c r="C2042" t="s">
        <v>231</v>
      </c>
      <c r="D2042">
        <v>72444</v>
      </c>
      <c r="E2042" t="s">
        <v>150</v>
      </c>
      <c r="F2042" t="s">
        <v>161</v>
      </c>
      <c r="G2042" s="28">
        <v>8</v>
      </c>
      <c r="H2042" s="32">
        <v>2.29</v>
      </c>
      <c r="I2042" s="32">
        <v>217.48</v>
      </c>
      <c r="J2042" t="s">
        <v>239</v>
      </c>
      <c r="K2042" t="s">
        <v>245</v>
      </c>
      <c r="L2042" t="s">
        <v>235</v>
      </c>
      <c r="M2042" t="s">
        <v>236</v>
      </c>
      <c r="N2042" t="s">
        <v>237</v>
      </c>
      <c r="O2042" s="27">
        <v>46072</v>
      </c>
    </row>
    <row r="2043" spans="2:15" hidden="1" x14ac:dyDescent="0.3">
      <c r="B2043">
        <v>2495068</v>
      </c>
      <c r="C2043" t="s">
        <v>231</v>
      </c>
      <c r="D2043">
        <v>69493</v>
      </c>
      <c r="E2043" t="s">
        <v>150</v>
      </c>
      <c r="F2043" t="s">
        <v>337</v>
      </c>
      <c r="G2043" s="28">
        <v>9</v>
      </c>
      <c r="H2043" s="32">
        <v>2.29</v>
      </c>
      <c r="I2043" s="32">
        <v>330.77</v>
      </c>
      <c r="J2043" t="s">
        <v>239</v>
      </c>
      <c r="K2043" t="s">
        <v>245</v>
      </c>
      <c r="L2043" t="s">
        <v>235</v>
      </c>
      <c r="M2043" t="s">
        <v>236</v>
      </c>
      <c r="N2043" t="s">
        <v>237</v>
      </c>
      <c r="O2043" s="27">
        <v>46055</v>
      </c>
    </row>
    <row r="2044" spans="2:15" hidden="1" x14ac:dyDescent="0.3">
      <c r="B2044">
        <v>6978173</v>
      </c>
      <c r="C2044" t="s">
        <v>231</v>
      </c>
      <c r="D2044">
        <v>38517</v>
      </c>
      <c r="E2044" t="s">
        <v>150</v>
      </c>
      <c r="F2044" t="s">
        <v>319</v>
      </c>
      <c r="G2044" s="28">
        <v>9</v>
      </c>
      <c r="H2044" s="32">
        <v>2.29</v>
      </c>
      <c r="I2044" s="32">
        <v>363.49</v>
      </c>
      <c r="J2044" t="s">
        <v>239</v>
      </c>
      <c r="K2044" t="s">
        <v>245</v>
      </c>
      <c r="L2044" t="s">
        <v>235</v>
      </c>
      <c r="M2044" t="s">
        <v>236</v>
      </c>
      <c r="N2044" t="s">
        <v>240</v>
      </c>
      <c r="O2044" s="27">
        <v>46063</v>
      </c>
    </row>
    <row r="2045" spans="2:15" hidden="1" x14ac:dyDescent="0.3">
      <c r="B2045">
        <v>14521528</v>
      </c>
      <c r="C2045" t="s">
        <v>260</v>
      </c>
      <c r="D2045">
        <v>25619</v>
      </c>
      <c r="E2045" t="s">
        <v>150</v>
      </c>
      <c r="F2045" t="s">
        <v>337</v>
      </c>
      <c r="G2045" s="28">
        <v>10</v>
      </c>
      <c r="H2045" s="32">
        <v>2.29</v>
      </c>
      <c r="I2045" s="32">
        <v>363.25</v>
      </c>
      <c r="J2045" t="s">
        <v>239</v>
      </c>
      <c r="K2045" t="s">
        <v>245</v>
      </c>
      <c r="L2045" t="s">
        <v>235</v>
      </c>
      <c r="M2045" t="s">
        <v>236</v>
      </c>
      <c r="N2045" t="s">
        <v>237</v>
      </c>
      <c r="O2045" s="27">
        <v>46063</v>
      </c>
    </row>
    <row r="2046" spans="2:15" hidden="1" x14ac:dyDescent="0.3">
      <c r="B2046">
        <v>2923617</v>
      </c>
      <c r="C2046" t="s">
        <v>231</v>
      </c>
      <c r="D2046">
        <v>37111</v>
      </c>
      <c r="E2046" t="s">
        <v>150</v>
      </c>
      <c r="F2046" t="s">
        <v>298</v>
      </c>
      <c r="G2046" s="28">
        <v>7</v>
      </c>
      <c r="H2046" s="32">
        <v>2.2799999999999998</v>
      </c>
      <c r="I2046" s="32">
        <v>114.92</v>
      </c>
      <c r="J2046" t="s">
        <v>239</v>
      </c>
      <c r="K2046" t="s">
        <v>245</v>
      </c>
      <c r="L2046" t="s">
        <v>235</v>
      </c>
      <c r="M2046" t="s">
        <v>236</v>
      </c>
      <c r="N2046" t="s">
        <v>237</v>
      </c>
      <c r="O2046" s="27">
        <v>46055</v>
      </c>
    </row>
    <row r="2047" spans="2:15" hidden="1" x14ac:dyDescent="0.3">
      <c r="B2047">
        <v>2735150</v>
      </c>
      <c r="C2047" t="s">
        <v>231</v>
      </c>
      <c r="D2047">
        <v>49894</v>
      </c>
      <c r="E2047" t="s">
        <v>150</v>
      </c>
      <c r="F2047" t="s">
        <v>271</v>
      </c>
      <c r="G2047" s="28">
        <v>14</v>
      </c>
      <c r="H2047" s="32">
        <v>2.2799999999999998</v>
      </c>
      <c r="I2047" s="32">
        <v>258.45</v>
      </c>
      <c r="J2047" t="s">
        <v>239</v>
      </c>
      <c r="K2047" t="s">
        <v>245</v>
      </c>
      <c r="L2047" t="s">
        <v>235</v>
      </c>
      <c r="M2047" t="s">
        <v>236</v>
      </c>
      <c r="N2047" t="s">
        <v>237</v>
      </c>
      <c r="O2047" s="27">
        <v>46063</v>
      </c>
    </row>
    <row r="2048" spans="2:15" hidden="1" x14ac:dyDescent="0.3">
      <c r="B2048">
        <v>357627</v>
      </c>
      <c r="C2048" t="s">
        <v>231</v>
      </c>
      <c r="D2048">
        <v>72444</v>
      </c>
      <c r="E2048" t="s">
        <v>150</v>
      </c>
      <c r="F2048" t="s">
        <v>263</v>
      </c>
      <c r="G2048" s="28">
        <v>28</v>
      </c>
      <c r="H2048" s="32">
        <v>2.2799999999999998</v>
      </c>
      <c r="I2048" s="32">
        <v>386.87</v>
      </c>
      <c r="J2048" t="s">
        <v>239</v>
      </c>
      <c r="K2048" t="s">
        <v>245</v>
      </c>
      <c r="L2048" t="s">
        <v>235</v>
      </c>
      <c r="M2048" t="s">
        <v>236</v>
      </c>
      <c r="N2048" t="s">
        <v>240</v>
      </c>
      <c r="O2048" s="27">
        <v>46055</v>
      </c>
    </row>
    <row r="2049" spans="2:15" hidden="1" x14ac:dyDescent="0.3">
      <c r="B2049">
        <v>6027332</v>
      </c>
      <c r="C2049" t="s">
        <v>231</v>
      </c>
      <c r="D2049">
        <v>23410</v>
      </c>
      <c r="E2049" t="s">
        <v>150</v>
      </c>
      <c r="F2049" t="s">
        <v>160</v>
      </c>
      <c r="G2049" s="28">
        <v>5</v>
      </c>
      <c r="H2049" s="32">
        <v>2.2799999999999998</v>
      </c>
      <c r="I2049" s="32">
        <v>424.26</v>
      </c>
      <c r="J2049" t="s">
        <v>239</v>
      </c>
      <c r="K2049" t="s">
        <v>245</v>
      </c>
      <c r="L2049" t="s">
        <v>235</v>
      </c>
      <c r="M2049" t="s">
        <v>236</v>
      </c>
      <c r="N2049" t="s">
        <v>237</v>
      </c>
      <c r="O2049" s="27">
        <v>46055</v>
      </c>
    </row>
    <row r="2050" spans="2:15" hidden="1" x14ac:dyDescent="0.3">
      <c r="B2050">
        <v>16284979</v>
      </c>
      <c r="C2050" t="s">
        <v>231</v>
      </c>
      <c r="D2050">
        <v>25619</v>
      </c>
      <c r="E2050" t="s">
        <v>150</v>
      </c>
      <c r="F2050" t="s">
        <v>287</v>
      </c>
      <c r="G2050" s="28">
        <v>8</v>
      </c>
      <c r="H2050" s="32">
        <v>2.27</v>
      </c>
      <c r="I2050" s="32">
        <v>250.82</v>
      </c>
      <c r="J2050" t="s">
        <v>239</v>
      </c>
      <c r="K2050" t="s">
        <v>245</v>
      </c>
      <c r="L2050" t="s">
        <v>235</v>
      </c>
      <c r="M2050" t="s">
        <v>236</v>
      </c>
      <c r="N2050" t="s">
        <v>237</v>
      </c>
      <c r="O2050" s="27">
        <v>46063</v>
      </c>
    </row>
    <row r="2051" spans="2:15" hidden="1" x14ac:dyDescent="0.3">
      <c r="B2051">
        <v>238658</v>
      </c>
      <c r="C2051" t="s">
        <v>231</v>
      </c>
      <c r="D2051">
        <v>21468</v>
      </c>
      <c r="E2051" t="s">
        <v>150</v>
      </c>
      <c r="F2051" t="s">
        <v>271</v>
      </c>
      <c r="G2051" s="28">
        <v>14</v>
      </c>
      <c r="H2051" s="32">
        <v>2.27</v>
      </c>
      <c r="I2051" s="32">
        <v>258.45</v>
      </c>
      <c r="J2051" t="s">
        <v>239</v>
      </c>
      <c r="K2051" t="s">
        <v>245</v>
      </c>
      <c r="L2051" t="s">
        <v>235</v>
      </c>
      <c r="M2051" t="s">
        <v>236</v>
      </c>
      <c r="N2051" t="s">
        <v>237</v>
      </c>
      <c r="O2051" s="27">
        <v>46063</v>
      </c>
    </row>
    <row r="2052" spans="2:15" hidden="1" x14ac:dyDescent="0.3">
      <c r="B2052">
        <v>5567161</v>
      </c>
      <c r="C2052" t="s">
        <v>231</v>
      </c>
      <c r="D2052">
        <v>24415</v>
      </c>
      <c r="E2052" t="s">
        <v>150</v>
      </c>
      <c r="F2052" t="s">
        <v>381</v>
      </c>
      <c r="G2052" s="28">
        <v>28</v>
      </c>
      <c r="H2052" s="32">
        <v>2.27</v>
      </c>
      <c r="I2052" s="32">
        <v>441.28</v>
      </c>
      <c r="J2052" t="s">
        <v>330</v>
      </c>
      <c r="K2052" t="s">
        <v>245</v>
      </c>
      <c r="L2052" t="s">
        <v>235</v>
      </c>
      <c r="M2052" t="s">
        <v>236</v>
      </c>
      <c r="N2052" t="s">
        <v>240</v>
      </c>
      <c r="O2052" s="27">
        <v>46063</v>
      </c>
    </row>
    <row r="2053" spans="2:15" hidden="1" x14ac:dyDescent="0.3">
      <c r="B2053">
        <v>2013549</v>
      </c>
      <c r="C2053" t="s">
        <v>231</v>
      </c>
      <c r="D2053">
        <v>23648</v>
      </c>
      <c r="E2053" t="s">
        <v>150</v>
      </c>
      <c r="F2053" t="s">
        <v>347</v>
      </c>
      <c r="G2053" s="28">
        <v>45</v>
      </c>
      <c r="H2053" s="32">
        <v>2.27</v>
      </c>
      <c r="I2053" s="32">
        <v>441.45</v>
      </c>
      <c r="J2053" t="s">
        <v>330</v>
      </c>
      <c r="K2053" t="s">
        <v>234</v>
      </c>
      <c r="L2053" t="s">
        <v>235</v>
      </c>
      <c r="M2053" t="s">
        <v>236</v>
      </c>
      <c r="N2053" t="s">
        <v>240</v>
      </c>
      <c r="O2053" s="27">
        <v>46059</v>
      </c>
    </row>
    <row r="2054" spans="2:15" hidden="1" x14ac:dyDescent="0.3">
      <c r="B2054">
        <v>3430907</v>
      </c>
      <c r="C2054" t="s">
        <v>260</v>
      </c>
      <c r="D2054">
        <v>21468</v>
      </c>
      <c r="E2054" t="s">
        <v>150</v>
      </c>
      <c r="F2054" t="s">
        <v>319</v>
      </c>
      <c r="G2054" s="28">
        <v>9</v>
      </c>
      <c r="H2054" s="32">
        <v>2.27</v>
      </c>
      <c r="I2054" s="32">
        <v>363.49</v>
      </c>
      <c r="J2054" t="s">
        <v>239</v>
      </c>
      <c r="K2054" t="s">
        <v>245</v>
      </c>
      <c r="L2054" t="s">
        <v>235</v>
      </c>
      <c r="M2054" t="s">
        <v>236</v>
      </c>
      <c r="N2054" t="s">
        <v>240</v>
      </c>
      <c r="O2054" s="27">
        <v>46063</v>
      </c>
    </row>
    <row r="2055" spans="2:15" hidden="1" x14ac:dyDescent="0.3">
      <c r="B2055">
        <v>3247420</v>
      </c>
      <c r="C2055" t="s">
        <v>231</v>
      </c>
      <c r="D2055">
        <v>23410</v>
      </c>
      <c r="E2055" t="s">
        <v>150</v>
      </c>
      <c r="F2055" t="s">
        <v>287</v>
      </c>
      <c r="G2055" s="28">
        <v>8</v>
      </c>
      <c r="H2055" s="32">
        <v>2.2599999999999998</v>
      </c>
      <c r="I2055" s="32">
        <v>250.83</v>
      </c>
      <c r="J2055" t="s">
        <v>239</v>
      </c>
      <c r="K2055" t="s">
        <v>245</v>
      </c>
      <c r="L2055" t="s">
        <v>235</v>
      </c>
      <c r="M2055" t="s">
        <v>236</v>
      </c>
      <c r="N2055" t="s">
        <v>237</v>
      </c>
      <c r="O2055" s="27">
        <v>46063</v>
      </c>
    </row>
    <row r="2056" spans="2:15" hidden="1" x14ac:dyDescent="0.3">
      <c r="B2056">
        <v>440722</v>
      </c>
      <c r="C2056" t="s">
        <v>231</v>
      </c>
      <c r="D2056">
        <v>21468</v>
      </c>
      <c r="E2056" t="s">
        <v>150</v>
      </c>
      <c r="F2056" t="s">
        <v>164</v>
      </c>
      <c r="G2056" s="28">
        <v>7</v>
      </c>
      <c r="H2056" s="32">
        <v>2.2599999999999998</v>
      </c>
      <c r="I2056" s="32">
        <v>320.82</v>
      </c>
      <c r="J2056" t="s">
        <v>239</v>
      </c>
      <c r="K2056" t="s">
        <v>245</v>
      </c>
      <c r="L2056" t="s">
        <v>235</v>
      </c>
      <c r="M2056" t="s">
        <v>236</v>
      </c>
      <c r="N2056" t="s">
        <v>240</v>
      </c>
      <c r="O2056" s="27">
        <v>46055</v>
      </c>
    </row>
    <row r="2057" spans="2:15" hidden="1" x14ac:dyDescent="0.3">
      <c r="B2057">
        <v>2802178</v>
      </c>
      <c r="C2057" t="s">
        <v>260</v>
      </c>
      <c r="D2057">
        <v>72444</v>
      </c>
      <c r="E2057" t="s">
        <v>150</v>
      </c>
      <c r="F2057" t="s">
        <v>163</v>
      </c>
      <c r="G2057" s="28">
        <v>11</v>
      </c>
      <c r="H2057" s="32">
        <v>2.2599999999999998</v>
      </c>
      <c r="I2057" s="32">
        <v>144.91</v>
      </c>
      <c r="J2057" t="s">
        <v>239</v>
      </c>
      <c r="K2057" t="s">
        <v>245</v>
      </c>
      <c r="L2057" t="s">
        <v>235</v>
      </c>
      <c r="M2057" t="s">
        <v>236</v>
      </c>
      <c r="N2057" t="s">
        <v>237</v>
      </c>
      <c r="O2057" s="27">
        <v>46055</v>
      </c>
    </row>
    <row r="2058" spans="2:15" hidden="1" x14ac:dyDescent="0.3">
      <c r="B2058">
        <v>74468</v>
      </c>
      <c r="C2058" t="s">
        <v>260</v>
      </c>
      <c r="D2058">
        <v>69519</v>
      </c>
      <c r="E2058" t="s">
        <v>150</v>
      </c>
      <c r="F2058" t="s">
        <v>426</v>
      </c>
      <c r="G2058" s="28">
        <v>15</v>
      </c>
      <c r="H2058" s="32">
        <v>2.2599999999999998</v>
      </c>
      <c r="I2058" s="32">
        <v>1238.53</v>
      </c>
      <c r="J2058" t="s">
        <v>267</v>
      </c>
      <c r="K2058" t="s">
        <v>245</v>
      </c>
      <c r="L2058" t="s">
        <v>235</v>
      </c>
      <c r="M2058" t="s">
        <v>236</v>
      </c>
      <c r="N2058" t="s">
        <v>240</v>
      </c>
      <c r="O2058" s="27">
        <v>46063</v>
      </c>
    </row>
    <row r="2059" spans="2:15" hidden="1" x14ac:dyDescent="0.3">
      <c r="B2059">
        <v>5740954</v>
      </c>
      <c r="C2059" t="s">
        <v>260</v>
      </c>
      <c r="D2059">
        <v>23648</v>
      </c>
      <c r="E2059" t="s">
        <v>150</v>
      </c>
      <c r="F2059" t="s">
        <v>160</v>
      </c>
      <c r="G2059" s="28">
        <v>3</v>
      </c>
      <c r="H2059" s="32">
        <v>2.2599999999999998</v>
      </c>
      <c r="I2059" s="32">
        <v>254.55</v>
      </c>
      <c r="J2059" t="s">
        <v>239</v>
      </c>
      <c r="K2059" t="s">
        <v>245</v>
      </c>
      <c r="L2059" t="s">
        <v>235</v>
      </c>
      <c r="M2059" t="s">
        <v>236</v>
      </c>
      <c r="N2059" t="s">
        <v>240</v>
      </c>
      <c r="O2059" s="27">
        <v>46055</v>
      </c>
    </row>
    <row r="2060" spans="2:15" hidden="1" x14ac:dyDescent="0.3">
      <c r="B2060">
        <v>3322497</v>
      </c>
      <c r="C2060" t="s">
        <v>231</v>
      </c>
      <c r="D2060">
        <v>40901</v>
      </c>
      <c r="E2060" t="s">
        <v>150</v>
      </c>
      <c r="F2060" t="s">
        <v>448</v>
      </c>
      <c r="G2060" s="28">
        <v>4</v>
      </c>
      <c r="H2060" s="32">
        <v>2.25</v>
      </c>
      <c r="I2060" s="32">
        <v>372.97</v>
      </c>
      <c r="J2060" t="s">
        <v>267</v>
      </c>
      <c r="K2060" t="s">
        <v>245</v>
      </c>
      <c r="L2060" t="s">
        <v>235</v>
      </c>
      <c r="M2060" t="s">
        <v>236</v>
      </c>
      <c r="N2060" t="s">
        <v>237</v>
      </c>
      <c r="O2060" s="27">
        <v>46055</v>
      </c>
    </row>
    <row r="2061" spans="2:15" hidden="1" x14ac:dyDescent="0.3">
      <c r="B2061">
        <v>4339096</v>
      </c>
      <c r="C2061" t="s">
        <v>231</v>
      </c>
      <c r="D2061">
        <v>25619</v>
      </c>
      <c r="E2061" t="s">
        <v>150</v>
      </c>
      <c r="F2061" t="s">
        <v>319</v>
      </c>
      <c r="G2061" s="28">
        <v>9</v>
      </c>
      <c r="H2061" s="32">
        <v>2.25</v>
      </c>
      <c r="I2061" s="32">
        <v>363.49</v>
      </c>
      <c r="J2061" t="s">
        <v>239</v>
      </c>
      <c r="K2061" t="s">
        <v>245</v>
      </c>
      <c r="L2061" t="s">
        <v>235</v>
      </c>
      <c r="M2061" t="s">
        <v>236</v>
      </c>
      <c r="N2061" t="s">
        <v>240</v>
      </c>
      <c r="O2061" s="27">
        <v>46063</v>
      </c>
    </row>
    <row r="2062" spans="2:15" hidden="1" x14ac:dyDescent="0.3">
      <c r="B2062">
        <v>7372714</v>
      </c>
      <c r="C2062" t="s">
        <v>231</v>
      </c>
      <c r="D2062">
        <v>22674</v>
      </c>
      <c r="E2062" t="s">
        <v>150</v>
      </c>
      <c r="F2062" t="s">
        <v>319</v>
      </c>
      <c r="G2062" s="28">
        <v>9</v>
      </c>
      <c r="H2062" s="32">
        <v>2.25</v>
      </c>
      <c r="I2062" s="32">
        <v>363.49</v>
      </c>
      <c r="J2062" t="s">
        <v>239</v>
      </c>
      <c r="K2062" t="s">
        <v>245</v>
      </c>
      <c r="L2062" t="s">
        <v>235</v>
      </c>
      <c r="M2062" t="s">
        <v>236</v>
      </c>
      <c r="N2062" t="s">
        <v>240</v>
      </c>
      <c r="O2062" s="27">
        <v>46063</v>
      </c>
    </row>
    <row r="2063" spans="2:15" hidden="1" x14ac:dyDescent="0.3">
      <c r="B2063">
        <v>3430907</v>
      </c>
      <c r="C2063" t="s">
        <v>260</v>
      </c>
      <c r="D2063">
        <v>21468</v>
      </c>
      <c r="E2063" t="s">
        <v>150</v>
      </c>
      <c r="F2063" t="s">
        <v>298</v>
      </c>
      <c r="G2063" s="28">
        <v>23</v>
      </c>
      <c r="H2063" s="32">
        <v>2.2400000000000002</v>
      </c>
      <c r="I2063" s="32">
        <v>377.59</v>
      </c>
      <c r="J2063" t="s">
        <v>239</v>
      </c>
      <c r="K2063" t="s">
        <v>245</v>
      </c>
      <c r="L2063" t="s">
        <v>235</v>
      </c>
      <c r="M2063" t="s">
        <v>236</v>
      </c>
      <c r="N2063" t="s">
        <v>237</v>
      </c>
      <c r="O2063" s="27">
        <v>46055</v>
      </c>
    </row>
    <row r="2064" spans="2:15" hidden="1" x14ac:dyDescent="0.3">
      <c r="B2064">
        <v>4535206</v>
      </c>
      <c r="C2064" t="s">
        <v>231</v>
      </c>
      <c r="D2064">
        <v>68542</v>
      </c>
      <c r="E2064" t="s">
        <v>150</v>
      </c>
      <c r="F2064" t="s">
        <v>287</v>
      </c>
      <c r="G2064" s="28">
        <v>9</v>
      </c>
      <c r="H2064" s="32">
        <v>2.23</v>
      </c>
      <c r="I2064" s="32">
        <v>281.17</v>
      </c>
      <c r="J2064" t="s">
        <v>239</v>
      </c>
      <c r="K2064" t="s">
        <v>245</v>
      </c>
      <c r="L2064" t="s">
        <v>235</v>
      </c>
      <c r="M2064" t="s">
        <v>236</v>
      </c>
      <c r="N2064" t="s">
        <v>237</v>
      </c>
      <c r="O2064" s="27">
        <v>46055</v>
      </c>
    </row>
    <row r="2065" spans="2:15" hidden="1" x14ac:dyDescent="0.3">
      <c r="B2065">
        <v>17920388</v>
      </c>
      <c r="C2065" t="s">
        <v>231</v>
      </c>
      <c r="D2065">
        <v>40901</v>
      </c>
      <c r="E2065" t="s">
        <v>150</v>
      </c>
      <c r="F2065" t="s">
        <v>164</v>
      </c>
      <c r="G2065" s="28">
        <v>4</v>
      </c>
      <c r="H2065" s="32">
        <v>2.23</v>
      </c>
      <c r="I2065" s="32">
        <v>194.43</v>
      </c>
      <c r="J2065" t="s">
        <v>239</v>
      </c>
      <c r="K2065" t="s">
        <v>245</v>
      </c>
      <c r="L2065" t="s">
        <v>235</v>
      </c>
      <c r="M2065" t="s">
        <v>236</v>
      </c>
      <c r="N2065" t="s">
        <v>240</v>
      </c>
      <c r="O2065" s="27">
        <v>46063</v>
      </c>
    </row>
    <row r="2066" spans="2:15" hidden="1" x14ac:dyDescent="0.3">
      <c r="B2066">
        <v>2390017</v>
      </c>
      <c r="C2066" t="s">
        <v>231</v>
      </c>
      <c r="D2066">
        <v>69493</v>
      </c>
      <c r="E2066" t="s">
        <v>150</v>
      </c>
      <c r="F2066" t="s">
        <v>164</v>
      </c>
      <c r="G2066" s="28">
        <v>7</v>
      </c>
      <c r="H2066" s="32">
        <v>2.23</v>
      </c>
      <c r="I2066" s="32">
        <v>320.83</v>
      </c>
      <c r="J2066" t="s">
        <v>239</v>
      </c>
      <c r="K2066" t="s">
        <v>245</v>
      </c>
      <c r="L2066" t="s">
        <v>235</v>
      </c>
      <c r="M2066" t="s">
        <v>236</v>
      </c>
      <c r="N2066" t="s">
        <v>240</v>
      </c>
      <c r="O2066" s="27">
        <v>46055</v>
      </c>
    </row>
    <row r="2067" spans="2:15" hidden="1" x14ac:dyDescent="0.3">
      <c r="B2067">
        <v>3274546</v>
      </c>
      <c r="C2067" t="s">
        <v>260</v>
      </c>
      <c r="D2067">
        <v>22674</v>
      </c>
      <c r="E2067" t="s">
        <v>150</v>
      </c>
      <c r="F2067" t="s">
        <v>369</v>
      </c>
      <c r="G2067" s="28">
        <v>11</v>
      </c>
      <c r="H2067" s="32">
        <v>2.23</v>
      </c>
      <c r="I2067" s="32">
        <v>606.19000000000005</v>
      </c>
      <c r="J2067" t="s">
        <v>239</v>
      </c>
      <c r="K2067" t="s">
        <v>245</v>
      </c>
      <c r="L2067" t="s">
        <v>235</v>
      </c>
      <c r="M2067" t="s">
        <v>236</v>
      </c>
      <c r="N2067" t="s">
        <v>240</v>
      </c>
      <c r="O2067" s="27">
        <v>46063</v>
      </c>
    </row>
    <row r="2068" spans="2:15" hidden="1" x14ac:dyDescent="0.3">
      <c r="B2068">
        <v>2495068</v>
      </c>
      <c r="C2068" t="s">
        <v>231</v>
      </c>
      <c r="D2068">
        <v>69493</v>
      </c>
      <c r="E2068" t="s">
        <v>150</v>
      </c>
      <c r="F2068" t="s">
        <v>164</v>
      </c>
      <c r="G2068" s="28">
        <v>7</v>
      </c>
      <c r="H2068" s="32">
        <v>2.2200000000000002</v>
      </c>
      <c r="I2068" s="32">
        <v>320.83</v>
      </c>
      <c r="J2068" t="s">
        <v>239</v>
      </c>
      <c r="K2068" t="s">
        <v>245</v>
      </c>
      <c r="L2068" t="s">
        <v>235</v>
      </c>
      <c r="M2068" t="s">
        <v>236</v>
      </c>
      <c r="N2068" t="s">
        <v>240</v>
      </c>
      <c r="O2068" s="27">
        <v>46055</v>
      </c>
    </row>
    <row r="2069" spans="2:15" hidden="1" x14ac:dyDescent="0.3">
      <c r="B2069">
        <v>3906862</v>
      </c>
      <c r="C2069" t="s">
        <v>231</v>
      </c>
      <c r="D2069">
        <v>71881</v>
      </c>
      <c r="E2069" t="s">
        <v>150</v>
      </c>
      <c r="F2069" t="s">
        <v>164</v>
      </c>
      <c r="G2069" s="28">
        <v>4</v>
      </c>
      <c r="H2069" s="32">
        <v>2.2200000000000002</v>
      </c>
      <c r="I2069" s="32">
        <v>194.42</v>
      </c>
      <c r="J2069" t="s">
        <v>239</v>
      </c>
      <c r="K2069" t="s">
        <v>245</v>
      </c>
      <c r="L2069" t="s">
        <v>235</v>
      </c>
      <c r="M2069" t="s">
        <v>236</v>
      </c>
      <c r="N2069" t="s">
        <v>240</v>
      </c>
      <c r="O2069" s="27">
        <v>46063</v>
      </c>
    </row>
    <row r="2070" spans="2:15" hidden="1" x14ac:dyDescent="0.3">
      <c r="B2070">
        <v>3824485</v>
      </c>
      <c r="C2070" t="s">
        <v>260</v>
      </c>
      <c r="D2070">
        <v>69579</v>
      </c>
      <c r="E2070" t="s">
        <v>150</v>
      </c>
      <c r="F2070" t="s">
        <v>163</v>
      </c>
      <c r="G2070" s="28">
        <v>12</v>
      </c>
      <c r="H2070" s="32">
        <v>2.2200000000000002</v>
      </c>
      <c r="I2070" s="32">
        <v>170.88</v>
      </c>
      <c r="J2070" t="s">
        <v>239</v>
      </c>
      <c r="K2070" t="s">
        <v>245</v>
      </c>
      <c r="L2070" t="s">
        <v>235</v>
      </c>
      <c r="M2070" t="s">
        <v>236</v>
      </c>
      <c r="N2070" t="s">
        <v>237</v>
      </c>
      <c r="O2070" s="27">
        <v>46072</v>
      </c>
    </row>
    <row r="2071" spans="2:15" hidden="1" x14ac:dyDescent="0.3">
      <c r="B2071">
        <v>14690888</v>
      </c>
      <c r="C2071" t="s">
        <v>231</v>
      </c>
      <c r="D2071">
        <v>21468</v>
      </c>
      <c r="E2071" t="s">
        <v>150</v>
      </c>
      <c r="F2071" t="s">
        <v>276</v>
      </c>
      <c r="G2071" s="28">
        <v>7</v>
      </c>
      <c r="H2071" s="32">
        <v>2.21</v>
      </c>
      <c r="I2071" s="32">
        <v>211.89</v>
      </c>
      <c r="J2071" t="s">
        <v>239</v>
      </c>
      <c r="K2071" t="s">
        <v>245</v>
      </c>
      <c r="L2071" t="s">
        <v>235</v>
      </c>
      <c r="M2071" t="s">
        <v>236</v>
      </c>
      <c r="N2071" t="s">
        <v>240</v>
      </c>
      <c r="O2071" s="27">
        <v>46055</v>
      </c>
    </row>
    <row r="2072" spans="2:15" hidden="1" x14ac:dyDescent="0.3">
      <c r="B2072">
        <v>5555592</v>
      </c>
      <c r="C2072" t="s">
        <v>231</v>
      </c>
      <c r="D2072">
        <v>38517</v>
      </c>
      <c r="E2072" t="s">
        <v>150</v>
      </c>
      <c r="F2072" t="s">
        <v>282</v>
      </c>
      <c r="G2072" s="28">
        <v>4</v>
      </c>
      <c r="H2072" s="32">
        <v>2.21</v>
      </c>
      <c r="I2072" s="32">
        <v>204.33</v>
      </c>
      <c r="J2072" t="s">
        <v>239</v>
      </c>
      <c r="K2072" t="s">
        <v>245</v>
      </c>
      <c r="L2072" t="s">
        <v>235</v>
      </c>
      <c r="M2072" t="s">
        <v>236</v>
      </c>
      <c r="N2072" t="s">
        <v>240</v>
      </c>
      <c r="O2072" s="27">
        <v>46063</v>
      </c>
    </row>
    <row r="2073" spans="2:15" hidden="1" x14ac:dyDescent="0.3">
      <c r="B2073">
        <v>215083</v>
      </c>
      <c r="C2073" t="s">
        <v>231</v>
      </c>
      <c r="D2073">
        <v>23410</v>
      </c>
      <c r="E2073" t="s">
        <v>150</v>
      </c>
      <c r="F2073" t="s">
        <v>272</v>
      </c>
      <c r="G2073" s="28">
        <v>60</v>
      </c>
      <c r="H2073" s="32">
        <v>2.21</v>
      </c>
      <c r="I2073" s="32">
        <v>392.32</v>
      </c>
      <c r="J2073" t="s">
        <v>239</v>
      </c>
      <c r="K2073" t="s">
        <v>245</v>
      </c>
      <c r="L2073" t="s">
        <v>235</v>
      </c>
      <c r="M2073" t="s">
        <v>236</v>
      </c>
      <c r="N2073" t="s">
        <v>237</v>
      </c>
      <c r="O2073" s="27">
        <v>46055</v>
      </c>
    </row>
    <row r="2074" spans="2:15" hidden="1" x14ac:dyDescent="0.3">
      <c r="B2074">
        <v>325473</v>
      </c>
      <c r="C2074" t="s">
        <v>231</v>
      </c>
      <c r="D2074">
        <v>22674</v>
      </c>
      <c r="E2074" t="s">
        <v>150</v>
      </c>
      <c r="F2074" t="s">
        <v>301</v>
      </c>
      <c r="G2074" s="28">
        <v>50</v>
      </c>
      <c r="H2074" s="32">
        <v>2.2000000000000002</v>
      </c>
      <c r="I2074" s="32">
        <v>401.65</v>
      </c>
      <c r="J2074" t="s">
        <v>267</v>
      </c>
      <c r="K2074" t="s">
        <v>245</v>
      </c>
      <c r="L2074" t="s">
        <v>235</v>
      </c>
      <c r="M2074" t="s">
        <v>236</v>
      </c>
      <c r="N2074" t="s">
        <v>240</v>
      </c>
      <c r="O2074" s="27">
        <v>46056</v>
      </c>
    </row>
    <row r="2075" spans="2:15" hidden="1" x14ac:dyDescent="0.3">
      <c r="B2075">
        <v>5979107</v>
      </c>
      <c r="C2075" t="s">
        <v>231</v>
      </c>
      <c r="D2075">
        <v>35984</v>
      </c>
      <c r="E2075" t="s">
        <v>150</v>
      </c>
      <c r="F2075" t="s">
        <v>317</v>
      </c>
      <c r="G2075" s="28">
        <v>3</v>
      </c>
      <c r="H2075" s="32">
        <v>2.2000000000000002</v>
      </c>
      <c r="I2075" s="32">
        <v>151.24</v>
      </c>
      <c r="J2075" t="s">
        <v>239</v>
      </c>
      <c r="K2075" t="s">
        <v>245</v>
      </c>
      <c r="L2075" t="s">
        <v>235</v>
      </c>
      <c r="M2075" t="s">
        <v>236</v>
      </c>
      <c r="N2075" t="s">
        <v>240</v>
      </c>
      <c r="O2075" s="27">
        <v>46055</v>
      </c>
    </row>
    <row r="2076" spans="2:15" hidden="1" x14ac:dyDescent="0.3">
      <c r="B2076">
        <v>2411460</v>
      </c>
      <c r="C2076" t="s">
        <v>231</v>
      </c>
      <c r="D2076">
        <v>72444</v>
      </c>
      <c r="E2076" t="s">
        <v>150</v>
      </c>
      <c r="F2076" t="s">
        <v>272</v>
      </c>
      <c r="G2076" s="28">
        <v>43</v>
      </c>
      <c r="H2076" s="32">
        <v>2.19</v>
      </c>
      <c r="I2076" s="32">
        <v>280.91000000000003</v>
      </c>
      <c r="J2076" t="s">
        <v>239</v>
      </c>
      <c r="K2076" t="s">
        <v>245</v>
      </c>
      <c r="L2076" t="s">
        <v>235</v>
      </c>
      <c r="M2076" t="s">
        <v>236</v>
      </c>
      <c r="N2076" t="s">
        <v>240</v>
      </c>
      <c r="O2076" s="27">
        <v>46055</v>
      </c>
    </row>
    <row r="2077" spans="2:15" hidden="1" x14ac:dyDescent="0.3">
      <c r="B2077">
        <v>750270</v>
      </c>
      <c r="C2077" t="s">
        <v>231</v>
      </c>
      <c r="D2077">
        <v>22674</v>
      </c>
      <c r="E2077" t="s">
        <v>150</v>
      </c>
      <c r="F2077" t="s">
        <v>395</v>
      </c>
      <c r="G2077" s="28">
        <v>59</v>
      </c>
      <c r="H2077" s="32">
        <v>2.19</v>
      </c>
      <c r="I2077" s="32">
        <v>372.29</v>
      </c>
      <c r="J2077" t="s">
        <v>330</v>
      </c>
      <c r="K2077" t="s">
        <v>234</v>
      </c>
      <c r="L2077" t="s">
        <v>235</v>
      </c>
      <c r="M2077" t="s">
        <v>236</v>
      </c>
      <c r="N2077" t="s">
        <v>237</v>
      </c>
      <c r="O2077" s="27">
        <v>46065</v>
      </c>
    </row>
    <row r="2078" spans="2:15" hidden="1" x14ac:dyDescent="0.3">
      <c r="B2078">
        <v>18702217</v>
      </c>
      <c r="C2078" t="s">
        <v>260</v>
      </c>
      <c r="D2078">
        <v>74304</v>
      </c>
      <c r="E2078" t="s">
        <v>150</v>
      </c>
      <c r="F2078" t="s">
        <v>363</v>
      </c>
      <c r="G2078" s="28">
        <v>10</v>
      </c>
      <c r="H2078" s="32">
        <v>2.19</v>
      </c>
      <c r="I2078" s="32">
        <v>413.9</v>
      </c>
      <c r="J2078" t="s">
        <v>330</v>
      </c>
      <c r="K2078" t="s">
        <v>234</v>
      </c>
      <c r="L2078" t="s">
        <v>235</v>
      </c>
      <c r="M2078" t="s">
        <v>236</v>
      </c>
      <c r="N2078" t="s">
        <v>237</v>
      </c>
      <c r="O2078" s="27">
        <v>46072</v>
      </c>
    </row>
    <row r="2079" spans="2:15" hidden="1" x14ac:dyDescent="0.3">
      <c r="B2079">
        <v>11493548</v>
      </c>
      <c r="C2079" t="s">
        <v>231</v>
      </c>
      <c r="D2079">
        <v>38517</v>
      </c>
      <c r="E2079" t="s">
        <v>150</v>
      </c>
      <c r="F2079" t="s">
        <v>319</v>
      </c>
      <c r="G2079" s="28">
        <v>9</v>
      </c>
      <c r="H2079" s="32">
        <v>2.1800000000000002</v>
      </c>
      <c r="I2079" s="32">
        <v>363.49</v>
      </c>
      <c r="J2079" t="s">
        <v>239</v>
      </c>
      <c r="K2079" t="s">
        <v>245</v>
      </c>
      <c r="L2079" t="s">
        <v>235</v>
      </c>
      <c r="M2079" t="s">
        <v>236</v>
      </c>
      <c r="N2079" t="s">
        <v>240</v>
      </c>
      <c r="O2079" s="27">
        <v>46063</v>
      </c>
    </row>
    <row r="2080" spans="2:15" hidden="1" x14ac:dyDescent="0.3">
      <c r="B2080">
        <v>3824485</v>
      </c>
      <c r="C2080" t="s">
        <v>260</v>
      </c>
      <c r="D2080">
        <v>69579</v>
      </c>
      <c r="E2080" t="s">
        <v>150</v>
      </c>
      <c r="F2080" t="s">
        <v>160</v>
      </c>
      <c r="G2080" s="28">
        <v>2</v>
      </c>
      <c r="H2080" s="32">
        <v>2.17</v>
      </c>
      <c r="I2080" s="32">
        <v>166.69</v>
      </c>
      <c r="J2080" t="s">
        <v>239</v>
      </c>
      <c r="K2080" t="s">
        <v>245</v>
      </c>
      <c r="L2080" t="s">
        <v>235</v>
      </c>
      <c r="M2080" t="s">
        <v>236</v>
      </c>
      <c r="N2080" t="s">
        <v>240</v>
      </c>
      <c r="O2080" s="27">
        <v>46072</v>
      </c>
    </row>
    <row r="2081" spans="2:15" hidden="1" x14ac:dyDescent="0.3">
      <c r="B2081">
        <v>2411460</v>
      </c>
      <c r="C2081" t="s">
        <v>231</v>
      </c>
      <c r="D2081">
        <v>72444</v>
      </c>
      <c r="E2081" t="s">
        <v>150</v>
      </c>
      <c r="F2081" t="s">
        <v>163</v>
      </c>
      <c r="G2081" s="28">
        <v>21</v>
      </c>
      <c r="H2081" s="32">
        <v>2.15</v>
      </c>
      <c r="I2081" s="32">
        <v>276.66000000000003</v>
      </c>
      <c r="J2081" t="s">
        <v>239</v>
      </c>
      <c r="K2081" t="s">
        <v>245</v>
      </c>
      <c r="L2081" t="s">
        <v>235</v>
      </c>
      <c r="M2081" t="s">
        <v>236</v>
      </c>
      <c r="N2081" t="s">
        <v>237</v>
      </c>
      <c r="O2081" s="27">
        <v>46055</v>
      </c>
    </row>
    <row r="2082" spans="2:15" hidden="1" x14ac:dyDescent="0.3">
      <c r="B2082">
        <v>6027332</v>
      </c>
      <c r="C2082" t="s">
        <v>231</v>
      </c>
      <c r="D2082">
        <v>23410</v>
      </c>
      <c r="E2082" t="s">
        <v>150</v>
      </c>
      <c r="F2082" t="s">
        <v>277</v>
      </c>
      <c r="G2082" s="28">
        <v>11</v>
      </c>
      <c r="H2082" s="32">
        <v>2.15</v>
      </c>
      <c r="I2082" s="32">
        <v>399.13</v>
      </c>
      <c r="J2082" t="s">
        <v>239</v>
      </c>
      <c r="K2082" t="s">
        <v>245</v>
      </c>
      <c r="L2082" t="s">
        <v>235</v>
      </c>
      <c r="M2082" t="s">
        <v>236</v>
      </c>
      <c r="N2082" t="s">
        <v>237</v>
      </c>
      <c r="O2082" s="27">
        <v>46055</v>
      </c>
    </row>
    <row r="2083" spans="2:15" hidden="1" x14ac:dyDescent="0.3">
      <c r="B2083">
        <v>2579681</v>
      </c>
      <c r="C2083" t="s">
        <v>231</v>
      </c>
      <c r="D2083">
        <v>25619</v>
      </c>
      <c r="E2083" t="s">
        <v>150</v>
      </c>
      <c r="F2083" t="s">
        <v>271</v>
      </c>
      <c r="G2083" s="28">
        <v>13</v>
      </c>
      <c r="H2083" s="32">
        <v>2.14</v>
      </c>
      <c r="I2083" s="32">
        <v>240.05</v>
      </c>
      <c r="J2083" t="s">
        <v>239</v>
      </c>
      <c r="K2083" t="s">
        <v>245</v>
      </c>
      <c r="L2083" t="s">
        <v>235</v>
      </c>
      <c r="M2083" t="s">
        <v>236</v>
      </c>
      <c r="N2083" t="s">
        <v>237</v>
      </c>
      <c r="O2083" s="27">
        <v>46063</v>
      </c>
    </row>
    <row r="2084" spans="2:15" hidden="1" x14ac:dyDescent="0.3">
      <c r="B2084">
        <v>5599981</v>
      </c>
      <c r="C2084" t="s">
        <v>231</v>
      </c>
      <c r="D2084">
        <v>69493</v>
      </c>
      <c r="E2084" t="s">
        <v>150</v>
      </c>
      <c r="F2084" t="s">
        <v>319</v>
      </c>
      <c r="G2084" s="28">
        <v>8</v>
      </c>
      <c r="H2084" s="32">
        <v>2.14</v>
      </c>
      <c r="I2084" s="32">
        <v>322.93</v>
      </c>
      <c r="J2084" t="s">
        <v>239</v>
      </c>
      <c r="K2084" t="s">
        <v>245</v>
      </c>
      <c r="L2084" t="s">
        <v>235</v>
      </c>
      <c r="M2084" t="s">
        <v>236</v>
      </c>
      <c r="N2084" t="s">
        <v>240</v>
      </c>
      <c r="O2084" s="27">
        <v>46063</v>
      </c>
    </row>
    <row r="2085" spans="2:15" hidden="1" x14ac:dyDescent="0.3">
      <c r="B2085">
        <v>8668372</v>
      </c>
      <c r="C2085" t="s">
        <v>231</v>
      </c>
      <c r="D2085">
        <v>25619</v>
      </c>
      <c r="E2085" t="s">
        <v>150</v>
      </c>
      <c r="F2085" t="s">
        <v>334</v>
      </c>
      <c r="G2085" s="28">
        <v>4</v>
      </c>
      <c r="H2085" s="32">
        <v>2.13</v>
      </c>
      <c r="I2085" s="32">
        <v>215.29</v>
      </c>
      <c r="J2085" t="s">
        <v>239</v>
      </c>
      <c r="K2085" t="s">
        <v>245</v>
      </c>
      <c r="L2085" t="s">
        <v>235</v>
      </c>
      <c r="M2085" t="s">
        <v>236</v>
      </c>
      <c r="N2085" t="s">
        <v>240</v>
      </c>
      <c r="O2085" s="27">
        <v>46055</v>
      </c>
    </row>
    <row r="2086" spans="2:15" hidden="1" x14ac:dyDescent="0.3">
      <c r="B2086">
        <v>2013549</v>
      </c>
      <c r="C2086" t="s">
        <v>231</v>
      </c>
      <c r="D2086">
        <v>23648</v>
      </c>
      <c r="E2086" t="s">
        <v>150</v>
      </c>
      <c r="F2086" t="s">
        <v>300</v>
      </c>
      <c r="G2086" s="28">
        <v>5</v>
      </c>
      <c r="H2086" s="32">
        <v>2.13</v>
      </c>
      <c r="I2086" s="32">
        <v>413.9</v>
      </c>
      <c r="J2086" t="s">
        <v>239</v>
      </c>
      <c r="K2086" t="s">
        <v>234</v>
      </c>
      <c r="L2086" t="s">
        <v>235</v>
      </c>
      <c r="M2086" t="s">
        <v>236</v>
      </c>
      <c r="N2086" t="s">
        <v>240</v>
      </c>
      <c r="O2086" s="27">
        <v>46059</v>
      </c>
    </row>
    <row r="2087" spans="2:15" x14ac:dyDescent="0.3">
      <c r="B2087">
        <v>5658854</v>
      </c>
      <c r="C2087" t="s">
        <v>231</v>
      </c>
      <c r="D2087">
        <v>22103</v>
      </c>
      <c r="E2087" t="s">
        <v>150</v>
      </c>
      <c r="F2087" t="s">
        <v>359</v>
      </c>
      <c r="G2087" s="28">
        <v>12</v>
      </c>
      <c r="H2087" s="32">
        <v>2.12</v>
      </c>
      <c r="I2087" s="32">
        <v>421.32</v>
      </c>
      <c r="J2087" t="s">
        <v>330</v>
      </c>
      <c r="K2087" t="s">
        <v>234</v>
      </c>
      <c r="L2087" t="s">
        <v>235</v>
      </c>
      <c r="M2087" t="s">
        <v>236</v>
      </c>
      <c r="N2087" t="s">
        <v>240</v>
      </c>
      <c r="O2087" s="27">
        <v>46076</v>
      </c>
    </row>
    <row r="2088" spans="2:15" hidden="1" x14ac:dyDescent="0.3">
      <c r="B2088">
        <v>3907511</v>
      </c>
      <c r="C2088" t="s">
        <v>231</v>
      </c>
      <c r="D2088">
        <v>23648</v>
      </c>
      <c r="E2088" t="s">
        <v>150</v>
      </c>
      <c r="F2088" t="s">
        <v>276</v>
      </c>
      <c r="G2088" s="28">
        <v>9</v>
      </c>
      <c r="H2088" s="32">
        <v>2.11</v>
      </c>
      <c r="I2088" s="32">
        <v>272.43</v>
      </c>
      <c r="J2088" t="s">
        <v>239</v>
      </c>
      <c r="K2088" t="s">
        <v>245</v>
      </c>
      <c r="L2088" t="s">
        <v>235</v>
      </c>
      <c r="M2088" t="s">
        <v>236</v>
      </c>
      <c r="N2088" t="s">
        <v>240</v>
      </c>
      <c r="O2088" s="27">
        <v>46055</v>
      </c>
    </row>
    <row r="2089" spans="2:15" hidden="1" x14ac:dyDescent="0.3">
      <c r="B2089">
        <v>18731282</v>
      </c>
      <c r="C2089" t="s">
        <v>231</v>
      </c>
      <c r="D2089">
        <v>40901</v>
      </c>
      <c r="E2089" t="s">
        <v>150</v>
      </c>
      <c r="F2089" t="s">
        <v>307</v>
      </c>
      <c r="G2089" s="28">
        <v>80</v>
      </c>
      <c r="H2089" s="32">
        <v>2.11</v>
      </c>
      <c r="I2089" s="32">
        <v>387.82</v>
      </c>
      <c r="J2089" t="s">
        <v>239</v>
      </c>
      <c r="K2089" t="s">
        <v>245</v>
      </c>
      <c r="L2089" t="s">
        <v>235</v>
      </c>
      <c r="M2089" t="s">
        <v>236</v>
      </c>
      <c r="N2089" t="s">
        <v>237</v>
      </c>
      <c r="O2089" s="27">
        <v>46055</v>
      </c>
    </row>
    <row r="2090" spans="2:15" hidden="1" x14ac:dyDescent="0.3">
      <c r="B2090">
        <v>2826183</v>
      </c>
      <c r="C2090" t="s">
        <v>231</v>
      </c>
      <c r="D2090">
        <v>69493</v>
      </c>
      <c r="E2090" t="s">
        <v>150</v>
      </c>
      <c r="F2090" t="s">
        <v>337</v>
      </c>
      <c r="G2090" s="28">
        <v>8</v>
      </c>
      <c r="H2090" s="32">
        <v>2.11</v>
      </c>
      <c r="I2090" s="32">
        <v>294.02</v>
      </c>
      <c r="J2090" t="s">
        <v>239</v>
      </c>
      <c r="K2090" t="s">
        <v>245</v>
      </c>
      <c r="L2090" t="s">
        <v>235</v>
      </c>
      <c r="M2090" t="s">
        <v>236</v>
      </c>
      <c r="N2090" t="s">
        <v>237</v>
      </c>
      <c r="O2090" s="27">
        <v>46055</v>
      </c>
    </row>
    <row r="2091" spans="2:15" hidden="1" x14ac:dyDescent="0.3">
      <c r="B2091">
        <v>8781959</v>
      </c>
      <c r="C2091" t="s">
        <v>231</v>
      </c>
      <c r="D2091">
        <v>72444</v>
      </c>
      <c r="E2091" t="s">
        <v>150</v>
      </c>
      <c r="F2091" t="s">
        <v>337</v>
      </c>
      <c r="G2091" s="28">
        <v>6</v>
      </c>
      <c r="H2091" s="32">
        <v>2.11</v>
      </c>
      <c r="I2091" s="32">
        <v>220.48</v>
      </c>
      <c r="J2091" t="s">
        <v>239</v>
      </c>
      <c r="K2091" t="s">
        <v>245</v>
      </c>
      <c r="L2091" t="s">
        <v>235</v>
      </c>
      <c r="M2091" t="s">
        <v>236</v>
      </c>
      <c r="N2091" t="s">
        <v>240</v>
      </c>
      <c r="O2091" s="27">
        <v>46055</v>
      </c>
    </row>
    <row r="2092" spans="2:15" hidden="1" x14ac:dyDescent="0.3">
      <c r="B2092">
        <v>3663401</v>
      </c>
      <c r="C2092" t="s">
        <v>231</v>
      </c>
      <c r="D2092">
        <v>21468</v>
      </c>
      <c r="E2092" t="s">
        <v>150</v>
      </c>
      <c r="F2092" t="s">
        <v>160</v>
      </c>
      <c r="G2092" s="28">
        <v>3</v>
      </c>
      <c r="H2092" s="32">
        <v>2.11</v>
      </c>
      <c r="I2092" s="32">
        <v>254.55</v>
      </c>
      <c r="J2092" t="s">
        <v>239</v>
      </c>
      <c r="K2092" t="s">
        <v>245</v>
      </c>
      <c r="L2092" t="s">
        <v>235</v>
      </c>
      <c r="M2092" t="s">
        <v>236</v>
      </c>
      <c r="N2092" t="s">
        <v>240</v>
      </c>
      <c r="O2092" s="27">
        <v>46055</v>
      </c>
    </row>
    <row r="2093" spans="2:15" hidden="1" x14ac:dyDescent="0.3">
      <c r="B2093">
        <v>3306352</v>
      </c>
      <c r="C2093" t="s">
        <v>231</v>
      </c>
      <c r="D2093">
        <v>21468</v>
      </c>
      <c r="E2093" t="s">
        <v>150</v>
      </c>
      <c r="F2093" t="s">
        <v>369</v>
      </c>
      <c r="G2093" s="28">
        <v>2</v>
      </c>
      <c r="H2093" s="32">
        <v>2.1</v>
      </c>
      <c r="I2093" s="32">
        <v>103.37</v>
      </c>
      <c r="J2093" t="s">
        <v>239</v>
      </c>
      <c r="K2093" t="s">
        <v>245</v>
      </c>
      <c r="L2093" t="s">
        <v>235</v>
      </c>
      <c r="M2093" t="s">
        <v>236</v>
      </c>
      <c r="N2093" t="s">
        <v>240</v>
      </c>
      <c r="O2093" s="27">
        <v>46055</v>
      </c>
    </row>
    <row r="2094" spans="2:15" hidden="1" x14ac:dyDescent="0.3">
      <c r="B2094">
        <v>4381878</v>
      </c>
      <c r="C2094" t="s">
        <v>231</v>
      </c>
      <c r="D2094">
        <v>74304</v>
      </c>
      <c r="E2094" t="s">
        <v>150</v>
      </c>
      <c r="F2094" t="s">
        <v>369</v>
      </c>
      <c r="G2094" s="28">
        <v>2</v>
      </c>
      <c r="H2094" s="32">
        <v>2.1</v>
      </c>
      <c r="I2094" s="32">
        <v>103.37</v>
      </c>
      <c r="J2094" t="s">
        <v>239</v>
      </c>
      <c r="K2094" t="s">
        <v>245</v>
      </c>
      <c r="L2094" t="s">
        <v>235</v>
      </c>
      <c r="M2094" t="s">
        <v>236</v>
      </c>
      <c r="N2094" t="s">
        <v>240</v>
      </c>
      <c r="O2094" s="27">
        <v>46055</v>
      </c>
    </row>
    <row r="2095" spans="2:15" hidden="1" x14ac:dyDescent="0.3">
      <c r="B2095">
        <v>11493548</v>
      </c>
      <c r="C2095" t="s">
        <v>231</v>
      </c>
      <c r="D2095">
        <v>38517</v>
      </c>
      <c r="E2095" t="s">
        <v>150</v>
      </c>
      <c r="F2095" t="s">
        <v>337</v>
      </c>
      <c r="G2095" s="28">
        <v>9</v>
      </c>
      <c r="H2095" s="32">
        <v>2.1</v>
      </c>
      <c r="I2095" s="32">
        <v>326.79000000000002</v>
      </c>
      <c r="J2095" t="s">
        <v>239</v>
      </c>
      <c r="K2095" t="s">
        <v>245</v>
      </c>
      <c r="L2095" t="s">
        <v>235</v>
      </c>
      <c r="M2095" t="s">
        <v>236</v>
      </c>
      <c r="N2095" t="s">
        <v>237</v>
      </c>
      <c r="O2095" s="27">
        <v>46063</v>
      </c>
    </row>
    <row r="2096" spans="2:15" hidden="1" x14ac:dyDescent="0.3">
      <c r="B2096">
        <v>542586</v>
      </c>
      <c r="C2096" t="s">
        <v>260</v>
      </c>
      <c r="D2096">
        <v>21468</v>
      </c>
      <c r="E2096" t="s">
        <v>150</v>
      </c>
      <c r="F2096" t="s">
        <v>384</v>
      </c>
      <c r="G2096" s="28">
        <v>20</v>
      </c>
      <c r="H2096" s="32">
        <v>2.1</v>
      </c>
      <c r="I2096" s="32">
        <v>413.8</v>
      </c>
      <c r="J2096" t="s">
        <v>330</v>
      </c>
      <c r="K2096" t="s">
        <v>234</v>
      </c>
      <c r="L2096" t="s">
        <v>235</v>
      </c>
      <c r="M2096" t="s">
        <v>236</v>
      </c>
      <c r="N2096" t="s">
        <v>237</v>
      </c>
      <c r="O2096" s="27">
        <v>46058</v>
      </c>
    </row>
    <row r="2097" spans="2:15" hidden="1" x14ac:dyDescent="0.3">
      <c r="B2097">
        <v>2747758</v>
      </c>
      <c r="C2097" t="s">
        <v>231</v>
      </c>
      <c r="D2097">
        <v>96553</v>
      </c>
      <c r="E2097" t="s">
        <v>150</v>
      </c>
      <c r="F2097" t="s">
        <v>319</v>
      </c>
      <c r="G2097" s="28">
        <v>8</v>
      </c>
      <c r="H2097" s="32">
        <v>2.09</v>
      </c>
      <c r="I2097" s="32">
        <v>322.92</v>
      </c>
      <c r="J2097" t="s">
        <v>239</v>
      </c>
      <c r="K2097" t="s">
        <v>245</v>
      </c>
      <c r="L2097" t="s">
        <v>235</v>
      </c>
      <c r="M2097" t="s">
        <v>236</v>
      </c>
      <c r="N2097" t="s">
        <v>240</v>
      </c>
      <c r="O2097" s="27">
        <v>46063</v>
      </c>
    </row>
    <row r="2098" spans="2:15" hidden="1" x14ac:dyDescent="0.3">
      <c r="B2098">
        <v>15083827</v>
      </c>
      <c r="C2098" t="s">
        <v>260</v>
      </c>
      <c r="D2098">
        <v>69493</v>
      </c>
      <c r="E2098" t="s">
        <v>150</v>
      </c>
      <c r="F2098" t="s">
        <v>319</v>
      </c>
      <c r="G2098" s="28">
        <v>7</v>
      </c>
      <c r="H2098" s="32">
        <v>2.09</v>
      </c>
      <c r="I2098" s="32">
        <v>282.43</v>
      </c>
      <c r="J2098" t="s">
        <v>239</v>
      </c>
      <c r="K2098" t="s">
        <v>245</v>
      </c>
      <c r="L2098" t="s">
        <v>235</v>
      </c>
      <c r="M2098" t="s">
        <v>236</v>
      </c>
      <c r="N2098" t="s">
        <v>240</v>
      </c>
      <c r="O2098" s="27">
        <v>46063</v>
      </c>
    </row>
    <row r="2099" spans="2:15" hidden="1" x14ac:dyDescent="0.3">
      <c r="B2099">
        <v>7088256</v>
      </c>
      <c r="C2099" t="s">
        <v>231</v>
      </c>
      <c r="D2099">
        <v>96553</v>
      </c>
      <c r="E2099" t="s">
        <v>150</v>
      </c>
      <c r="F2099" t="s">
        <v>287</v>
      </c>
      <c r="G2099" s="28">
        <v>7</v>
      </c>
      <c r="H2099" s="32">
        <v>2.08</v>
      </c>
      <c r="I2099" s="32">
        <v>219.6</v>
      </c>
      <c r="J2099" t="s">
        <v>239</v>
      </c>
      <c r="K2099" t="s">
        <v>245</v>
      </c>
      <c r="L2099" t="s">
        <v>235</v>
      </c>
      <c r="M2099" t="s">
        <v>236</v>
      </c>
      <c r="N2099" t="s">
        <v>237</v>
      </c>
      <c r="O2099" s="27">
        <v>46063</v>
      </c>
    </row>
    <row r="2100" spans="2:15" hidden="1" x14ac:dyDescent="0.3">
      <c r="B2100">
        <v>2084946</v>
      </c>
      <c r="C2100" t="s">
        <v>231</v>
      </c>
      <c r="D2100">
        <v>69493</v>
      </c>
      <c r="E2100" t="s">
        <v>150</v>
      </c>
      <c r="F2100" t="s">
        <v>271</v>
      </c>
      <c r="G2100" s="28">
        <v>17</v>
      </c>
      <c r="H2100" s="32">
        <v>2.08</v>
      </c>
      <c r="I2100" s="32">
        <v>300.16000000000003</v>
      </c>
      <c r="J2100" t="s">
        <v>239</v>
      </c>
      <c r="K2100" t="s">
        <v>245</v>
      </c>
      <c r="L2100" t="s">
        <v>235</v>
      </c>
      <c r="M2100" t="s">
        <v>236</v>
      </c>
      <c r="N2100" t="s">
        <v>237</v>
      </c>
      <c r="O2100" s="27">
        <v>46055</v>
      </c>
    </row>
    <row r="2101" spans="2:15" hidden="1" x14ac:dyDescent="0.3">
      <c r="B2101">
        <v>2495068</v>
      </c>
      <c r="C2101" t="s">
        <v>231</v>
      </c>
      <c r="D2101">
        <v>69493</v>
      </c>
      <c r="E2101" t="s">
        <v>150</v>
      </c>
      <c r="F2101" t="s">
        <v>271</v>
      </c>
      <c r="G2101" s="28">
        <v>17</v>
      </c>
      <c r="H2101" s="32">
        <v>2.08</v>
      </c>
      <c r="I2101" s="32">
        <v>300.16000000000003</v>
      </c>
      <c r="J2101" t="s">
        <v>239</v>
      </c>
      <c r="K2101" t="s">
        <v>245</v>
      </c>
      <c r="L2101" t="s">
        <v>235</v>
      </c>
      <c r="M2101" t="s">
        <v>236</v>
      </c>
      <c r="N2101" t="s">
        <v>237</v>
      </c>
      <c r="O2101" s="27">
        <v>46055</v>
      </c>
    </row>
    <row r="2102" spans="2:15" hidden="1" x14ac:dyDescent="0.3">
      <c r="B2102">
        <v>2051406</v>
      </c>
      <c r="C2102" t="s">
        <v>231</v>
      </c>
      <c r="D2102">
        <v>25104</v>
      </c>
      <c r="E2102" t="s">
        <v>150</v>
      </c>
      <c r="F2102" t="s">
        <v>164</v>
      </c>
      <c r="G2102" s="28">
        <v>4</v>
      </c>
      <c r="H2102" s="32">
        <v>2.08</v>
      </c>
      <c r="I2102" s="32">
        <v>183.32</v>
      </c>
      <c r="J2102" t="s">
        <v>239</v>
      </c>
      <c r="K2102" t="s">
        <v>245</v>
      </c>
      <c r="L2102" t="s">
        <v>235</v>
      </c>
      <c r="M2102" t="s">
        <v>236</v>
      </c>
      <c r="N2102" t="s">
        <v>240</v>
      </c>
      <c r="O2102" s="27">
        <v>46055</v>
      </c>
    </row>
    <row r="2103" spans="2:15" hidden="1" x14ac:dyDescent="0.3">
      <c r="B2103">
        <v>2603913</v>
      </c>
      <c r="C2103" t="s">
        <v>231</v>
      </c>
      <c r="D2103">
        <v>69519</v>
      </c>
      <c r="E2103" t="s">
        <v>150</v>
      </c>
      <c r="F2103" t="s">
        <v>325</v>
      </c>
      <c r="G2103" s="28">
        <v>15</v>
      </c>
      <c r="H2103" s="32">
        <v>2.08</v>
      </c>
      <c r="I2103" s="32">
        <v>129.94</v>
      </c>
      <c r="J2103" t="s">
        <v>267</v>
      </c>
      <c r="K2103" t="s">
        <v>245</v>
      </c>
      <c r="L2103" t="s">
        <v>235</v>
      </c>
      <c r="M2103" t="s">
        <v>236</v>
      </c>
      <c r="N2103" t="s">
        <v>240</v>
      </c>
      <c r="O2103" s="27">
        <v>46063</v>
      </c>
    </row>
    <row r="2104" spans="2:15" hidden="1" x14ac:dyDescent="0.3">
      <c r="B2104">
        <v>4381878</v>
      </c>
      <c r="C2104" t="s">
        <v>231</v>
      </c>
      <c r="D2104">
        <v>74304</v>
      </c>
      <c r="E2104" t="s">
        <v>150</v>
      </c>
      <c r="F2104" t="s">
        <v>298</v>
      </c>
      <c r="G2104" s="28">
        <v>11</v>
      </c>
      <c r="H2104" s="32">
        <v>2.0699999999999998</v>
      </c>
      <c r="I2104" s="32">
        <v>195.72</v>
      </c>
      <c r="J2104" t="s">
        <v>239</v>
      </c>
      <c r="K2104" t="s">
        <v>245</v>
      </c>
      <c r="L2104" t="s">
        <v>235</v>
      </c>
      <c r="M2104" t="s">
        <v>236</v>
      </c>
      <c r="N2104" t="s">
        <v>240</v>
      </c>
      <c r="O2104" s="27">
        <v>46072</v>
      </c>
    </row>
    <row r="2105" spans="2:15" hidden="1" x14ac:dyDescent="0.3">
      <c r="B2105">
        <v>215083</v>
      </c>
      <c r="C2105" t="s">
        <v>231</v>
      </c>
      <c r="D2105">
        <v>23410</v>
      </c>
      <c r="E2105" t="s">
        <v>150</v>
      </c>
      <c r="F2105" t="s">
        <v>164</v>
      </c>
      <c r="G2105" s="28">
        <v>8</v>
      </c>
      <c r="H2105" s="32">
        <v>2.0699999999999998</v>
      </c>
      <c r="I2105" s="32">
        <v>366.65</v>
      </c>
      <c r="J2105" t="s">
        <v>239</v>
      </c>
      <c r="K2105" t="s">
        <v>245</v>
      </c>
      <c r="L2105" t="s">
        <v>235</v>
      </c>
      <c r="M2105" t="s">
        <v>236</v>
      </c>
      <c r="N2105" t="s">
        <v>240</v>
      </c>
      <c r="O2105" s="27">
        <v>46055</v>
      </c>
    </row>
    <row r="2106" spans="2:15" hidden="1" x14ac:dyDescent="0.3">
      <c r="B2106">
        <v>4686193</v>
      </c>
      <c r="C2106" t="s">
        <v>231</v>
      </c>
      <c r="D2106">
        <v>21468</v>
      </c>
      <c r="E2106" t="s">
        <v>150</v>
      </c>
      <c r="F2106" t="s">
        <v>319</v>
      </c>
      <c r="G2106" s="28">
        <v>8</v>
      </c>
      <c r="H2106" s="32">
        <v>2.0699999999999998</v>
      </c>
      <c r="I2106" s="32">
        <v>322.93</v>
      </c>
      <c r="J2106" t="s">
        <v>239</v>
      </c>
      <c r="K2106" t="s">
        <v>245</v>
      </c>
      <c r="L2106" t="s">
        <v>235</v>
      </c>
      <c r="M2106" t="s">
        <v>236</v>
      </c>
      <c r="N2106" t="s">
        <v>240</v>
      </c>
      <c r="O2106" s="27">
        <v>46063</v>
      </c>
    </row>
    <row r="2107" spans="2:15" x14ac:dyDescent="0.3">
      <c r="B2107">
        <v>3105908</v>
      </c>
      <c r="C2107" t="s">
        <v>231</v>
      </c>
      <c r="D2107">
        <v>22103</v>
      </c>
      <c r="E2107" t="s">
        <v>150</v>
      </c>
      <c r="F2107" t="s">
        <v>287</v>
      </c>
      <c r="G2107" s="28">
        <v>7</v>
      </c>
      <c r="H2107" s="32">
        <v>2.06</v>
      </c>
      <c r="I2107" s="32">
        <v>219.61</v>
      </c>
      <c r="J2107" t="s">
        <v>239</v>
      </c>
      <c r="K2107" t="s">
        <v>245</v>
      </c>
      <c r="L2107" t="s">
        <v>235</v>
      </c>
      <c r="M2107" t="s">
        <v>236</v>
      </c>
      <c r="N2107" t="s">
        <v>237</v>
      </c>
      <c r="O2107" s="27">
        <v>46063</v>
      </c>
    </row>
    <row r="2108" spans="2:15" hidden="1" x14ac:dyDescent="0.3">
      <c r="B2108">
        <v>5934364</v>
      </c>
      <c r="C2108" t="s">
        <v>231</v>
      </c>
      <c r="D2108">
        <v>72444</v>
      </c>
      <c r="E2108" t="s">
        <v>150</v>
      </c>
      <c r="F2108" t="s">
        <v>369</v>
      </c>
      <c r="G2108" s="28">
        <v>2</v>
      </c>
      <c r="H2108" s="32">
        <v>2.06</v>
      </c>
      <c r="I2108" s="32">
        <v>103.37</v>
      </c>
      <c r="J2108" t="s">
        <v>239</v>
      </c>
      <c r="K2108" t="s">
        <v>245</v>
      </c>
      <c r="L2108" t="s">
        <v>235</v>
      </c>
      <c r="M2108" t="s">
        <v>236</v>
      </c>
      <c r="N2108" t="s">
        <v>240</v>
      </c>
      <c r="O2108" s="27">
        <v>46055</v>
      </c>
    </row>
    <row r="2109" spans="2:15" hidden="1" x14ac:dyDescent="0.3">
      <c r="B2109">
        <v>15974810</v>
      </c>
      <c r="C2109" t="s">
        <v>231</v>
      </c>
      <c r="D2109">
        <v>49894</v>
      </c>
      <c r="E2109" t="s">
        <v>150</v>
      </c>
      <c r="F2109" t="s">
        <v>424</v>
      </c>
      <c r="G2109" s="28">
        <v>16</v>
      </c>
      <c r="H2109" s="32">
        <v>2.06</v>
      </c>
      <c r="I2109" s="32">
        <v>345.81</v>
      </c>
      <c r="J2109" t="s">
        <v>330</v>
      </c>
      <c r="K2109" t="s">
        <v>245</v>
      </c>
      <c r="L2109" t="s">
        <v>235</v>
      </c>
      <c r="M2109" t="s">
        <v>236</v>
      </c>
      <c r="N2109" t="s">
        <v>240</v>
      </c>
      <c r="O2109" s="27">
        <v>46062</v>
      </c>
    </row>
    <row r="2110" spans="2:15" hidden="1" x14ac:dyDescent="0.3">
      <c r="B2110">
        <v>54685</v>
      </c>
      <c r="C2110" t="s">
        <v>260</v>
      </c>
      <c r="D2110">
        <v>22674</v>
      </c>
      <c r="E2110" t="s">
        <v>150</v>
      </c>
      <c r="F2110" t="s">
        <v>395</v>
      </c>
      <c r="G2110" s="28">
        <v>55</v>
      </c>
      <c r="H2110" s="32">
        <v>2.06</v>
      </c>
      <c r="I2110" s="32">
        <v>355.85</v>
      </c>
      <c r="J2110" t="s">
        <v>330</v>
      </c>
      <c r="K2110" t="s">
        <v>234</v>
      </c>
      <c r="L2110" t="s">
        <v>235</v>
      </c>
      <c r="M2110" t="s">
        <v>236</v>
      </c>
      <c r="N2110" t="s">
        <v>237</v>
      </c>
      <c r="O2110" s="27">
        <v>46063</v>
      </c>
    </row>
    <row r="2111" spans="2:15" hidden="1" x14ac:dyDescent="0.3">
      <c r="B2111">
        <v>6027332</v>
      </c>
      <c r="C2111" t="s">
        <v>231</v>
      </c>
      <c r="D2111">
        <v>23410</v>
      </c>
      <c r="E2111" t="s">
        <v>150</v>
      </c>
      <c r="F2111" t="s">
        <v>274</v>
      </c>
      <c r="G2111" s="28">
        <v>26</v>
      </c>
      <c r="H2111" s="32">
        <v>2.0499999999999998</v>
      </c>
      <c r="I2111" s="32">
        <v>381.6</v>
      </c>
      <c r="J2111" t="s">
        <v>239</v>
      </c>
      <c r="K2111" t="s">
        <v>245</v>
      </c>
      <c r="L2111" t="s">
        <v>235</v>
      </c>
      <c r="M2111" t="s">
        <v>236</v>
      </c>
      <c r="N2111" t="s">
        <v>240</v>
      </c>
      <c r="O2111" s="27">
        <v>46055</v>
      </c>
    </row>
    <row r="2112" spans="2:15" hidden="1" x14ac:dyDescent="0.3">
      <c r="B2112">
        <v>4381878</v>
      </c>
      <c r="C2112" t="s">
        <v>231</v>
      </c>
      <c r="D2112">
        <v>74304</v>
      </c>
      <c r="E2112" t="s">
        <v>150</v>
      </c>
      <c r="F2112" t="s">
        <v>163</v>
      </c>
      <c r="G2112" s="28">
        <v>14</v>
      </c>
      <c r="H2112" s="32">
        <v>2.0299999999999998</v>
      </c>
      <c r="I2112" s="32">
        <v>199.22</v>
      </c>
      <c r="J2112" t="s">
        <v>239</v>
      </c>
      <c r="K2112" t="s">
        <v>245</v>
      </c>
      <c r="L2112" t="s">
        <v>235</v>
      </c>
      <c r="M2112" t="s">
        <v>236</v>
      </c>
      <c r="N2112" t="s">
        <v>237</v>
      </c>
      <c r="O2112" s="27">
        <v>46072</v>
      </c>
    </row>
    <row r="2113" spans="2:15" hidden="1" x14ac:dyDescent="0.3">
      <c r="B2113">
        <v>3306352</v>
      </c>
      <c r="C2113" t="s">
        <v>231</v>
      </c>
      <c r="D2113">
        <v>21468</v>
      </c>
      <c r="E2113" t="s">
        <v>150</v>
      </c>
      <c r="F2113" t="s">
        <v>282</v>
      </c>
      <c r="G2113" s="28">
        <v>2</v>
      </c>
      <c r="H2113" s="32">
        <v>2.0299999999999998</v>
      </c>
      <c r="I2113" s="32">
        <v>101.72</v>
      </c>
      <c r="J2113" t="s">
        <v>239</v>
      </c>
      <c r="K2113" t="s">
        <v>245</v>
      </c>
      <c r="L2113" t="s">
        <v>235</v>
      </c>
      <c r="M2113" t="s">
        <v>236</v>
      </c>
      <c r="N2113" t="s">
        <v>240</v>
      </c>
      <c r="O2113" s="27">
        <v>46055</v>
      </c>
    </row>
    <row r="2114" spans="2:15" hidden="1" x14ac:dyDescent="0.3">
      <c r="B2114">
        <v>4381878</v>
      </c>
      <c r="C2114" t="s">
        <v>231</v>
      </c>
      <c r="D2114">
        <v>74304</v>
      </c>
      <c r="E2114" t="s">
        <v>150</v>
      </c>
      <c r="F2114" t="s">
        <v>282</v>
      </c>
      <c r="G2114" s="28">
        <v>2</v>
      </c>
      <c r="H2114" s="32">
        <v>2.0299999999999998</v>
      </c>
      <c r="I2114" s="32">
        <v>101.72</v>
      </c>
      <c r="J2114" t="s">
        <v>239</v>
      </c>
      <c r="K2114" t="s">
        <v>245</v>
      </c>
      <c r="L2114" t="s">
        <v>235</v>
      </c>
      <c r="M2114" t="s">
        <v>236</v>
      </c>
      <c r="N2114" t="s">
        <v>240</v>
      </c>
      <c r="O2114" s="27">
        <v>46055</v>
      </c>
    </row>
    <row r="2115" spans="2:15" hidden="1" x14ac:dyDescent="0.3">
      <c r="B2115">
        <v>6024970</v>
      </c>
      <c r="C2115" t="s">
        <v>260</v>
      </c>
      <c r="D2115">
        <v>72444</v>
      </c>
      <c r="E2115" t="s">
        <v>150</v>
      </c>
      <c r="F2115" t="s">
        <v>160</v>
      </c>
      <c r="G2115" s="28">
        <v>3</v>
      </c>
      <c r="H2115" s="32">
        <v>2.0299999999999998</v>
      </c>
      <c r="I2115" s="32">
        <v>254.55</v>
      </c>
      <c r="J2115" t="s">
        <v>239</v>
      </c>
      <c r="K2115" t="s">
        <v>245</v>
      </c>
      <c r="L2115" t="s">
        <v>235</v>
      </c>
      <c r="M2115" t="s">
        <v>236</v>
      </c>
      <c r="N2115" t="s">
        <v>240</v>
      </c>
      <c r="O2115" s="27">
        <v>46055</v>
      </c>
    </row>
    <row r="2116" spans="2:15" hidden="1" x14ac:dyDescent="0.3">
      <c r="B2116">
        <v>5979107</v>
      </c>
      <c r="C2116" t="s">
        <v>231</v>
      </c>
      <c r="D2116">
        <v>35984</v>
      </c>
      <c r="E2116" t="s">
        <v>150</v>
      </c>
      <c r="F2116" t="s">
        <v>320</v>
      </c>
      <c r="G2116" s="28">
        <v>3</v>
      </c>
      <c r="H2116" s="32">
        <v>2.02</v>
      </c>
      <c r="I2116" s="32">
        <v>122.19</v>
      </c>
      <c r="J2116" t="s">
        <v>239</v>
      </c>
      <c r="K2116" t="s">
        <v>245</v>
      </c>
      <c r="L2116" t="s">
        <v>235</v>
      </c>
      <c r="M2116" t="s">
        <v>236</v>
      </c>
      <c r="N2116" t="s">
        <v>237</v>
      </c>
      <c r="O2116" s="27">
        <v>46055</v>
      </c>
    </row>
    <row r="2117" spans="2:15" hidden="1" x14ac:dyDescent="0.3">
      <c r="B2117">
        <v>2590120</v>
      </c>
      <c r="C2117" t="s">
        <v>231</v>
      </c>
      <c r="D2117">
        <v>96553</v>
      </c>
      <c r="E2117" t="s">
        <v>150</v>
      </c>
      <c r="F2117" t="s">
        <v>246</v>
      </c>
      <c r="G2117" s="28">
        <v>4</v>
      </c>
      <c r="H2117" s="32">
        <v>2.02</v>
      </c>
      <c r="I2117" s="32">
        <v>147.77000000000001</v>
      </c>
      <c r="J2117" t="s">
        <v>239</v>
      </c>
      <c r="K2117" t="s">
        <v>245</v>
      </c>
      <c r="L2117" t="s">
        <v>235</v>
      </c>
      <c r="M2117" t="s">
        <v>236</v>
      </c>
      <c r="N2117" t="s">
        <v>240</v>
      </c>
      <c r="O2117" s="27">
        <v>46055</v>
      </c>
    </row>
    <row r="2118" spans="2:15" x14ac:dyDescent="0.3">
      <c r="B2118">
        <v>5658854</v>
      </c>
      <c r="C2118" t="s">
        <v>231</v>
      </c>
      <c r="D2118">
        <v>22103</v>
      </c>
      <c r="E2118" t="s">
        <v>150</v>
      </c>
      <c r="F2118" t="s">
        <v>395</v>
      </c>
      <c r="G2118" s="28">
        <v>61</v>
      </c>
      <c r="H2118" s="32">
        <v>2.02</v>
      </c>
      <c r="I2118" s="32">
        <v>402.72</v>
      </c>
      <c r="J2118" t="s">
        <v>330</v>
      </c>
      <c r="K2118" t="s">
        <v>234</v>
      </c>
      <c r="L2118" t="s">
        <v>235</v>
      </c>
      <c r="M2118" t="s">
        <v>236</v>
      </c>
      <c r="N2118" t="s">
        <v>237</v>
      </c>
      <c r="O2118" s="27">
        <v>46076</v>
      </c>
    </row>
    <row r="2119" spans="2:15" hidden="1" x14ac:dyDescent="0.3">
      <c r="B2119">
        <v>2340782</v>
      </c>
      <c r="C2119" t="s">
        <v>231</v>
      </c>
      <c r="D2119">
        <v>49894</v>
      </c>
      <c r="E2119" t="s">
        <v>150</v>
      </c>
      <c r="F2119" t="s">
        <v>319</v>
      </c>
      <c r="G2119" s="28">
        <v>8</v>
      </c>
      <c r="H2119" s="32">
        <v>2.02</v>
      </c>
      <c r="I2119" s="32">
        <v>322.93</v>
      </c>
      <c r="J2119" t="s">
        <v>239</v>
      </c>
      <c r="K2119" t="s">
        <v>245</v>
      </c>
      <c r="L2119" t="s">
        <v>235</v>
      </c>
      <c r="M2119" t="s">
        <v>236</v>
      </c>
      <c r="N2119" t="s">
        <v>240</v>
      </c>
      <c r="O2119" s="27">
        <v>46063</v>
      </c>
    </row>
    <row r="2120" spans="2:15" hidden="1" x14ac:dyDescent="0.3">
      <c r="B2120">
        <v>7088256</v>
      </c>
      <c r="C2120" t="s">
        <v>231</v>
      </c>
      <c r="D2120">
        <v>96553</v>
      </c>
      <c r="E2120" t="s">
        <v>150</v>
      </c>
      <c r="F2120" t="s">
        <v>319</v>
      </c>
      <c r="G2120" s="28">
        <v>6</v>
      </c>
      <c r="H2120" s="32">
        <v>2.02</v>
      </c>
      <c r="I2120" s="32">
        <v>242.32</v>
      </c>
      <c r="J2120" t="s">
        <v>239</v>
      </c>
      <c r="K2120" t="s">
        <v>245</v>
      </c>
      <c r="L2120" t="s">
        <v>235</v>
      </c>
      <c r="M2120" t="s">
        <v>236</v>
      </c>
      <c r="N2120" t="s">
        <v>240</v>
      </c>
      <c r="O2120" s="27">
        <v>46063</v>
      </c>
    </row>
    <row r="2121" spans="2:15" x14ac:dyDescent="0.3">
      <c r="B2121">
        <v>17711901</v>
      </c>
      <c r="C2121" t="s">
        <v>260</v>
      </c>
      <c r="D2121">
        <v>22103</v>
      </c>
      <c r="E2121" t="s">
        <v>150</v>
      </c>
      <c r="F2121" t="s">
        <v>287</v>
      </c>
      <c r="G2121" s="28">
        <v>6</v>
      </c>
      <c r="H2121" s="32">
        <v>2.02</v>
      </c>
      <c r="I2121" s="32">
        <v>188.13</v>
      </c>
      <c r="J2121" t="s">
        <v>239</v>
      </c>
      <c r="K2121" t="s">
        <v>245</v>
      </c>
      <c r="L2121" t="s">
        <v>235</v>
      </c>
      <c r="M2121" t="s">
        <v>236</v>
      </c>
      <c r="N2121" t="s">
        <v>237</v>
      </c>
      <c r="O2121" s="27">
        <v>46063</v>
      </c>
    </row>
    <row r="2122" spans="2:15" hidden="1" x14ac:dyDescent="0.3">
      <c r="B2122">
        <v>542586</v>
      </c>
      <c r="C2122" t="s">
        <v>260</v>
      </c>
      <c r="D2122">
        <v>21468</v>
      </c>
      <c r="E2122" t="s">
        <v>150</v>
      </c>
      <c r="F2122" t="s">
        <v>380</v>
      </c>
      <c r="G2122" s="28">
        <v>22</v>
      </c>
      <c r="H2122" s="32">
        <v>2.02</v>
      </c>
      <c r="I2122" s="32">
        <v>398.64</v>
      </c>
      <c r="J2122" t="s">
        <v>330</v>
      </c>
      <c r="K2122" t="s">
        <v>234</v>
      </c>
      <c r="L2122" t="s">
        <v>235</v>
      </c>
      <c r="M2122" t="s">
        <v>236</v>
      </c>
      <c r="N2122" t="s">
        <v>237</v>
      </c>
      <c r="O2122" s="27">
        <v>46058</v>
      </c>
    </row>
    <row r="2123" spans="2:15" hidden="1" x14ac:dyDescent="0.3">
      <c r="B2123">
        <v>374210</v>
      </c>
      <c r="C2123" t="s">
        <v>260</v>
      </c>
      <c r="D2123">
        <v>24415</v>
      </c>
      <c r="E2123" t="s">
        <v>150</v>
      </c>
      <c r="F2123" t="s">
        <v>161</v>
      </c>
      <c r="G2123" s="28">
        <v>8</v>
      </c>
      <c r="H2123" s="32">
        <v>2.02</v>
      </c>
      <c r="I2123" s="32">
        <v>217.48</v>
      </c>
      <c r="J2123" t="s">
        <v>239</v>
      </c>
      <c r="K2123" t="s">
        <v>245</v>
      </c>
      <c r="L2123" t="s">
        <v>235</v>
      </c>
      <c r="M2123" t="s">
        <v>236</v>
      </c>
      <c r="N2123" t="s">
        <v>237</v>
      </c>
      <c r="O2123" s="27">
        <v>46072</v>
      </c>
    </row>
    <row r="2124" spans="2:15" hidden="1" x14ac:dyDescent="0.3">
      <c r="B2124">
        <v>54685</v>
      </c>
      <c r="C2124" t="s">
        <v>260</v>
      </c>
      <c r="D2124">
        <v>22674</v>
      </c>
      <c r="E2124" t="s">
        <v>150</v>
      </c>
      <c r="F2124" t="s">
        <v>329</v>
      </c>
      <c r="G2124" s="28">
        <v>4</v>
      </c>
      <c r="H2124" s="32">
        <v>2.02</v>
      </c>
      <c r="I2124" s="32">
        <v>348.92</v>
      </c>
      <c r="J2124" t="s">
        <v>330</v>
      </c>
      <c r="K2124" t="s">
        <v>234</v>
      </c>
      <c r="L2124" t="s">
        <v>235</v>
      </c>
      <c r="M2124" t="s">
        <v>236</v>
      </c>
      <c r="N2124" t="s">
        <v>240</v>
      </c>
      <c r="O2124" s="27">
        <v>46063</v>
      </c>
    </row>
    <row r="2125" spans="2:15" hidden="1" x14ac:dyDescent="0.3">
      <c r="B2125">
        <v>2923617</v>
      </c>
      <c r="C2125" t="s">
        <v>231</v>
      </c>
      <c r="D2125">
        <v>37111</v>
      </c>
      <c r="E2125" t="s">
        <v>150</v>
      </c>
      <c r="F2125" t="s">
        <v>369</v>
      </c>
      <c r="G2125" s="28">
        <v>2</v>
      </c>
      <c r="H2125" s="32">
        <v>2.0099999999999998</v>
      </c>
      <c r="I2125" s="32">
        <v>103.37</v>
      </c>
      <c r="J2125" t="s">
        <v>239</v>
      </c>
      <c r="K2125" t="s">
        <v>245</v>
      </c>
      <c r="L2125" t="s">
        <v>235</v>
      </c>
      <c r="M2125" t="s">
        <v>236</v>
      </c>
      <c r="N2125" t="s">
        <v>240</v>
      </c>
      <c r="O2125" s="27">
        <v>46055</v>
      </c>
    </row>
    <row r="2126" spans="2:15" hidden="1" x14ac:dyDescent="0.3">
      <c r="B2126">
        <v>4927477</v>
      </c>
      <c r="C2126" t="s">
        <v>231</v>
      </c>
      <c r="D2126">
        <v>21468</v>
      </c>
      <c r="E2126" t="s">
        <v>150</v>
      </c>
      <c r="F2126" t="s">
        <v>246</v>
      </c>
      <c r="G2126" s="28">
        <v>3</v>
      </c>
      <c r="H2126" s="32">
        <v>2.0099999999999998</v>
      </c>
      <c r="I2126" s="32">
        <v>110.85</v>
      </c>
      <c r="J2126" t="s">
        <v>239</v>
      </c>
      <c r="K2126" t="s">
        <v>245</v>
      </c>
      <c r="L2126" t="s">
        <v>235</v>
      </c>
      <c r="M2126" t="s">
        <v>236</v>
      </c>
      <c r="N2126" t="s">
        <v>237</v>
      </c>
      <c r="O2126" s="27">
        <v>46055</v>
      </c>
    </row>
    <row r="2127" spans="2:15" hidden="1" x14ac:dyDescent="0.3">
      <c r="B2127">
        <v>3461330</v>
      </c>
      <c r="C2127" t="s">
        <v>260</v>
      </c>
      <c r="D2127">
        <v>21468</v>
      </c>
      <c r="E2127" t="s">
        <v>150</v>
      </c>
      <c r="F2127" t="s">
        <v>319</v>
      </c>
      <c r="G2127" s="28">
        <v>7</v>
      </c>
      <c r="H2127" s="32">
        <v>2.0099999999999998</v>
      </c>
      <c r="I2127" s="32">
        <v>282.43</v>
      </c>
      <c r="J2127" t="s">
        <v>239</v>
      </c>
      <c r="K2127" t="s">
        <v>245</v>
      </c>
      <c r="L2127" t="s">
        <v>235</v>
      </c>
      <c r="M2127" t="s">
        <v>236</v>
      </c>
      <c r="N2127" t="s">
        <v>240</v>
      </c>
      <c r="O2127" s="27">
        <v>46063</v>
      </c>
    </row>
    <row r="2128" spans="2:15" x14ac:dyDescent="0.3">
      <c r="B2128">
        <v>3105908</v>
      </c>
      <c r="C2128" t="s">
        <v>231</v>
      </c>
      <c r="D2128">
        <v>22103</v>
      </c>
      <c r="E2128" t="s">
        <v>150</v>
      </c>
      <c r="F2128" t="s">
        <v>319</v>
      </c>
      <c r="G2128" s="28">
        <v>6</v>
      </c>
      <c r="H2128" s="32">
        <v>2</v>
      </c>
      <c r="I2128" s="32">
        <v>242.32</v>
      </c>
      <c r="J2128" t="s">
        <v>239</v>
      </c>
      <c r="K2128" t="s">
        <v>245</v>
      </c>
      <c r="L2128" t="s">
        <v>235</v>
      </c>
      <c r="M2128" t="s">
        <v>236</v>
      </c>
      <c r="N2128" t="s">
        <v>240</v>
      </c>
      <c r="O2128" s="27">
        <v>46063</v>
      </c>
    </row>
    <row r="2129" spans="2:15" hidden="1" x14ac:dyDescent="0.3">
      <c r="B2129">
        <v>3824485</v>
      </c>
      <c r="C2129" t="s">
        <v>260</v>
      </c>
      <c r="D2129">
        <v>69579</v>
      </c>
      <c r="E2129" t="s">
        <v>150</v>
      </c>
      <c r="F2129" t="s">
        <v>318</v>
      </c>
      <c r="G2129" s="28">
        <v>1</v>
      </c>
      <c r="H2129" s="32">
        <v>2</v>
      </c>
      <c r="I2129" s="32">
        <v>153.5</v>
      </c>
      <c r="J2129" t="s">
        <v>239</v>
      </c>
      <c r="K2129" t="s">
        <v>245</v>
      </c>
      <c r="L2129" t="s">
        <v>235</v>
      </c>
      <c r="M2129" t="s">
        <v>236</v>
      </c>
      <c r="N2129" t="s">
        <v>237</v>
      </c>
      <c r="O2129" s="27">
        <v>46072</v>
      </c>
    </row>
    <row r="2130" spans="2:15" hidden="1" x14ac:dyDescent="0.3">
      <c r="B2130">
        <v>3270381</v>
      </c>
      <c r="C2130" t="s">
        <v>260</v>
      </c>
      <c r="D2130">
        <v>21559</v>
      </c>
      <c r="E2130" t="s">
        <v>150</v>
      </c>
      <c r="F2130" t="s">
        <v>339</v>
      </c>
      <c r="G2130" s="28">
        <v>3</v>
      </c>
      <c r="H2130" s="32">
        <v>2</v>
      </c>
      <c r="I2130" s="32">
        <v>233.31</v>
      </c>
      <c r="J2130" t="s">
        <v>267</v>
      </c>
      <c r="K2130" t="s">
        <v>245</v>
      </c>
      <c r="L2130" t="s">
        <v>235</v>
      </c>
      <c r="M2130" t="s">
        <v>236</v>
      </c>
      <c r="N2130" t="s">
        <v>237</v>
      </c>
      <c r="O2130" s="27">
        <v>46057</v>
      </c>
    </row>
    <row r="2131" spans="2:15" hidden="1" x14ac:dyDescent="0.3">
      <c r="B2131">
        <v>5934364</v>
      </c>
      <c r="C2131" t="s">
        <v>231</v>
      </c>
      <c r="D2131">
        <v>72444</v>
      </c>
      <c r="E2131" t="s">
        <v>150</v>
      </c>
      <c r="F2131" t="s">
        <v>282</v>
      </c>
      <c r="G2131" s="28">
        <v>2</v>
      </c>
      <c r="H2131" s="32">
        <v>1.99</v>
      </c>
      <c r="I2131" s="32">
        <v>101.72</v>
      </c>
      <c r="J2131" t="s">
        <v>239</v>
      </c>
      <c r="K2131" t="s">
        <v>245</v>
      </c>
      <c r="L2131" t="s">
        <v>235</v>
      </c>
      <c r="M2131" t="s">
        <v>236</v>
      </c>
      <c r="N2131" t="s">
        <v>240</v>
      </c>
      <c r="O2131" s="27">
        <v>46055</v>
      </c>
    </row>
    <row r="2132" spans="2:15" hidden="1" x14ac:dyDescent="0.3">
      <c r="B2132">
        <v>2603913</v>
      </c>
      <c r="C2132" t="s">
        <v>231</v>
      </c>
      <c r="D2132">
        <v>69519</v>
      </c>
      <c r="E2132" t="s">
        <v>150</v>
      </c>
      <c r="F2132" t="s">
        <v>426</v>
      </c>
      <c r="G2132" s="28">
        <v>3</v>
      </c>
      <c r="H2132" s="32">
        <v>1.99</v>
      </c>
      <c r="I2132" s="32">
        <v>247.71</v>
      </c>
      <c r="J2132" t="s">
        <v>267</v>
      </c>
      <c r="K2132" t="s">
        <v>245</v>
      </c>
      <c r="L2132" t="s">
        <v>235</v>
      </c>
      <c r="M2132" t="s">
        <v>236</v>
      </c>
      <c r="N2132" t="s">
        <v>240</v>
      </c>
      <c r="O2132" s="27">
        <v>46063</v>
      </c>
    </row>
    <row r="2133" spans="2:15" hidden="1" x14ac:dyDescent="0.3">
      <c r="B2133">
        <v>6024970</v>
      </c>
      <c r="C2133" t="s">
        <v>260</v>
      </c>
      <c r="D2133">
        <v>72444</v>
      </c>
      <c r="E2133" t="s">
        <v>150</v>
      </c>
      <c r="F2133" t="s">
        <v>287</v>
      </c>
      <c r="G2133" s="28">
        <v>8</v>
      </c>
      <c r="H2133" s="32">
        <v>1.99</v>
      </c>
      <c r="I2133" s="32">
        <v>249.71</v>
      </c>
      <c r="J2133" t="s">
        <v>239</v>
      </c>
      <c r="K2133" t="s">
        <v>245</v>
      </c>
      <c r="L2133" t="s">
        <v>235</v>
      </c>
      <c r="M2133" t="s">
        <v>236</v>
      </c>
      <c r="N2133" t="s">
        <v>237</v>
      </c>
      <c r="O2133" s="27">
        <v>46055</v>
      </c>
    </row>
    <row r="2134" spans="2:15" hidden="1" x14ac:dyDescent="0.3">
      <c r="B2134">
        <v>74468</v>
      </c>
      <c r="C2134" t="s">
        <v>260</v>
      </c>
      <c r="D2134">
        <v>69519</v>
      </c>
      <c r="E2134" t="s">
        <v>150</v>
      </c>
      <c r="F2134" t="s">
        <v>164</v>
      </c>
      <c r="G2134" s="28">
        <v>10</v>
      </c>
      <c r="H2134" s="32">
        <v>1.99</v>
      </c>
      <c r="I2134" s="32">
        <v>486</v>
      </c>
      <c r="J2134" t="s">
        <v>239</v>
      </c>
      <c r="K2134" t="s">
        <v>245</v>
      </c>
      <c r="L2134" t="s">
        <v>235</v>
      </c>
      <c r="M2134" t="s">
        <v>236</v>
      </c>
      <c r="N2134" t="s">
        <v>240</v>
      </c>
      <c r="O2134" s="27">
        <v>46063</v>
      </c>
    </row>
    <row r="2135" spans="2:15" hidden="1" x14ac:dyDescent="0.3">
      <c r="B2135">
        <v>2278263</v>
      </c>
      <c r="C2135" t="s">
        <v>231</v>
      </c>
      <c r="D2135">
        <v>22674</v>
      </c>
      <c r="E2135" t="s">
        <v>150</v>
      </c>
      <c r="F2135" t="s">
        <v>271</v>
      </c>
      <c r="G2135" s="28">
        <v>12</v>
      </c>
      <c r="H2135" s="32">
        <v>1.98</v>
      </c>
      <c r="I2135" s="32">
        <v>221.54</v>
      </c>
      <c r="J2135" t="s">
        <v>239</v>
      </c>
      <c r="K2135" t="s">
        <v>245</v>
      </c>
      <c r="L2135" t="s">
        <v>235</v>
      </c>
      <c r="M2135" t="s">
        <v>236</v>
      </c>
      <c r="N2135" t="s">
        <v>237</v>
      </c>
      <c r="O2135" s="27">
        <v>46063</v>
      </c>
    </row>
    <row r="2136" spans="2:15" hidden="1" x14ac:dyDescent="0.3">
      <c r="B2136">
        <v>2923617</v>
      </c>
      <c r="C2136" t="s">
        <v>231</v>
      </c>
      <c r="D2136">
        <v>37111</v>
      </c>
      <c r="E2136" t="s">
        <v>150</v>
      </c>
      <c r="F2136" t="s">
        <v>282</v>
      </c>
      <c r="G2136" s="28">
        <v>2</v>
      </c>
      <c r="H2136" s="32">
        <v>1.98</v>
      </c>
      <c r="I2136" s="32">
        <v>101.72</v>
      </c>
      <c r="J2136" t="s">
        <v>239</v>
      </c>
      <c r="K2136" t="s">
        <v>245</v>
      </c>
      <c r="L2136" t="s">
        <v>235</v>
      </c>
      <c r="M2136" t="s">
        <v>236</v>
      </c>
      <c r="N2136" t="s">
        <v>240</v>
      </c>
      <c r="O2136" s="27">
        <v>46055</v>
      </c>
    </row>
    <row r="2137" spans="2:15" hidden="1" x14ac:dyDescent="0.3">
      <c r="B2137">
        <v>9673848</v>
      </c>
      <c r="C2137" t="s">
        <v>231</v>
      </c>
      <c r="D2137">
        <v>22674</v>
      </c>
      <c r="E2137" t="s">
        <v>150</v>
      </c>
      <c r="F2137" t="s">
        <v>164</v>
      </c>
      <c r="G2137" s="28">
        <v>4</v>
      </c>
      <c r="H2137" s="32">
        <v>1.98</v>
      </c>
      <c r="I2137" s="32">
        <v>194.42</v>
      </c>
      <c r="J2137" t="s">
        <v>239</v>
      </c>
      <c r="K2137" t="s">
        <v>245</v>
      </c>
      <c r="L2137" t="s">
        <v>235</v>
      </c>
      <c r="M2137" t="s">
        <v>236</v>
      </c>
      <c r="N2137" t="s">
        <v>240</v>
      </c>
      <c r="O2137" s="27">
        <v>46063</v>
      </c>
    </row>
    <row r="2138" spans="2:15" hidden="1" x14ac:dyDescent="0.3">
      <c r="B2138">
        <v>4686193</v>
      </c>
      <c r="C2138" t="s">
        <v>231</v>
      </c>
      <c r="D2138">
        <v>21468</v>
      </c>
      <c r="E2138" t="s">
        <v>150</v>
      </c>
      <c r="F2138" t="s">
        <v>337</v>
      </c>
      <c r="G2138" s="28">
        <v>8</v>
      </c>
      <c r="H2138" s="32">
        <v>1.98</v>
      </c>
      <c r="I2138" s="32">
        <v>290.63</v>
      </c>
      <c r="J2138" t="s">
        <v>239</v>
      </c>
      <c r="K2138" t="s">
        <v>245</v>
      </c>
      <c r="L2138" t="s">
        <v>235</v>
      </c>
      <c r="M2138" t="s">
        <v>236</v>
      </c>
      <c r="N2138" t="s">
        <v>237</v>
      </c>
      <c r="O2138" s="27">
        <v>46063</v>
      </c>
    </row>
    <row r="2139" spans="2:15" hidden="1" x14ac:dyDescent="0.3">
      <c r="B2139">
        <v>3274546</v>
      </c>
      <c r="C2139" t="s">
        <v>260</v>
      </c>
      <c r="D2139">
        <v>22674</v>
      </c>
      <c r="E2139" t="s">
        <v>150</v>
      </c>
      <c r="F2139" t="s">
        <v>282</v>
      </c>
      <c r="G2139" s="28">
        <v>10</v>
      </c>
      <c r="H2139" s="32">
        <v>1.98</v>
      </c>
      <c r="I2139" s="32">
        <v>510.82</v>
      </c>
      <c r="J2139" t="s">
        <v>239</v>
      </c>
      <c r="K2139" t="s">
        <v>245</v>
      </c>
      <c r="L2139" t="s">
        <v>235</v>
      </c>
      <c r="M2139" t="s">
        <v>236</v>
      </c>
      <c r="N2139" t="s">
        <v>237</v>
      </c>
      <c r="O2139" s="27">
        <v>46063</v>
      </c>
    </row>
    <row r="2140" spans="2:15" hidden="1" x14ac:dyDescent="0.3">
      <c r="B2140">
        <v>325473</v>
      </c>
      <c r="C2140" t="s">
        <v>231</v>
      </c>
      <c r="D2140">
        <v>22674</v>
      </c>
      <c r="E2140" t="s">
        <v>150</v>
      </c>
      <c r="F2140" t="s">
        <v>355</v>
      </c>
      <c r="G2140" s="28">
        <v>18</v>
      </c>
      <c r="H2140" s="32">
        <v>1.97</v>
      </c>
      <c r="I2140" s="32">
        <v>179.82</v>
      </c>
      <c r="J2140" t="s">
        <v>267</v>
      </c>
      <c r="K2140" t="s">
        <v>245</v>
      </c>
      <c r="L2140" t="s">
        <v>235</v>
      </c>
      <c r="M2140" t="s">
        <v>236</v>
      </c>
      <c r="N2140" t="s">
        <v>237</v>
      </c>
      <c r="O2140" s="27">
        <v>46056</v>
      </c>
    </row>
    <row r="2141" spans="2:15" hidden="1" x14ac:dyDescent="0.3">
      <c r="B2141">
        <v>2013549</v>
      </c>
      <c r="C2141" t="s">
        <v>231</v>
      </c>
      <c r="D2141">
        <v>23648</v>
      </c>
      <c r="E2141" t="s">
        <v>150</v>
      </c>
      <c r="F2141" t="s">
        <v>395</v>
      </c>
      <c r="G2141" s="28">
        <v>60</v>
      </c>
      <c r="H2141" s="32">
        <v>1.97</v>
      </c>
      <c r="I2141" s="32">
        <v>383.4</v>
      </c>
      <c r="J2141" t="s">
        <v>330</v>
      </c>
      <c r="K2141" t="s">
        <v>234</v>
      </c>
      <c r="L2141" t="s">
        <v>235</v>
      </c>
      <c r="M2141" t="s">
        <v>236</v>
      </c>
      <c r="N2141" t="s">
        <v>237</v>
      </c>
      <c r="O2141" s="27">
        <v>46059</v>
      </c>
    </row>
    <row r="2142" spans="2:15" hidden="1" x14ac:dyDescent="0.3">
      <c r="B2142">
        <v>325473</v>
      </c>
      <c r="C2142" t="s">
        <v>231</v>
      </c>
      <c r="D2142">
        <v>22674</v>
      </c>
      <c r="E2142" t="s">
        <v>150</v>
      </c>
      <c r="F2142" t="s">
        <v>373</v>
      </c>
      <c r="G2142" s="28">
        <v>18</v>
      </c>
      <c r="H2142" s="32">
        <v>1.97</v>
      </c>
      <c r="I2142" s="32">
        <v>178.38</v>
      </c>
      <c r="J2142" t="s">
        <v>267</v>
      </c>
      <c r="K2142" t="s">
        <v>245</v>
      </c>
      <c r="L2142" t="s">
        <v>235</v>
      </c>
      <c r="M2142" t="s">
        <v>236</v>
      </c>
      <c r="N2142" t="s">
        <v>237</v>
      </c>
      <c r="O2142" s="27">
        <v>46056</v>
      </c>
    </row>
    <row r="2143" spans="2:15" hidden="1" x14ac:dyDescent="0.3">
      <c r="B2143">
        <v>389066</v>
      </c>
      <c r="C2143" t="s">
        <v>260</v>
      </c>
      <c r="D2143">
        <v>21559</v>
      </c>
      <c r="E2143" t="s">
        <v>150</v>
      </c>
      <c r="F2143" t="s">
        <v>254</v>
      </c>
      <c r="G2143" s="28">
        <v>9</v>
      </c>
      <c r="H2143" s="32">
        <v>1.97</v>
      </c>
      <c r="I2143" s="32">
        <v>195.01</v>
      </c>
      <c r="J2143" t="s">
        <v>239</v>
      </c>
      <c r="K2143" t="s">
        <v>245</v>
      </c>
      <c r="L2143" t="s">
        <v>235</v>
      </c>
      <c r="M2143" t="s">
        <v>236</v>
      </c>
      <c r="N2143" t="s">
        <v>237</v>
      </c>
      <c r="O2143" s="27">
        <v>46072</v>
      </c>
    </row>
    <row r="2144" spans="2:15" hidden="1" x14ac:dyDescent="0.3">
      <c r="B2144">
        <v>18702217</v>
      </c>
      <c r="C2144" t="s">
        <v>260</v>
      </c>
      <c r="D2144">
        <v>74304</v>
      </c>
      <c r="E2144" t="s">
        <v>150</v>
      </c>
      <c r="F2144" t="s">
        <v>246</v>
      </c>
      <c r="G2144" s="28">
        <v>8</v>
      </c>
      <c r="H2144" s="32">
        <v>1.97</v>
      </c>
      <c r="I2144" s="32">
        <v>295.55</v>
      </c>
      <c r="J2144" t="s">
        <v>239</v>
      </c>
      <c r="K2144" t="s">
        <v>245</v>
      </c>
      <c r="L2144" t="s">
        <v>235</v>
      </c>
      <c r="M2144" t="s">
        <v>236</v>
      </c>
      <c r="N2144" t="s">
        <v>240</v>
      </c>
      <c r="O2144" s="27">
        <v>46055</v>
      </c>
    </row>
    <row r="2145" spans="2:15" hidden="1" x14ac:dyDescent="0.3">
      <c r="B2145">
        <v>2390017</v>
      </c>
      <c r="C2145" t="s">
        <v>231</v>
      </c>
      <c r="D2145">
        <v>69493</v>
      </c>
      <c r="E2145" t="s">
        <v>150</v>
      </c>
      <c r="F2145" t="s">
        <v>271</v>
      </c>
      <c r="G2145" s="28">
        <v>16</v>
      </c>
      <c r="H2145" s="32">
        <v>1.96</v>
      </c>
      <c r="I2145" s="32">
        <v>282.51</v>
      </c>
      <c r="J2145" t="s">
        <v>239</v>
      </c>
      <c r="K2145" t="s">
        <v>245</v>
      </c>
      <c r="L2145" t="s">
        <v>235</v>
      </c>
      <c r="M2145" t="s">
        <v>236</v>
      </c>
      <c r="N2145" t="s">
        <v>237</v>
      </c>
      <c r="O2145" s="27">
        <v>46055</v>
      </c>
    </row>
    <row r="2146" spans="2:15" hidden="1" x14ac:dyDescent="0.3">
      <c r="B2146">
        <v>1579</v>
      </c>
      <c r="C2146" t="s">
        <v>231</v>
      </c>
      <c r="D2146">
        <v>21468</v>
      </c>
      <c r="E2146" t="s">
        <v>150</v>
      </c>
      <c r="F2146" t="s">
        <v>274</v>
      </c>
      <c r="G2146" s="28">
        <v>10</v>
      </c>
      <c r="H2146" s="32">
        <v>1.96</v>
      </c>
      <c r="I2146" s="32">
        <v>146.87</v>
      </c>
      <c r="J2146" t="s">
        <v>239</v>
      </c>
      <c r="K2146" t="s">
        <v>245</v>
      </c>
      <c r="L2146" t="s">
        <v>235</v>
      </c>
      <c r="M2146" t="s">
        <v>236</v>
      </c>
      <c r="N2146" t="s">
        <v>237</v>
      </c>
      <c r="O2146" s="27">
        <v>46055</v>
      </c>
    </row>
    <row r="2147" spans="2:15" hidden="1" x14ac:dyDescent="0.3">
      <c r="B2147">
        <v>6978173</v>
      </c>
      <c r="C2147" t="s">
        <v>231</v>
      </c>
      <c r="D2147">
        <v>38517</v>
      </c>
      <c r="E2147" t="s">
        <v>150</v>
      </c>
      <c r="F2147" t="s">
        <v>337</v>
      </c>
      <c r="G2147" s="28">
        <v>8</v>
      </c>
      <c r="H2147" s="32">
        <v>1.96</v>
      </c>
      <c r="I2147" s="32">
        <v>290.63</v>
      </c>
      <c r="J2147" t="s">
        <v>239</v>
      </c>
      <c r="K2147" t="s">
        <v>245</v>
      </c>
      <c r="L2147" t="s">
        <v>235</v>
      </c>
      <c r="M2147" t="s">
        <v>236</v>
      </c>
      <c r="N2147" t="s">
        <v>237</v>
      </c>
      <c r="O2147" s="27">
        <v>46063</v>
      </c>
    </row>
    <row r="2148" spans="2:15" hidden="1" x14ac:dyDescent="0.3">
      <c r="B2148">
        <v>3321439</v>
      </c>
      <c r="C2148" t="s">
        <v>231</v>
      </c>
      <c r="D2148">
        <v>22674</v>
      </c>
      <c r="E2148" t="s">
        <v>150</v>
      </c>
      <c r="F2148" t="s">
        <v>319</v>
      </c>
      <c r="G2148" s="28">
        <v>7</v>
      </c>
      <c r="H2148" s="32">
        <v>1.96</v>
      </c>
      <c r="I2148" s="32">
        <v>282.43</v>
      </c>
      <c r="J2148" t="s">
        <v>239</v>
      </c>
      <c r="K2148" t="s">
        <v>245</v>
      </c>
      <c r="L2148" t="s">
        <v>235</v>
      </c>
      <c r="M2148" t="s">
        <v>236</v>
      </c>
      <c r="N2148" t="s">
        <v>240</v>
      </c>
      <c r="O2148" s="27">
        <v>46063</v>
      </c>
    </row>
    <row r="2149" spans="2:15" hidden="1" x14ac:dyDescent="0.3">
      <c r="B2149">
        <v>575946</v>
      </c>
      <c r="C2149" t="s">
        <v>231</v>
      </c>
      <c r="D2149">
        <v>25619</v>
      </c>
      <c r="E2149" t="s">
        <v>150</v>
      </c>
      <c r="F2149" t="s">
        <v>274</v>
      </c>
      <c r="G2149" s="28">
        <v>22</v>
      </c>
      <c r="H2149" s="32">
        <v>1.95</v>
      </c>
      <c r="I2149" s="32">
        <v>323.11</v>
      </c>
      <c r="J2149" t="s">
        <v>239</v>
      </c>
      <c r="K2149" t="s">
        <v>245</v>
      </c>
      <c r="L2149" t="s">
        <v>235</v>
      </c>
      <c r="M2149" t="s">
        <v>236</v>
      </c>
      <c r="N2149" t="s">
        <v>237</v>
      </c>
      <c r="O2149" s="27">
        <v>46055</v>
      </c>
    </row>
    <row r="2150" spans="2:15" hidden="1" x14ac:dyDescent="0.3">
      <c r="B2150">
        <v>7131667</v>
      </c>
      <c r="C2150" t="s">
        <v>231</v>
      </c>
      <c r="D2150">
        <v>21468</v>
      </c>
      <c r="E2150" t="s">
        <v>150</v>
      </c>
      <c r="F2150" t="s">
        <v>246</v>
      </c>
      <c r="G2150" s="28">
        <v>3</v>
      </c>
      <c r="H2150" s="32">
        <v>1.95</v>
      </c>
      <c r="I2150" s="32">
        <v>110.85</v>
      </c>
      <c r="J2150" t="s">
        <v>239</v>
      </c>
      <c r="K2150" t="s">
        <v>245</v>
      </c>
      <c r="L2150" t="s">
        <v>235</v>
      </c>
      <c r="M2150" t="s">
        <v>236</v>
      </c>
      <c r="N2150" t="s">
        <v>237</v>
      </c>
      <c r="O2150" s="27">
        <v>46055</v>
      </c>
    </row>
    <row r="2151" spans="2:15" hidden="1" x14ac:dyDescent="0.3">
      <c r="B2151">
        <v>18731282</v>
      </c>
      <c r="C2151" t="s">
        <v>231</v>
      </c>
      <c r="D2151">
        <v>40901</v>
      </c>
      <c r="E2151" t="s">
        <v>150</v>
      </c>
      <c r="F2151" t="s">
        <v>411</v>
      </c>
      <c r="G2151" s="28">
        <v>55</v>
      </c>
      <c r="H2151" s="32">
        <v>1.95</v>
      </c>
      <c r="I2151" s="32">
        <v>358.67</v>
      </c>
      <c r="J2151" t="s">
        <v>239</v>
      </c>
      <c r="K2151" t="s">
        <v>245</v>
      </c>
      <c r="L2151" t="s">
        <v>235</v>
      </c>
      <c r="M2151" t="s">
        <v>236</v>
      </c>
      <c r="N2151" t="s">
        <v>237</v>
      </c>
      <c r="O2151" s="27">
        <v>46055</v>
      </c>
    </row>
    <row r="2152" spans="2:15" hidden="1" x14ac:dyDescent="0.3">
      <c r="B2152">
        <v>2340782</v>
      </c>
      <c r="C2152" t="s">
        <v>231</v>
      </c>
      <c r="D2152">
        <v>49894</v>
      </c>
      <c r="E2152" t="s">
        <v>150</v>
      </c>
      <c r="F2152" t="s">
        <v>337</v>
      </c>
      <c r="G2152" s="28">
        <v>8</v>
      </c>
      <c r="H2152" s="32">
        <v>1.95</v>
      </c>
      <c r="I2152" s="32">
        <v>290.63</v>
      </c>
      <c r="J2152" t="s">
        <v>239</v>
      </c>
      <c r="K2152" t="s">
        <v>245</v>
      </c>
      <c r="L2152" t="s">
        <v>235</v>
      </c>
      <c r="M2152" t="s">
        <v>236</v>
      </c>
      <c r="N2152" t="s">
        <v>237</v>
      </c>
      <c r="O2152" s="27">
        <v>46063</v>
      </c>
    </row>
    <row r="2153" spans="2:15" hidden="1" x14ac:dyDescent="0.3">
      <c r="B2153">
        <v>3918792</v>
      </c>
      <c r="C2153" t="s">
        <v>260</v>
      </c>
      <c r="D2153">
        <v>23648</v>
      </c>
      <c r="E2153" t="s">
        <v>150</v>
      </c>
      <c r="F2153" t="s">
        <v>246</v>
      </c>
      <c r="G2153" s="28">
        <v>3</v>
      </c>
      <c r="H2153" s="32">
        <v>1.95</v>
      </c>
      <c r="I2153" s="32">
        <v>110.85</v>
      </c>
      <c r="J2153" t="s">
        <v>239</v>
      </c>
      <c r="K2153" t="s">
        <v>245</v>
      </c>
      <c r="L2153" t="s">
        <v>235</v>
      </c>
      <c r="M2153" t="s">
        <v>236</v>
      </c>
      <c r="N2153" t="s">
        <v>237</v>
      </c>
      <c r="O2153" s="27">
        <v>46055</v>
      </c>
    </row>
    <row r="2154" spans="2:15" hidden="1" x14ac:dyDescent="0.3">
      <c r="B2154">
        <v>9945666</v>
      </c>
      <c r="C2154" t="s">
        <v>260</v>
      </c>
      <c r="D2154">
        <v>68710</v>
      </c>
      <c r="E2154" t="s">
        <v>150</v>
      </c>
      <c r="F2154" t="s">
        <v>246</v>
      </c>
      <c r="G2154" s="28">
        <v>3</v>
      </c>
      <c r="H2154" s="32">
        <v>1.95</v>
      </c>
      <c r="I2154" s="32">
        <v>110.85</v>
      </c>
      <c r="J2154" t="s">
        <v>239</v>
      </c>
      <c r="K2154" t="s">
        <v>245</v>
      </c>
      <c r="L2154" t="s">
        <v>235</v>
      </c>
      <c r="M2154" t="s">
        <v>236</v>
      </c>
      <c r="N2154" t="s">
        <v>237</v>
      </c>
      <c r="O2154" s="27">
        <v>46055</v>
      </c>
    </row>
    <row r="2155" spans="2:15" hidden="1" x14ac:dyDescent="0.3">
      <c r="B2155">
        <v>325473</v>
      </c>
      <c r="C2155" t="s">
        <v>231</v>
      </c>
      <c r="D2155">
        <v>22674</v>
      </c>
      <c r="E2155" t="s">
        <v>150</v>
      </c>
      <c r="F2155" t="s">
        <v>402</v>
      </c>
      <c r="G2155" s="28">
        <v>18</v>
      </c>
      <c r="H2155" s="32">
        <v>1.94</v>
      </c>
      <c r="I2155" s="32">
        <v>167.86</v>
      </c>
      <c r="J2155" t="s">
        <v>267</v>
      </c>
      <c r="K2155" t="s">
        <v>245</v>
      </c>
      <c r="L2155" t="s">
        <v>235</v>
      </c>
      <c r="M2155" t="s">
        <v>236</v>
      </c>
      <c r="N2155" t="s">
        <v>240</v>
      </c>
      <c r="O2155" s="27">
        <v>46056</v>
      </c>
    </row>
    <row r="2156" spans="2:15" hidden="1" x14ac:dyDescent="0.3">
      <c r="B2156">
        <v>366105</v>
      </c>
      <c r="C2156" t="s">
        <v>231</v>
      </c>
      <c r="D2156">
        <v>69519</v>
      </c>
      <c r="E2156" t="s">
        <v>150</v>
      </c>
      <c r="F2156" t="s">
        <v>386</v>
      </c>
      <c r="G2156" s="28">
        <v>20</v>
      </c>
      <c r="H2156" s="32">
        <v>1.94</v>
      </c>
      <c r="I2156" s="32">
        <v>1948.91</v>
      </c>
      <c r="J2156" t="s">
        <v>267</v>
      </c>
      <c r="K2156" t="s">
        <v>245</v>
      </c>
      <c r="L2156" t="s">
        <v>235</v>
      </c>
      <c r="M2156" t="s">
        <v>236</v>
      </c>
      <c r="N2156" t="s">
        <v>237</v>
      </c>
      <c r="O2156" s="27">
        <v>46063</v>
      </c>
    </row>
    <row r="2157" spans="2:15" hidden="1" x14ac:dyDescent="0.3">
      <c r="B2157">
        <v>4382412</v>
      </c>
      <c r="C2157" t="s">
        <v>231</v>
      </c>
      <c r="D2157">
        <v>49894</v>
      </c>
      <c r="E2157" t="s">
        <v>150</v>
      </c>
      <c r="F2157" t="s">
        <v>337</v>
      </c>
      <c r="G2157" s="28">
        <v>7</v>
      </c>
      <c r="H2157" s="32">
        <v>1.94</v>
      </c>
      <c r="I2157" s="32">
        <v>254.21</v>
      </c>
      <c r="J2157" t="s">
        <v>239</v>
      </c>
      <c r="K2157" t="s">
        <v>245</v>
      </c>
      <c r="L2157" t="s">
        <v>235</v>
      </c>
      <c r="M2157" t="s">
        <v>236</v>
      </c>
      <c r="N2157" t="s">
        <v>237</v>
      </c>
      <c r="O2157" s="27">
        <v>46063</v>
      </c>
    </row>
    <row r="2158" spans="2:15" hidden="1" x14ac:dyDescent="0.3">
      <c r="B2158">
        <v>3430907</v>
      </c>
      <c r="C2158" t="s">
        <v>260</v>
      </c>
      <c r="D2158">
        <v>21468</v>
      </c>
      <c r="E2158" t="s">
        <v>150</v>
      </c>
      <c r="F2158" t="s">
        <v>337</v>
      </c>
      <c r="G2158" s="28">
        <v>8</v>
      </c>
      <c r="H2158" s="32">
        <v>1.94</v>
      </c>
      <c r="I2158" s="32">
        <v>290.63</v>
      </c>
      <c r="J2158" t="s">
        <v>239</v>
      </c>
      <c r="K2158" t="s">
        <v>245</v>
      </c>
      <c r="L2158" t="s">
        <v>235</v>
      </c>
      <c r="M2158" t="s">
        <v>236</v>
      </c>
      <c r="N2158" t="s">
        <v>237</v>
      </c>
      <c r="O2158" s="27">
        <v>46063</v>
      </c>
    </row>
    <row r="2159" spans="2:15" hidden="1" x14ac:dyDescent="0.3">
      <c r="B2159">
        <v>3684655</v>
      </c>
      <c r="C2159" t="s">
        <v>260</v>
      </c>
      <c r="D2159">
        <v>38517</v>
      </c>
      <c r="E2159" t="s">
        <v>150</v>
      </c>
      <c r="F2159" t="s">
        <v>319</v>
      </c>
      <c r="G2159" s="28">
        <v>7</v>
      </c>
      <c r="H2159" s="32">
        <v>1.94</v>
      </c>
      <c r="I2159" s="32">
        <v>282.43</v>
      </c>
      <c r="J2159" t="s">
        <v>239</v>
      </c>
      <c r="K2159" t="s">
        <v>245</v>
      </c>
      <c r="L2159" t="s">
        <v>235</v>
      </c>
      <c r="M2159" t="s">
        <v>236</v>
      </c>
      <c r="N2159" t="s">
        <v>240</v>
      </c>
      <c r="O2159" s="27">
        <v>46063</v>
      </c>
    </row>
    <row r="2160" spans="2:15" hidden="1" x14ac:dyDescent="0.3">
      <c r="B2160">
        <v>4339096</v>
      </c>
      <c r="C2160" t="s">
        <v>231</v>
      </c>
      <c r="D2160">
        <v>25619</v>
      </c>
      <c r="E2160" t="s">
        <v>150</v>
      </c>
      <c r="F2160" t="s">
        <v>337</v>
      </c>
      <c r="G2160" s="28">
        <v>8</v>
      </c>
      <c r="H2160" s="32">
        <v>1.93</v>
      </c>
      <c r="I2160" s="32">
        <v>290.63</v>
      </c>
      <c r="J2160" t="s">
        <v>239</v>
      </c>
      <c r="K2160" t="s">
        <v>245</v>
      </c>
      <c r="L2160" t="s">
        <v>235</v>
      </c>
      <c r="M2160" t="s">
        <v>236</v>
      </c>
      <c r="N2160" t="s">
        <v>237</v>
      </c>
      <c r="O2160" s="27">
        <v>46063</v>
      </c>
    </row>
    <row r="2161" spans="2:15" hidden="1" x14ac:dyDescent="0.3">
      <c r="B2161">
        <v>3343807</v>
      </c>
      <c r="C2161" t="s">
        <v>231</v>
      </c>
      <c r="D2161">
        <v>69519</v>
      </c>
      <c r="E2161" t="s">
        <v>150</v>
      </c>
      <c r="F2161" t="s">
        <v>426</v>
      </c>
      <c r="G2161" s="28">
        <v>6</v>
      </c>
      <c r="H2161" s="32">
        <v>1.92</v>
      </c>
      <c r="I2161" s="32">
        <v>495.7</v>
      </c>
      <c r="J2161" t="s">
        <v>267</v>
      </c>
      <c r="K2161" t="s">
        <v>245</v>
      </c>
      <c r="L2161" t="s">
        <v>235</v>
      </c>
      <c r="M2161" t="s">
        <v>236</v>
      </c>
      <c r="N2161" t="s">
        <v>240</v>
      </c>
      <c r="O2161" s="27">
        <v>46063</v>
      </c>
    </row>
    <row r="2162" spans="2:15" hidden="1" x14ac:dyDescent="0.3">
      <c r="B2162">
        <v>14690888</v>
      </c>
      <c r="C2162" t="s">
        <v>231</v>
      </c>
      <c r="D2162">
        <v>21468</v>
      </c>
      <c r="E2162" t="s">
        <v>150</v>
      </c>
      <c r="F2162" t="s">
        <v>246</v>
      </c>
      <c r="G2162" s="28">
        <v>5</v>
      </c>
      <c r="H2162" s="32">
        <v>1.92</v>
      </c>
      <c r="I2162" s="32">
        <v>184.72</v>
      </c>
      <c r="J2162" t="s">
        <v>239</v>
      </c>
      <c r="K2162" t="s">
        <v>245</v>
      </c>
      <c r="L2162" t="s">
        <v>235</v>
      </c>
      <c r="M2162" t="s">
        <v>236</v>
      </c>
      <c r="N2162" t="s">
        <v>240</v>
      </c>
      <c r="O2162" s="27">
        <v>46055</v>
      </c>
    </row>
    <row r="2163" spans="2:15" hidden="1" x14ac:dyDescent="0.3">
      <c r="B2163">
        <v>7372714</v>
      </c>
      <c r="C2163" t="s">
        <v>231</v>
      </c>
      <c r="D2163">
        <v>22674</v>
      </c>
      <c r="E2163" t="s">
        <v>150</v>
      </c>
      <c r="F2163" t="s">
        <v>337</v>
      </c>
      <c r="G2163" s="28">
        <v>8</v>
      </c>
      <c r="H2163" s="32">
        <v>1.92</v>
      </c>
      <c r="I2163" s="32">
        <v>290.63</v>
      </c>
      <c r="J2163" t="s">
        <v>239</v>
      </c>
      <c r="K2163" t="s">
        <v>245</v>
      </c>
      <c r="L2163" t="s">
        <v>235</v>
      </c>
      <c r="M2163" t="s">
        <v>236</v>
      </c>
      <c r="N2163" t="s">
        <v>237</v>
      </c>
      <c r="O2163" s="27">
        <v>46063</v>
      </c>
    </row>
    <row r="2164" spans="2:15" hidden="1" x14ac:dyDescent="0.3">
      <c r="B2164">
        <v>2051406</v>
      </c>
      <c r="C2164" t="s">
        <v>231</v>
      </c>
      <c r="D2164">
        <v>25104</v>
      </c>
      <c r="E2164" t="s">
        <v>150</v>
      </c>
      <c r="F2164" t="s">
        <v>160</v>
      </c>
      <c r="G2164" s="28">
        <v>2</v>
      </c>
      <c r="H2164" s="32">
        <v>1.92</v>
      </c>
      <c r="I2164" s="32">
        <v>169.7</v>
      </c>
      <c r="J2164" t="s">
        <v>239</v>
      </c>
      <c r="K2164" t="s">
        <v>245</v>
      </c>
      <c r="L2164" t="s">
        <v>235</v>
      </c>
      <c r="M2164" t="s">
        <v>236</v>
      </c>
      <c r="N2164" t="s">
        <v>240</v>
      </c>
      <c r="O2164" s="27">
        <v>46055</v>
      </c>
    </row>
    <row r="2165" spans="2:15" hidden="1" x14ac:dyDescent="0.3">
      <c r="B2165">
        <v>5979107</v>
      </c>
      <c r="C2165" t="s">
        <v>231</v>
      </c>
      <c r="D2165">
        <v>35984</v>
      </c>
      <c r="E2165" t="s">
        <v>150</v>
      </c>
      <c r="F2165" t="s">
        <v>160</v>
      </c>
      <c r="G2165" s="28">
        <v>2</v>
      </c>
      <c r="H2165" s="32">
        <v>1.91</v>
      </c>
      <c r="I2165" s="32">
        <v>169.52</v>
      </c>
      <c r="J2165" t="s">
        <v>239</v>
      </c>
      <c r="K2165" t="s">
        <v>245</v>
      </c>
      <c r="L2165" t="s">
        <v>235</v>
      </c>
      <c r="M2165" t="s">
        <v>236</v>
      </c>
      <c r="N2165" t="s">
        <v>240</v>
      </c>
      <c r="O2165" s="27">
        <v>46055</v>
      </c>
    </row>
    <row r="2166" spans="2:15" hidden="1" x14ac:dyDescent="0.3">
      <c r="B2166">
        <v>3663401</v>
      </c>
      <c r="C2166" t="s">
        <v>231</v>
      </c>
      <c r="D2166">
        <v>21468</v>
      </c>
      <c r="E2166" t="s">
        <v>150</v>
      </c>
      <c r="F2166" t="s">
        <v>164</v>
      </c>
      <c r="G2166" s="28">
        <v>5</v>
      </c>
      <c r="H2166" s="32">
        <v>1.9</v>
      </c>
      <c r="I2166" s="32">
        <v>229.16</v>
      </c>
      <c r="J2166" t="s">
        <v>239</v>
      </c>
      <c r="K2166" t="s">
        <v>245</v>
      </c>
      <c r="L2166" t="s">
        <v>235</v>
      </c>
      <c r="M2166" t="s">
        <v>236</v>
      </c>
      <c r="N2166" t="s">
        <v>240</v>
      </c>
      <c r="O2166" s="27">
        <v>46055</v>
      </c>
    </row>
    <row r="2167" spans="2:15" hidden="1" x14ac:dyDescent="0.3">
      <c r="B2167">
        <v>3914788</v>
      </c>
      <c r="C2167" t="s">
        <v>260</v>
      </c>
      <c r="D2167">
        <v>21468</v>
      </c>
      <c r="E2167" t="s">
        <v>150</v>
      </c>
      <c r="F2167" t="s">
        <v>287</v>
      </c>
      <c r="G2167" s="28">
        <v>5</v>
      </c>
      <c r="H2167" s="32">
        <v>1.9</v>
      </c>
      <c r="I2167" s="32">
        <v>156.85</v>
      </c>
      <c r="J2167" t="s">
        <v>239</v>
      </c>
      <c r="K2167" t="s">
        <v>245</v>
      </c>
      <c r="L2167" t="s">
        <v>235</v>
      </c>
      <c r="M2167" t="s">
        <v>236</v>
      </c>
      <c r="N2167" t="s">
        <v>237</v>
      </c>
      <c r="O2167" s="27">
        <v>46063</v>
      </c>
    </row>
    <row r="2168" spans="2:15" hidden="1" x14ac:dyDescent="0.3">
      <c r="B2168">
        <v>18731282</v>
      </c>
      <c r="C2168" t="s">
        <v>231</v>
      </c>
      <c r="D2168">
        <v>40901</v>
      </c>
      <c r="E2168" t="s">
        <v>150</v>
      </c>
      <c r="F2168" t="s">
        <v>403</v>
      </c>
      <c r="G2168" s="28">
        <v>14</v>
      </c>
      <c r="H2168" s="32">
        <v>1.89</v>
      </c>
      <c r="I2168" s="32">
        <v>348.57</v>
      </c>
      <c r="J2168" t="s">
        <v>239</v>
      </c>
      <c r="K2168" t="s">
        <v>245</v>
      </c>
      <c r="L2168" t="s">
        <v>235</v>
      </c>
      <c r="M2168" t="s">
        <v>236</v>
      </c>
      <c r="N2168" t="s">
        <v>237</v>
      </c>
      <c r="O2168" s="27">
        <v>46055</v>
      </c>
    </row>
    <row r="2169" spans="2:15" hidden="1" x14ac:dyDescent="0.3">
      <c r="B2169">
        <v>2412490</v>
      </c>
      <c r="C2169" t="s">
        <v>231</v>
      </c>
      <c r="D2169">
        <v>71881</v>
      </c>
      <c r="E2169" t="s">
        <v>150</v>
      </c>
      <c r="F2169" t="s">
        <v>359</v>
      </c>
      <c r="G2169" s="28">
        <v>6</v>
      </c>
      <c r="H2169" s="32">
        <v>1.89</v>
      </c>
      <c r="I2169" s="32">
        <v>214.14</v>
      </c>
      <c r="J2169" t="s">
        <v>330</v>
      </c>
      <c r="K2169" t="s">
        <v>234</v>
      </c>
      <c r="L2169" t="s">
        <v>235</v>
      </c>
      <c r="M2169" t="s">
        <v>236</v>
      </c>
      <c r="N2169" t="s">
        <v>237</v>
      </c>
      <c r="O2169" s="27">
        <v>46057</v>
      </c>
    </row>
    <row r="2170" spans="2:15" hidden="1" x14ac:dyDescent="0.3">
      <c r="B2170">
        <v>2255037</v>
      </c>
      <c r="C2170" t="s">
        <v>231</v>
      </c>
      <c r="D2170">
        <v>22674</v>
      </c>
      <c r="E2170" t="s">
        <v>150</v>
      </c>
      <c r="F2170" t="s">
        <v>319</v>
      </c>
      <c r="G2170" s="28">
        <v>7</v>
      </c>
      <c r="H2170" s="32">
        <v>1.89</v>
      </c>
      <c r="I2170" s="32">
        <v>282.43</v>
      </c>
      <c r="J2170" t="s">
        <v>239</v>
      </c>
      <c r="K2170" t="s">
        <v>245</v>
      </c>
      <c r="L2170" t="s">
        <v>235</v>
      </c>
      <c r="M2170" t="s">
        <v>236</v>
      </c>
      <c r="N2170" t="s">
        <v>240</v>
      </c>
      <c r="O2170" s="27">
        <v>46063</v>
      </c>
    </row>
    <row r="2171" spans="2:15" hidden="1" x14ac:dyDescent="0.3">
      <c r="B2171">
        <v>2403987</v>
      </c>
      <c r="C2171" t="s">
        <v>231</v>
      </c>
      <c r="D2171">
        <v>23648</v>
      </c>
      <c r="E2171" t="s">
        <v>150</v>
      </c>
      <c r="F2171" t="s">
        <v>319</v>
      </c>
      <c r="G2171" s="28">
        <v>7</v>
      </c>
      <c r="H2171" s="32">
        <v>1.89</v>
      </c>
      <c r="I2171" s="32">
        <v>282.43</v>
      </c>
      <c r="J2171" t="s">
        <v>239</v>
      </c>
      <c r="K2171" t="s">
        <v>245</v>
      </c>
      <c r="L2171" t="s">
        <v>235</v>
      </c>
      <c r="M2171" t="s">
        <v>236</v>
      </c>
      <c r="N2171" t="s">
        <v>240</v>
      </c>
      <c r="O2171" s="27">
        <v>46063</v>
      </c>
    </row>
    <row r="2172" spans="2:15" hidden="1" x14ac:dyDescent="0.3">
      <c r="B2172">
        <v>2987541</v>
      </c>
      <c r="C2172" t="s">
        <v>231</v>
      </c>
      <c r="D2172">
        <v>23648</v>
      </c>
      <c r="E2172" t="s">
        <v>150</v>
      </c>
      <c r="F2172" t="s">
        <v>319</v>
      </c>
      <c r="G2172" s="28">
        <v>7</v>
      </c>
      <c r="H2172" s="32">
        <v>1.89</v>
      </c>
      <c r="I2172" s="32">
        <v>282.43</v>
      </c>
      <c r="J2172" t="s">
        <v>239</v>
      </c>
      <c r="K2172" t="s">
        <v>245</v>
      </c>
      <c r="L2172" t="s">
        <v>235</v>
      </c>
      <c r="M2172" t="s">
        <v>236</v>
      </c>
      <c r="N2172" t="s">
        <v>240</v>
      </c>
      <c r="O2172" s="27">
        <v>46063</v>
      </c>
    </row>
    <row r="2173" spans="2:15" hidden="1" x14ac:dyDescent="0.3">
      <c r="B2173">
        <v>3593981</v>
      </c>
      <c r="C2173" t="s">
        <v>260</v>
      </c>
      <c r="D2173">
        <v>23648</v>
      </c>
      <c r="E2173" t="s">
        <v>150</v>
      </c>
      <c r="F2173" t="s">
        <v>298</v>
      </c>
      <c r="G2173" s="28">
        <v>3</v>
      </c>
      <c r="H2173" s="32">
        <v>1.89</v>
      </c>
      <c r="I2173" s="32">
        <v>52.23</v>
      </c>
      <c r="J2173" t="s">
        <v>239</v>
      </c>
      <c r="K2173" t="s">
        <v>245</v>
      </c>
      <c r="L2173" t="s">
        <v>235</v>
      </c>
      <c r="M2173" t="s">
        <v>236</v>
      </c>
      <c r="N2173" t="s">
        <v>237</v>
      </c>
      <c r="O2173" s="27">
        <v>46063</v>
      </c>
    </row>
    <row r="2174" spans="2:15" hidden="1" x14ac:dyDescent="0.3">
      <c r="B2174">
        <v>5370675</v>
      </c>
      <c r="C2174" t="s">
        <v>260</v>
      </c>
      <c r="D2174">
        <v>71881</v>
      </c>
      <c r="E2174" t="s">
        <v>150</v>
      </c>
      <c r="F2174" t="s">
        <v>287</v>
      </c>
      <c r="G2174" s="28">
        <v>5</v>
      </c>
      <c r="H2174" s="32">
        <v>1.88</v>
      </c>
      <c r="I2174" s="32">
        <v>156.86000000000001</v>
      </c>
      <c r="J2174" t="s">
        <v>239</v>
      </c>
      <c r="K2174" t="s">
        <v>245</v>
      </c>
      <c r="L2174" t="s">
        <v>235</v>
      </c>
      <c r="M2174" t="s">
        <v>236</v>
      </c>
      <c r="N2174" t="s">
        <v>237</v>
      </c>
      <c r="O2174" s="27">
        <v>46063</v>
      </c>
    </row>
    <row r="2175" spans="2:15" hidden="1" x14ac:dyDescent="0.3">
      <c r="B2175">
        <v>4868551</v>
      </c>
      <c r="C2175" t="s">
        <v>231</v>
      </c>
      <c r="D2175">
        <v>22674</v>
      </c>
      <c r="E2175" t="s">
        <v>150</v>
      </c>
      <c r="F2175" t="s">
        <v>287</v>
      </c>
      <c r="G2175" s="28">
        <v>5</v>
      </c>
      <c r="H2175" s="32">
        <v>1.87</v>
      </c>
      <c r="I2175" s="32">
        <v>156.85</v>
      </c>
      <c r="J2175" t="s">
        <v>239</v>
      </c>
      <c r="K2175" t="s">
        <v>245</v>
      </c>
      <c r="L2175" t="s">
        <v>235</v>
      </c>
      <c r="M2175" t="s">
        <v>236</v>
      </c>
      <c r="N2175" t="s">
        <v>237</v>
      </c>
      <c r="O2175" s="27">
        <v>46063</v>
      </c>
    </row>
    <row r="2176" spans="2:15" hidden="1" x14ac:dyDescent="0.3">
      <c r="B2176">
        <v>2013549</v>
      </c>
      <c r="C2176" t="s">
        <v>231</v>
      </c>
      <c r="D2176">
        <v>23648</v>
      </c>
      <c r="E2176" t="s">
        <v>150</v>
      </c>
      <c r="F2176" t="s">
        <v>376</v>
      </c>
      <c r="G2176" s="28">
        <v>19</v>
      </c>
      <c r="H2176" s="32">
        <v>1.87</v>
      </c>
      <c r="I2176" s="32">
        <v>363.57</v>
      </c>
      <c r="J2176" t="s">
        <v>330</v>
      </c>
      <c r="K2176" t="s">
        <v>234</v>
      </c>
      <c r="L2176" t="s">
        <v>235</v>
      </c>
      <c r="M2176" t="s">
        <v>236</v>
      </c>
      <c r="N2176" t="s">
        <v>240</v>
      </c>
      <c r="O2176" s="27">
        <v>46059</v>
      </c>
    </row>
    <row r="2177" spans="2:15" hidden="1" x14ac:dyDescent="0.3">
      <c r="B2177">
        <v>3321439</v>
      </c>
      <c r="C2177" t="s">
        <v>231</v>
      </c>
      <c r="D2177">
        <v>22674</v>
      </c>
      <c r="E2177" t="s">
        <v>150</v>
      </c>
      <c r="F2177" t="s">
        <v>337</v>
      </c>
      <c r="G2177" s="28">
        <v>7</v>
      </c>
      <c r="H2177" s="32">
        <v>1.87</v>
      </c>
      <c r="I2177" s="32">
        <v>254.21</v>
      </c>
      <c r="J2177" t="s">
        <v>239</v>
      </c>
      <c r="K2177" t="s">
        <v>245</v>
      </c>
      <c r="L2177" t="s">
        <v>235</v>
      </c>
      <c r="M2177" t="s">
        <v>236</v>
      </c>
      <c r="N2177" t="s">
        <v>237</v>
      </c>
      <c r="O2177" s="27">
        <v>46063</v>
      </c>
    </row>
    <row r="2178" spans="2:15" hidden="1" x14ac:dyDescent="0.3">
      <c r="B2178">
        <v>4072213</v>
      </c>
      <c r="C2178" t="s">
        <v>231</v>
      </c>
      <c r="D2178">
        <v>22674</v>
      </c>
      <c r="E2178" t="s">
        <v>150</v>
      </c>
      <c r="F2178" t="s">
        <v>287</v>
      </c>
      <c r="G2178" s="28">
        <v>5</v>
      </c>
      <c r="H2178" s="32">
        <v>1.85</v>
      </c>
      <c r="I2178" s="32">
        <v>156.85</v>
      </c>
      <c r="J2178" t="s">
        <v>239</v>
      </c>
      <c r="K2178" t="s">
        <v>245</v>
      </c>
      <c r="L2178" t="s">
        <v>235</v>
      </c>
      <c r="M2178" t="s">
        <v>236</v>
      </c>
      <c r="N2178" t="s">
        <v>237</v>
      </c>
      <c r="O2178" s="27">
        <v>46063</v>
      </c>
    </row>
    <row r="2179" spans="2:15" hidden="1" x14ac:dyDescent="0.3">
      <c r="B2179">
        <v>3065087</v>
      </c>
      <c r="C2179" t="s">
        <v>231</v>
      </c>
      <c r="D2179">
        <v>22674</v>
      </c>
      <c r="E2179" t="s">
        <v>150</v>
      </c>
      <c r="F2179" t="s">
        <v>319</v>
      </c>
      <c r="G2179" s="28">
        <v>7</v>
      </c>
      <c r="H2179" s="32">
        <v>1.85</v>
      </c>
      <c r="I2179" s="32">
        <v>282.43</v>
      </c>
      <c r="J2179" t="s">
        <v>239</v>
      </c>
      <c r="K2179" t="s">
        <v>245</v>
      </c>
      <c r="L2179" t="s">
        <v>235</v>
      </c>
      <c r="M2179" t="s">
        <v>236</v>
      </c>
      <c r="N2179" t="s">
        <v>240</v>
      </c>
      <c r="O2179" s="27">
        <v>46063</v>
      </c>
    </row>
    <row r="2180" spans="2:15" hidden="1" x14ac:dyDescent="0.3">
      <c r="B2180">
        <v>6905571</v>
      </c>
      <c r="C2180" t="s">
        <v>260</v>
      </c>
      <c r="D2180">
        <v>38517</v>
      </c>
      <c r="E2180" t="s">
        <v>150</v>
      </c>
      <c r="F2180" t="s">
        <v>276</v>
      </c>
      <c r="G2180" s="28">
        <v>7</v>
      </c>
      <c r="H2180" s="32">
        <v>1.85</v>
      </c>
      <c r="I2180" s="32">
        <v>211.89</v>
      </c>
      <c r="J2180" t="s">
        <v>239</v>
      </c>
      <c r="K2180" t="s">
        <v>245</v>
      </c>
      <c r="L2180" t="s">
        <v>235</v>
      </c>
      <c r="M2180" t="s">
        <v>236</v>
      </c>
      <c r="N2180" t="s">
        <v>240</v>
      </c>
      <c r="O2180" s="27">
        <v>46055</v>
      </c>
    </row>
    <row r="2181" spans="2:15" hidden="1" x14ac:dyDescent="0.3">
      <c r="B2181">
        <v>9303108</v>
      </c>
      <c r="C2181" t="s">
        <v>260</v>
      </c>
      <c r="D2181">
        <v>69493</v>
      </c>
      <c r="E2181" t="s">
        <v>150</v>
      </c>
      <c r="F2181" t="s">
        <v>401</v>
      </c>
      <c r="G2181" s="28">
        <v>4</v>
      </c>
      <c r="H2181" s="32">
        <v>1.85</v>
      </c>
      <c r="I2181" s="32">
        <v>350.72</v>
      </c>
      <c r="J2181" t="s">
        <v>267</v>
      </c>
      <c r="K2181" t="s">
        <v>245</v>
      </c>
      <c r="L2181" t="s">
        <v>235</v>
      </c>
      <c r="M2181" t="s">
        <v>236</v>
      </c>
      <c r="N2181" t="s">
        <v>240</v>
      </c>
      <c r="O2181" s="27">
        <v>46057</v>
      </c>
    </row>
    <row r="2182" spans="2:15" hidden="1" x14ac:dyDescent="0.3">
      <c r="B2182">
        <v>11010432</v>
      </c>
      <c r="C2182" t="s">
        <v>231</v>
      </c>
      <c r="D2182">
        <v>25619</v>
      </c>
      <c r="E2182" t="s">
        <v>150</v>
      </c>
      <c r="F2182" t="s">
        <v>287</v>
      </c>
      <c r="G2182" s="28">
        <v>6</v>
      </c>
      <c r="H2182" s="32">
        <v>1.84</v>
      </c>
      <c r="I2182" s="32">
        <v>188.12</v>
      </c>
      <c r="J2182" t="s">
        <v>239</v>
      </c>
      <c r="K2182" t="s">
        <v>245</v>
      </c>
      <c r="L2182" t="s">
        <v>235</v>
      </c>
      <c r="M2182" t="s">
        <v>236</v>
      </c>
      <c r="N2182" t="s">
        <v>237</v>
      </c>
      <c r="O2182" s="27">
        <v>46063</v>
      </c>
    </row>
    <row r="2183" spans="2:15" hidden="1" x14ac:dyDescent="0.3">
      <c r="B2183">
        <v>2562251</v>
      </c>
      <c r="C2183" t="s">
        <v>231</v>
      </c>
      <c r="D2183">
        <v>23648</v>
      </c>
      <c r="E2183" t="s">
        <v>150</v>
      </c>
      <c r="F2183" t="s">
        <v>287</v>
      </c>
      <c r="G2183" s="28">
        <v>6</v>
      </c>
      <c r="H2183" s="32">
        <v>1.84</v>
      </c>
      <c r="I2183" s="32">
        <v>188.12</v>
      </c>
      <c r="J2183" t="s">
        <v>239</v>
      </c>
      <c r="K2183" t="s">
        <v>245</v>
      </c>
      <c r="L2183" t="s">
        <v>235</v>
      </c>
      <c r="M2183" t="s">
        <v>236</v>
      </c>
      <c r="N2183" t="s">
        <v>237</v>
      </c>
      <c r="O2183" s="27">
        <v>46063</v>
      </c>
    </row>
    <row r="2184" spans="2:15" hidden="1" x14ac:dyDescent="0.3">
      <c r="B2184">
        <v>4535206</v>
      </c>
      <c r="C2184" t="s">
        <v>231</v>
      </c>
      <c r="D2184">
        <v>68542</v>
      </c>
      <c r="E2184" t="s">
        <v>150</v>
      </c>
      <c r="F2184" t="s">
        <v>317</v>
      </c>
      <c r="G2184" s="28">
        <v>6</v>
      </c>
      <c r="H2184" s="32">
        <v>1.84</v>
      </c>
      <c r="I2184" s="32">
        <v>302.42</v>
      </c>
      <c r="J2184" t="s">
        <v>239</v>
      </c>
      <c r="K2184" t="s">
        <v>245</v>
      </c>
      <c r="L2184" t="s">
        <v>235</v>
      </c>
      <c r="M2184" t="s">
        <v>236</v>
      </c>
      <c r="N2184" t="s">
        <v>240</v>
      </c>
      <c r="O2184" s="27">
        <v>46055</v>
      </c>
    </row>
    <row r="2185" spans="2:15" hidden="1" x14ac:dyDescent="0.3">
      <c r="B2185">
        <v>2051406</v>
      </c>
      <c r="C2185" t="s">
        <v>231</v>
      </c>
      <c r="D2185">
        <v>25104</v>
      </c>
      <c r="E2185" t="s">
        <v>150</v>
      </c>
      <c r="F2185" t="s">
        <v>274</v>
      </c>
      <c r="G2185" s="28">
        <v>11</v>
      </c>
      <c r="H2185" s="32">
        <v>1.83</v>
      </c>
      <c r="I2185" s="32">
        <v>161.55000000000001</v>
      </c>
      <c r="J2185" t="s">
        <v>239</v>
      </c>
      <c r="K2185" t="s">
        <v>245</v>
      </c>
      <c r="L2185" t="s">
        <v>235</v>
      </c>
      <c r="M2185" t="s">
        <v>236</v>
      </c>
      <c r="N2185" t="s">
        <v>237</v>
      </c>
      <c r="O2185" s="27">
        <v>46055</v>
      </c>
    </row>
    <row r="2186" spans="2:15" hidden="1" x14ac:dyDescent="0.3">
      <c r="B2186">
        <v>3663401</v>
      </c>
      <c r="C2186" t="s">
        <v>231</v>
      </c>
      <c r="D2186">
        <v>21468</v>
      </c>
      <c r="E2186" t="s">
        <v>150</v>
      </c>
      <c r="F2186" t="s">
        <v>337</v>
      </c>
      <c r="G2186" s="28">
        <v>6</v>
      </c>
      <c r="H2186" s="32">
        <v>1.83</v>
      </c>
      <c r="I2186" s="32">
        <v>220.51</v>
      </c>
      <c r="J2186" t="s">
        <v>239</v>
      </c>
      <c r="K2186" t="s">
        <v>245</v>
      </c>
      <c r="L2186" t="s">
        <v>235</v>
      </c>
      <c r="M2186" t="s">
        <v>236</v>
      </c>
      <c r="N2186" t="s">
        <v>237</v>
      </c>
      <c r="O2186" s="27">
        <v>46055</v>
      </c>
    </row>
    <row r="2187" spans="2:15" hidden="1" x14ac:dyDescent="0.3">
      <c r="B2187">
        <v>2826183</v>
      </c>
      <c r="C2187" t="s">
        <v>231</v>
      </c>
      <c r="D2187">
        <v>69493</v>
      </c>
      <c r="E2187" t="s">
        <v>150</v>
      </c>
      <c r="F2187" t="s">
        <v>160</v>
      </c>
      <c r="G2187" s="28">
        <v>3</v>
      </c>
      <c r="H2187" s="32">
        <v>1.83</v>
      </c>
      <c r="I2187" s="32">
        <v>254.55</v>
      </c>
      <c r="J2187" t="s">
        <v>239</v>
      </c>
      <c r="K2187" t="s">
        <v>245</v>
      </c>
      <c r="L2187" t="s">
        <v>235</v>
      </c>
      <c r="M2187" t="s">
        <v>236</v>
      </c>
      <c r="N2187" t="s">
        <v>240</v>
      </c>
      <c r="O2187" s="27">
        <v>46055</v>
      </c>
    </row>
    <row r="2188" spans="2:15" hidden="1" x14ac:dyDescent="0.3">
      <c r="B2188">
        <v>2229229</v>
      </c>
      <c r="C2188" t="s">
        <v>260</v>
      </c>
      <c r="D2188">
        <v>40901</v>
      </c>
      <c r="E2188" t="s">
        <v>150</v>
      </c>
      <c r="F2188" t="s">
        <v>272</v>
      </c>
      <c r="G2188" s="28">
        <v>40</v>
      </c>
      <c r="H2188" s="32">
        <v>1.83</v>
      </c>
      <c r="I2188" s="32">
        <v>261.54000000000002</v>
      </c>
      <c r="J2188" t="s">
        <v>239</v>
      </c>
      <c r="K2188" t="s">
        <v>245</v>
      </c>
      <c r="L2188" t="s">
        <v>235</v>
      </c>
      <c r="M2188" t="s">
        <v>236</v>
      </c>
      <c r="N2188" t="s">
        <v>237</v>
      </c>
      <c r="O2188" s="27">
        <v>46055</v>
      </c>
    </row>
    <row r="2189" spans="2:15" hidden="1" x14ac:dyDescent="0.3">
      <c r="B2189">
        <v>2470712</v>
      </c>
      <c r="C2189" t="s">
        <v>260</v>
      </c>
      <c r="D2189">
        <v>72444</v>
      </c>
      <c r="E2189" t="s">
        <v>150</v>
      </c>
      <c r="F2189" t="s">
        <v>160</v>
      </c>
      <c r="G2189" s="28">
        <v>2</v>
      </c>
      <c r="H2189" s="32">
        <v>1.83</v>
      </c>
      <c r="I2189" s="32">
        <v>169.7</v>
      </c>
      <c r="J2189" t="s">
        <v>239</v>
      </c>
      <c r="K2189" t="s">
        <v>245</v>
      </c>
      <c r="L2189" t="s">
        <v>235</v>
      </c>
      <c r="M2189" t="s">
        <v>236</v>
      </c>
      <c r="N2189" t="s">
        <v>240</v>
      </c>
      <c r="O2189" s="27">
        <v>46055</v>
      </c>
    </row>
    <row r="2190" spans="2:15" hidden="1" x14ac:dyDescent="0.3">
      <c r="B2190">
        <v>4535206</v>
      </c>
      <c r="C2190" t="s">
        <v>231</v>
      </c>
      <c r="D2190">
        <v>68542</v>
      </c>
      <c r="E2190" t="s">
        <v>150</v>
      </c>
      <c r="F2190" t="s">
        <v>289</v>
      </c>
      <c r="G2190" s="28">
        <v>8</v>
      </c>
      <c r="H2190" s="32">
        <v>1.82</v>
      </c>
      <c r="I2190" s="32">
        <v>171.87</v>
      </c>
      <c r="J2190" t="s">
        <v>239</v>
      </c>
      <c r="K2190" t="s">
        <v>245</v>
      </c>
      <c r="L2190" t="s">
        <v>235</v>
      </c>
      <c r="M2190" t="s">
        <v>236</v>
      </c>
      <c r="N2190" t="s">
        <v>240</v>
      </c>
      <c r="O2190" s="27">
        <v>46055</v>
      </c>
    </row>
    <row r="2191" spans="2:15" hidden="1" x14ac:dyDescent="0.3">
      <c r="B2191">
        <v>18731282</v>
      </c>
      <c r="C2191" t="s">
        <v>231</v>
      </c>
      <c r="D2191">
        <v>40901</v>
      </c>
      <c r="E2191" t="s">
        <v>150</v>
      </c>
      <c r="F2191" t="s">
        <v>319</v>
      </c>
      <c r="G2191" s="28">
        <v>6</v>
      </c>
      <c r="H2191" s="32">
        <v>1.82</v>
      </c>
      <c r="I2191" s="32">
        <v>242.32</v>
      </c>
      <c r="J2191" t="s">
        <v>239</v>
      </c>
      <c r="K2191" t="s">
        <v>245</v>
      </c>
      <c r="L2191" t="s">
        <v>235</v>
      </c>
      <c r="M2191" t="s">
        <v>236</v>
      </c>
      <c r="N2191" t="s">
        <v>240</v>
      </c>
      <c r="O2191" s="27">
        <v>46063</v>
      </c>
    </row>
    <row r="2192" spans="2:15" hidden="1" x14ac:dyDescent="0.3">
      <c r="B2192">
        <v>6024970</v>
      </c>
      <c r="C2192" t="s">
        <v>260</v>
      </c>
      <c r="D2192">
        <v>72444</v>
      </c>
      <c r="E2192" t="s">
        <v>150</v>
      </c>
      <c r="F2192" t="s">
        <v>164</v>
      </c>
      <c r="G2192" s="28">
        <v>5</v>
      </c>
      <c r="H2192" s="32">
        <v>1.82</v>
      </c>
      <c r="I2192" s="32">
        <v>229.16</v>
      </c>
      <c r="J2192" t="s">
        <v>239</v>
      </c>
      <c r="K2192" t="s">
        <v>245</v>
      </c>
      <c r="L2192" t="s">
        <v>235</v>
      </c>
      <c r="M2192" t="s">
        <v>236</v>
      </c>
      <c r="N2192" t="s">
        <v>240</v>
      </c>
      <c r="O2192" s="27">
        <v>46055</v>
      </c>
    </row>
    <row r="2193" spans="2:15" hidden="1" x14ac:dyDescent="0.3">
      <c r="B2193">
        <v>3663401</v>
      </c>
      <c r="C2193" t="s">
        <v>231</v>
      </c>
      <c r="D2193">
        <v>21468</v>
      </c>
      <c r="E2193" t="s">
        <v>150</v>
      </c>
      <c r="F2193" t="s">
        <v>287</v>
      </c>
      <c r="G2193" s="28">
        <v>7</v>
      </c>
      <c r="H2193" s="32">
        <v>1.81</v>
      </c>
      <c r="I2193" s="32">
        <v>218.5</v>
      </c>
      <c r="J2193" t="s">
        <v>239</v>
      </c>
      <c r="K2193" t="s">
        <v>245</v>
      </c>
      <c r="L2193" t="s">
        <v>235</v>
      </c>
      <c r="M2193" t="s">
        <v>236</v>
      </c>
      <c r="N2193" t="s">
        <v>237</v>
      </c>
      <c r="O2193" s="27">
        <v>46055</v>
      </c>
    </row>
    <row r="2194" spans="2:15" hidden="1" x14ac:dyDescent="0.3">
      <c r="B2194">
        <v>575946</v>
      </c>
      <c r="C2194" t="s">
        <v>231</v>
      </c>
      <c r="D2194">
        <v>25619</v>
      </c>
      <c r="E2194" t="s">
        <v>150</v>
      </c>
      <c r="F2194" t="s">
        <v>271</v>
      </c>
      <c r="G2194" s="28">
        <v>17</v>
      </c>
      <c r="H2194" s="32">
        <v>1.81</v>
      </c>
      <c r="I2194" s="32">
        <v>300.14999999999998</v>
      </c>
      <c r="J2194" t="s">
        <v>239</v>
      </c>
      <c r="K2194" t="s">
        <v>245</v>
      </c>
      <c r="L2194" t="s">
        <v>235</v>
      </c>
      <c r="M2194" t="s">
        <v>236</v>
      </c>
      <c r="N2194" t="s">
        <v>237</v>
      </c>
      <c r="O2194" s="27">
        <v>46055</v>
      </c>
    </row>
    <row r="2195" spans="2:15" hidden="1" x14ac:dyDescent="0.3">
      <c r="B2195">
        <v>11593572</v>
      </c>
      <c r="C2195" t="s">
        <v>231</v>
      </c>
      <c r="D2195">
        <v>22674</v>
      </c>
      <c r="E2195" t="s">
        <v>150</v>
      </c>
      <c r="F2195" t="s">
        <v>324</v>
      </c>
      <c r="G2195" s="28">
        <v>10</v>
      </c>
      <c r="H2195" s="32">
        <v>1.81</v>
      </c>
      <c r="I2195" s="32">
        <v>952.31</v>
      </c>
      <c r="J2195" t="s">
        <v>267</v>
      </c>
      <c r="K2195" t="s">
        <v>245</v>
      </c>
      <c r="L2195" t="s">
        <v>235</v>
      </c>
      <c r="M2195" t="s">
        <v>236</v>
      </c>
      <c r="N2195" t="s">
        <v>240</v>
      </c>
      <c r="O2195" s="27">
        <v>46056</v>
      </c>
    </row>
    <row r="2196" spans="2:15" hidden="1" x14ac:dyDescent="0.3">
      <c r="B2196">
        <v>2255037</v>
      </c>
      <c r="C2196" t="s">
        <v>231</v>
      </c>
      <c r="D2196">
        <v>22674</v>
      </c>
      <c r="E2196" t="s">
        <v>150</v>
      </c>
      <c r="F2196" t="s">
        <v>337</v>
      </c>
      <c r="G2196" s="28">
        <v>7</v>
      </c>
      <c r="H2196" s="32">
        <v>1.81</v>
      </c>
      <c r="I2196" s="32">
        <v>254.22</v>
      </c>
      <c r="J2196" t="s">
        <v>239</v>
      </c>
      <c r="K2196" t="s">
        <v>245</v>
      </c>
      <c r="L2196" t="s">
        <v>235</v>
      </c>
      <c r="M2196" t="s">
        <v>236</v>
      </c>
      <c r="N2196" t="s">
        <v>237</v>
      </c>
      <c r="O2196" s="27">
        <v>46063</v>
      </c>
    </row>
    <row r="2197" spans="2:15" hidden="1" x14ac:dyDescent="0.3">
      <c r="B2197">
        <v>2987541</v>
      </c>
      <c r="C2197" t="s">
        <v>231</v>
      </c>
      <c r="D2197">
        <v>23648</v>
      </c>
      <c r="E2197" t="s">
        <v>150</v>
      </c>
      <c r="F2197" t="s">
        <v>337</v>
      </c>
      <c r="G2197" s="28">
        <v>7</v>
      </c>
      <c r="H2197" s="32">
        <v>1.81</v>
      </c>
      <c r="I2197" s="32">
        <v>254.21</v>
      </c>
      <c r="J2197" t="s">
        <v>239</v>
      </c>
      <c r="K2197" t="s">
        <v>245</v>
      </c>
      <c r="L2197" t="s">
        <v>235</v>
      </c>
      <c r="M2197" t="s">
        <v>236</v>
      </c>
      <c r="N2197" t="s">
        <v>237</v>
      </c>
      <c r="O2197" s="27">
        <v>46063</v>
      </c>
    </row>
    <row r="2198" spans="2:15" hidden="1" x14ac:dyDescent="0.3">
      <c r="B2198">
        <v>9796204</v>
      </c>
      <c r="C2198" t="s">
        <v>260</v>
      </c>
      <c r="D2198">
        <v>21468</v>
      </c>
      <c r="E2198" t="s">
        <v>150</v>
      </c>
      <c r="F2198" t="s">
        <v>338</v>
      </c>
      <c r="G2198" s="28">
        <v>2</v>
      </c>
      <c r="H2198" s="32">
        <v>1.81</v>
      </c>
      <c r="I2198" s="32">
        <v>130.22</v>
      </c>
      <c r="J2198" t="s">
        <v>239</v>
      </c>
      <c r="K2198" t="s">
        <v>245</v>
      </c>
      <c r="L2198" t="s">
        <v>235</v>
      </c>
      <c r="M2198" t="s">
        <v>236</v>
      </c>
      <c r="N2198" t="s">
        <v>237</v>
      </c>
      <c r="O2198" s="27">
        <v>46072</v>
      </c>
    </row>
    <row r="2199" spans="2:15" hidden="1" x14ac:dyDescent="0.3">
      <c r="B2199">
        <v>17005725</v>
      </c>
      <c r="C2199" t="s">
        <v>260</v>
      </c>
      <c r="D2199">
        <v>22674</v>
      </c>
      <c r="E2199" t="s">
        <v>150</v>
      </c>
      <c r="F2199" t="s">
        <v>319</v>
      </c>
      <c r="G2199" s="28">
        <v>6</v>
      </c>
      <c r="H2199" s="32">
        <v>1.81</v>
      </c>
      <c r="I2199" s="32">
        <v>242.32</v>
      </c>
      <c r="J2199" t="s">
        <v>239</v>
      </c>
      <c r="K2199" t="s">
        <v>245</v>
      </c>
      <c r="L2199" t="s">
        <v>235</v>
      </c>
      <c r="M2199" t="s">
        <v>236</v>
      </c>
      <c r="N2199" t="s">
        <v>240</v>
      </c>
      <c r="O2199" s="27">
        <v>46063</v>
      </c>
    </row>
    <row r="2200" spans="2:15" hidden="1" x14ac:dyDescent="0.3">
      <c r="B2200">
        <v>2051406</v>
      </c>
      <c r="C2200" t="s">
        <v>231</v>
      </c>
      <c r="D2200">
        <v>25104</v>
      </c>
      <c r="E2200" t="s">
        <v>150</v>
      </c>
      <c r="F2200" t="s">
        <v>271</v>
      </c>
      <c r="G2200" s="28">
        <v>9</v>
      </c>
      <c r="H2200" s="32">
        <v>1.8</v>
      </c>
      <c r="I2200" s="32">
        <v>158.9</v>
      </c>
      <c r="J2200" t="s">
        <v>239</v>
      </c>
      <c r="K2200" t="s">
        <v>245</v>
      </c>
      <c r="L2200" t="s">
        <v>235</v>
      </c>
      <c r="M2200" t="s">
        <v>236</v>
      </c>
      <c r="N2200" t="s">
        <v>237</v>
      </c>
      <c r="O2200" s="27">
        <v>46055</v>
      </c>
    </row>
    <row r="2201" spans="2:15" hidden="1" x14ac:dyDescent="0.3">
      <c r="B2201">
        <v>8841219</v>
      </c>
      <c r="C2201" t="s">
        <v>231</v>
      </c>
      <c r="D2201">
        <v>21468</v>
      </c>
      <c r="E2201" t="s">
        <v>150</v>
      </c>
      <c r="F2201" t="s">
        <v>164</v>
      </c>
      <c r="G2201" s="28">
        <v>3</v>
      </c>
      <c r="H2201" s="32">
        <v>1.8</v>
      </c>
      <c r="I2201" s="32">
        <v>145.88</v>
      </c>
      <c r="J2201" t="s">
        <v>239</v>
      </c>
      <c r="K2201" t="s">
        <v>245</v>
      </c>
      <c r="L2201" t="s">
        <v>235</v>
      </c>
      <c r="M2201" t="s">
        <v>236</v>
      </c>
      <c r="N2201" t="s">
        <v>240</v>
      </c>
      <c r="O2201" s="27">
        <v>46063</v>
      </c>
    </row>
    <row r="2202" spans="2:15" hidden="1" x14ac:dyDescent="0.3">
      <c r="B2202">
        <v>2403987</v>
      </c>
      <c r="C2202" t="s">
        <v>231</v>
      </c>
      <c r="D2202">
        <v>23648</v>
      </c>
      <c r="E2202" t="s">
        <v>150</v>
      </c>
      <c r="F2202" t="s">
        <v>337</v>
      </c>
      <c r="G2202" s="28">
        <v>7</v>
      </c>
      <c r="H2202" s="32">
        <v>1.8</v>
      </c>
      <c r="I2202" s="32">
        <v>254.21</v>
      </c>
      <c r="J2202" t="s">
        <v>239</v>
      </c>
      <c r="K2202" t="s">
        <v>245</v>
      </c>
      <c r="L2202" t="s">
        <v>235</v>
      </c>
      <c r="M2202" t="s">
        <v>236</v>
      </c>
      <c r="N2202" t="s">
        <v>237</v>
      </c>
      <c r="O2202" s="27">
        <v>46063</v>
      </c>
    </row>
    <row r="2203" spans="2:15" hidden="1" x14ac:dyDescent="0.3">
      <c r="B2203">
        <v>2727175</v>
      </c>
      <c r="C2203" t="s">
        <v>231</v>
      </c>
      <c r="D2203">
        <v>23648</v>
      </c>
      <c r="E2203" t="s">
        <v>150</v>
      </c>
      <c r="F2203" t="s">
        <v>319</v>
      </c>
      <c r="G2203" s="28">
        <v>6</v>
      </c>
      <c r="H2203" s="32">
        <v>1.8</v>
      </c>
      <c r="I2203" s="32">
        <v>242.32</v>
      </c>
      <c r="J2203" t="s">
        <v>239</v>
      </c>
      <c r="K2203" t="s">
        <v>245</v>
      </c>
      <c r="L2203" t="s">
        <v>235</v>
      </c>
      <c r="M2203" t="s">
        <v>236</v>
      </c>
      <c r="N2203" t="s">
        <v>240</v>
      </c>
      <c r="O2203" s="27">
        <v>46063</v>
      </c>
    </row>
    <row r="2204" spans="2:15" hidden="1" x14ac:dyDescent="0.3">
      <c r="B2204">
        <v>3731792</v>
      </c>
      <c r="C2204" t="s">
        <v>260</v>
      </c>
      <c r="D2204">
        <v>69579</v>
      </c>
      <c r="E2204" t="s">
        <v>150</v>
      </c>
      <c r="F2204" t="s">
        <v>164</v>
      </c>
      <c r="G2204" s="28">
        <v>3</v>
      </c>
      <c r="H2204" s="32">
        <v>1.8</v>
      </c>
      <c r="I2204" s="32">
        <v>145.81</v>
      </c>
      <c r="J2204" t="s">
        <v>239</v>
      </c>
      <c r="K2204" t="s">
        <v>245</v>
      </c>
      <c r="L2204" t="s">
        <v>235</v>
      </c>
      <c r="M2204" t="s">
        <v>236</v>
      </c>
      <c r="N2204" t="s">
        <v>240</v>
      </c>
      <c r="O2204" s="27">
        <v>46063</v>
      </c>
    </row>
    <row r="2205" spans="2:15" hidden="1" x14ac:dyDescent="0.3">
      <c r="B2205">
        <v>18872460</v>
      </c>
      <c r="C2205" t="s">
        <v>231</v>
      </c>
      <c r="D2205">
        <v>74304</v>
      </c>
      <c r="E2205" t="s">
        <v>150</v>
      </c>
      <c r="F2205" t="s">
        <v>263</v>
      </c>
      <c r="G2205" s="28">
        <v>25</v>
      </c>
      <c r="H2205" s="32">
        <v>1.79</v>
      </c>
      <c r="I2205" s="32">
        <v>345.42</v>
      </c>
      <c r="J2205" t="s">
        <v>239</v>
      </c>
      <c r="K2205" t="s">
        <v>245</v>
      </c>
      <c r="L2205" t="s">
        <v>235</v>
      </c>
      <c r="M2205" t="s">
        <v>236</v>
      </c>
      <c r="N2205" t="s">
        <v>240</v>
      </c>
      <c r="O2205" s="27">
        <v>46055</v>
      </c>
    </row>
    <row r="2206" spans="2:15" hidden="1" x14ac:dyDescent="0.3">
      <c r="B2206">
        <v>5599981</v>
      </c>
      <c r="C2206" t="s">
        <v>231</v>
      </c>
      <c r="D2206">
        <v>69493</v>
      </c>
      <c r="E2206" t="s">
        <v>150</v>
      </c>
      <c r="F2206" t="s">
        <v>337</v>
      </c>
      <c r="G2206" s="28">
        <v>7</v>
      </c>
      <c r="H2206" s="32">
        <v>1.79</v>
      </c>
      <c r="I2206" s="32">
        <v>254.21</v>
      </c>
      <c r="J2206" t="s">
        <v>239</v>
      </c>
      <c r="K2206" t="s">
        <v>245</v>
      </c>
      <c r="L2206" t="s">
        <v>235</v>
      </c>
      <c r="M2206" t="s">
        <v>236</v>
      </c>
      <c r="N2206" t="s">
        <v>237</v>
      </c>
      <c r="O2206" s="27">
        <v>46063</v>
      </c>
    </row>
    <row r="2207" spans="2:15" hidden="1" x14ac:dyDescent="0.3">
      <c r="B2207">
        <v>440722</v>
      </c>
      <c r="C2207" t="s">
        <v>231</v>
      </c>
      <c r="D2207">
        <v>21468</v>
      </c>
      <c r="E2207" t="s">
        <v>150</v>
      </c>
      <c r="F2207" t="s">
        <v>160</v>
      </c>
      <c r="G2207" s="28">
        <v>3</v>
      </c>
      <c r="H2207" s="32">
        <v>1.79</v>
      </c>
      <c r="I2207" s="32">
        <v>254.55</v>
      </c>
      <c r="J2207" t="s">
        <v>239</v>
      </c>
      <c r="K2207" t="s">
        <v>245</v>
      </c>
      <c r="L2207" t="s">
        <v>235</v>
      </c>
      <c r="M2207" t="s">
        <v>236</v>
      </c>
      <c r="N2207" t="s">
        <v>240</v>
      </c>
      <c r="O2207" s="27">
        <v>46055</v>
      </c>
    </row>
    <row r="2208" spans="2:15" hidden="1" x14ac:dyDescent="0.3">
      <c r="B2208">
        <v>18547873</v>
      </c>
      <c r="C2208" t="s">
        <v>260</v>
      </c>
      <c r="D2208">
        <v>38517</v>
      </c>
      <c r="E2208" t="s">
        <v>150</v>
      </c>
      <c r="F2208" t="s">
        <v>160</v>
      </c>
      <c r="G2208" s="28">
        <v>3</v>
      </c>
      <c r="H2208" s="32">
        <v>1.79</v>
      </c>
      <c r="I2208" s="32">
        <v>254.55</v>
      </c>
      <c r="J2208" t="s">
        <v>239</v>
      </c>
      <c r="K2208" t="s">
        <v>245</v>
      </c>
      <c r="L2208" t="s">
        <v>235</v>
      </c>
      <c r="M2208" t="s">
        <v>236</v>
      </c>
      <c r="N2208" t="s">
        <v>237</v>
      </c>
      <c r="O2208" s="27">
        <v>46055</v>
      </c>
    </row>
    <row r="2209" spans="2:15" hidden="1" x14ac:dyDescent="0.3">
      <c r="B2209">
        <v>18805586</v>
      </c>
      <c r="C2209" t="s">
        <v>260</v>
      </c>
      <c r="D2209">
        <v>23410</v>
      </c>
      <c r="E2209" t="s">
        <v>150</v>
      </c>
      <c r="F2209" t="s">
        <v>319</v>
      </c>
      <c r="G2209" s="28">
        <v>6</v>
      </c>
      <c r="H2209" s="32">
        <v>1.79</v>
      </c>
      <c r="I2209" s="32">
        <v>242.32</v>
      </c>
      <c r="J2209" t="s">
        <v>239</v>
      </c>
      <c r="K2209" t="s">
        <v>245</v>
      </c>
      <c r="L2209" t="s">
        <v>235</v>
      </c>
      <c r="M2209" t="s">
        <v>236</v>
      </c>
      <c r="N2209" t="s">
        <v>240</v>
      </c>
      <c r="O2209" s="27">
        <v>46063</v>
      </c>
    </row>
    <row r="2210" spans="2:15" hidden="1" x14ac:dyDescent="0.3">
      <c r="B2210">
        <v>3322497</v>
      </c>
      <c r="C2210" t="s">
        <v>231</v>
      </c>
      <c r="D2210">
        <v>40901</v>
      </c>
      <c r="E2210" t="s">
        <v>150</v>
      </c>
      <c r="F2210" t="s">
        <v>322</v>
      </c>
      <c r="G2210" s="28">
        <v>3</v>
      </c>
      <c r="H2210" s="32">
        <v>1.78</v>
      </c>
      <c r="I2210" s="32">
        <v>307.75</v>
      </c>
      <c r="J2210" t="s">
        <v>267</v>
      </c>
      <c r="K2210" t="s">
        <v>245</v>
      </c>
      <c r="L2210" t="s">
        <v>235</v>
      </c>
      <c r="M2210" t="s">
        <v>236</v>
      </c>
      <c r="N2210" t="s">
        <v>240</v>
      </c>
      <c r="O2210" s="27">
        <v>46055</v>
      </c>
    </row>
    <row r="2211" spans="2:15" hidden="1" x14ac:dyDescent="0.3">
      <c r="B2211">
        <v>389066</v>
      </c>
      <c r="C2211" t="s">
        <v>260</v>
      </c>
      <c r="D2211">
        <v>21559</v>
      </c>
      <c r="E2211" t="s">
        <v>150</v>
      </c>
      <c r="F2211" t="s">
        <v>398</v>
      </c>
      <c r="G2211" s="28">
        <v>3</v>
      </c>
      <c r="H2211" s="32">
        <v>1.78</v>
      </c>
      <c r="I2211" s="32">
        <v>175.72</v>
      </c>
      <c r="J2211" t="s">
        <v>239</v>
      </c>
      <c r="K2211" t="s">
        <v>245</v>
      </c>
      <c r="L2211" t="s">
        <v>235</v>
      </c>
      <c r="M2211" t="s">
        <v>236</v>
      </c>
      <c r="N2211" t="s">
        <v>237</v>
      </c>
      <c r="O2211" s="27">
        <v>46072</v>
      </c>
    </row>
    <row r="2212" spans="2:15" hidden="1" x14ac:dyDescent="0.3">
      <c r="B2212">
        <v>2826183</v>
      </c>
      <c r="C2212" t="s">
        <v>231</v>
      </c>
      <c r="D2212">
        <v>69493</v>
      </c>
      <c r="E2212" t="s">
        <v>150</v>
      </c>
      <c r="F2212" t="s">
        <v>271</v>
      </c>
      <c r="G2212" s="28">
        <v>14</v>
      </c>
      <c r="H2212" s="32">
        <v>1.77</v>
      </c>
      <c r="I2212" s="32">
        <v>247.19</v>
      </c>
      <c r="J2212" t="s">
        <v>239</v>
      </c>
      <c r="K2212" t="s">
        <v>245</v>
      </c>
      <c r="L2212" t="s">
        <v>235</v>
      </c>
      <c r="M2212" t="s">
        <v>236</v>
      </c>
      <c r="N2212" t="s">
        <v>237</v>
      </c>
      <c r="O2212" s="27">
        <v>46055</v>
      </c>
    </row>
    <row r="2213" spans="2:15" hidden="1" x14ac:dyDescent="0.3">
      <c r="B2213">
        <v>3065087</v>
      </c>
      <c r="C2213" t="s">
        <v>231</v>
      </c>
      <c r="D2213">
        <v>22674</v>
      </c>
      <c r="E2213" t="s">
        <v>150</v>
      </c>
      <c r="F2213" t="s">
        <v>337</v>
      </c>
      <c r="G2213" s="28">
        <v>7</v>
      </c>
      <c r="H2213" s="32">
        <v>1.77</v>
      </c>
      <c r="I2213" s="32">
        <v>254.21</v>
      </c>
      <c r="J2213" t="s">
        <v>239</v>
      </c>
      <c r="K2213" t="s">
        <v>245</v>
      </c>
      <c r="L2213" t="s">
        <v>235</v>
      </c>
      <c r="M2213" t="s">
        <v>236</v>
      </c>
      <c r="N2213" t="s">
        <v>237</v>
      </c>
      <c r="O2213" s="27">
        <v>46063</v>
      </c>
    </row>
    <row r="2214" spans="2:15" hidden="1" x14ac:dyDescent="0.3">
      <c r="B2214">
        <v>2973255</v>
      </c>
      <c r="C2214" t="s">
        <v>260</v>
      </c>
      <c r="D2214">
        <v>69519</v>
      </c>
      <c r="E2214" t="s">
        <v>150</v>
      </c>
      <c r="F2214" t="s">
        <v>386</v>
      </c>
      <c r="G2214" s="28">
        <v>19</v>
      </c>
      <c r="H2214" s="32">
        <v>1.77</v>
      </c>
      <c r="I2214" s="32">
        <v>1851.4</v>
      </c>
      <c r="J2214" t="s">
        <v>267</v>
      </c>
      <c r="K2214" t="s">
        <v>245</v>
      </c>
      <c r="L2214" t="s">
        <v>235</v>
      </c>
      <c r="M2214" t="s">
        <v>236</v>
      </c>
      <c r="N2214" t="s">
        <v>237</v>
      </c>
      <c r="O2214" s="27">
        <v>46063</v>
      </c>
    </row>
    <row r="2215" spans="2:15" hidden="1" x14ac:dyDescent="0.3">
      <c r="B2215">
        <v>3310896</v>
      </c>
      <c r="C2215" t="s">
        <v>260</v>
      </c>
      <c r="D2215">
        <v>21559</v>
      </c>
      <c r="E2215" t="s">
        <v>150</v>
      </c>
      <c r="F2215" t="s">
        <v>160</v>
      </c>
      <c r="G2215" s="28">
        <v>3</v>
      </c>
      <c r="H2215" s="32">
        <v>1.77</v>
      </c>
      <c r="I2215" s="32">
        <v>261.61</v>
      </c>
      <c r="J2215" t="s">
        <v>239</v>
      </c>
      <c r="K2215" t="s">
        <v>245</v>
      </c>
      <c r="L2215" t="s">
        <v>235</v>
      </c>
      <c r="M2215" t="s">
        <v>236</v>
      </c>
      <c r="N2215" t="s">
        <v>240</v>
      </c>
      <c r="O2215" s="27">
        <v>46063</v>
      </c>
    </row>
    <row r="2216" spans="2:15" hidden="1" x14ac:dyDescent="0.3">
      <c r="B2216">
        <v>18702217</v>
      </c>
      <c r="C2216" t="s">
        <v>260</v>
      </c>
      <c r="D2216">
        <v>74304</v>
      </c>
      <c r="E2216" t="s">
        <v>150</v>
      </c>
      <c r="F2216" t="s">
        <v>329</v>
      </c>
      <c r="G2216" s="28">
        <v>4</v>
      </c>
      <c r="H2216" s="32">
        <v>1.77</v>
      </c>
      <c r="I2216" s="32">
        <v>334.02</v>
      </c>
      <c r="J2216" t="s">
        <v>330</v>
      </c>
      <c r="K2216" t="s">
        <v>234</v>
      </c>
      <c r="L2216" t="s">
        <v>235</v>
      </c>
      <c r="M2216" t="s">
        <v>236</v>
      </c>
      <c r="N2216" t="s">
        <v>237</v>
      </c>
      <c r="O2216" s="27">
        <v>46072</v>
      </c>
    </row>
    <row r="2217" spans="2:15" hidden="1" x14ac:dyDescent="0.3">
      <c r="B2217">
        <v>11010432</v>
      </c>
      <c r="C2217" t="s">
        <v>231</v>
      </c>
      <c r="D2217">
        <v>25619</v>
      </c>
      <c r="E2217" t="s">
        <v>150</v>
      </c>
      <c r="F2217" t="s">
        <v>319</v>
      </c>
      <c r="G2217" s="28">
        <v>5</v>
      </c>
      <c r="H2217" s="32">
        <v>1.76</v>
      </c>
      <c r="I2217" s="32">
        <v>201.75</v>
      </c>
      <c r="J2217" t="s">
        <v>239</v>
      </c>
      <c r="K2217" t="s">
        <v>245</v>
      </c>
      <c r="L2217" t="s">
        <v>235</v>
      </c>
      <c r="M2217" t="s">
        <v>236</v>
      </c>
      <c r="N2217" t="s">
        <v>240</v>
      </c>
      <c r="O2217" s="27">
        <v>46063</v>
      </c>
    </row>
    <row r="2218" spans="2:15" hidden="1" x14ac:dyDescent="0.3">
      <c r="B2218">
        <v>2562251</v>
      </c>
      <c r="C2218" t="s">
        <v>231</v>
      </c>
      <c r="D2218">
        <v>23648</v>
      </c>
      <c r="E2218" t="s">
        <v>150</v>
      </c>
      <c r="F2218" t="s">
        <v>319</v>
      </c>
      <c r="G2218" s="28">
        <v>5</v>
      </c>
      <c r="H2218" s="32">
        <v>1.76</v>
      </c>
      <c r="I2218" s="32">
        <v>201.75</v>
      </c>
      <c r="J2218" t="s">
        <v>239</v>
      </c>
      <c r="K2218" t="s">
        <v>245</v>
      </c>
      <c r="L2218" t="s">
        <v>235</v>
      </c>
      <c r="M2218" t="s">
        <v>236</v>
      </c>
      <c r="N2218" t="s">
        <v>240</v>
      </c>
      <c r="O2218" s="27">
        <v>46063</v>
      </c>
    </row>
    <row r="2219" spans="2:15" hidden="1" x14ac:dyDescent="0.3">
      <c r="B2219">
        <v>389066</v>
      </c>
      <c r="C2219" t="s">
        <v>260</v>
      </c>
      <c r="D2219">
        <v>21559</v>
      </c>
      <c r="E2219" t="s">
        <v>150</v>
      </c>
      <c r="F2219" t="s">
        <v>369</v>
      </c>
      <c r="G2219" s="28">
        <v>3</v>
      </c>
      <c r="H2219" s="32">
        <v>1.76</v>
      </c>
      <c r="I2219" s="32">
        <v>173.98</v>
      </c>
      <c r="J2219" t="s">
        <v>239</v>
      </c>
      <c r="K2219" t="s">
        <v>245</v>
      </c>
      <c r="L2219" t="s">
        <v>235</v>
      </c>
      <c r="M2219" t="s">
        <v>236</v>
      </c>
      <c r="N2219" t="s">
        <v>240</v>
      </c>
      <c r="O2219" s="27">
        <v>46072</v>
      </c>
    </row>
    <row r="2220" spans="2:15" hidden="1" x14ac:dyDescent="0.3">
      <c r="B2220">
        <v>12429967</v>
      </c>
      <c r="C2220" t="s">
        <v>260</v>
      </c>
      <c r="D2220">
        <v>21468</v>
      </c>
      <c r="E2220" t="s">
        <v>150</v>
      </c>
      <c r="F2220" t="s">
        <v>276</v>
      </c>
      <c r="G2220" s="28">
        <v>4</v>
      </c>
      <c r="H2220" s="32">
        <v>1.76</v>
      </c>
      <c r="I2220" s="32">
        <v>121.08</v>
      </c>
      <c r="J2220" t="s">
        <v>239</v>
      </c>
      <c r="K2220" t="s">
        <v>245</v>
      </c>
      <c r="L2220" t="s">
        <v>235</v>
      </c>
      <c r="M2220" t="s">
        <v>236</v>
      </c>
      <c r="N2220" t="s">
        <v>240</v>
      </c>
      <c r="O2220" s="27">
        <v>46055</v>
      </c>
    </row>
    <row r="2221" spans="2:15" hidden="1" x14ac:dyDescent="0.3">
      <c r="B2221">
        <v>6024970</v>
      </c>
      <c r="C2221" t="s">
        <v>260</v>
      </c>
      <c r="D2221">
        <v>72444</v>
      </c>
      <c r="E2221" t="s">
        <v>150</v>
      </c>
      <c r="F2221" t="s">
        <v>337</v>
      </c>
      <c r="G2221" s="28">
        <v>6</v>
      </c>
      <c r="H2221" s="32">
        <v>1.76</v>
      </c>
      <c r="I2221" s="32">
        <v>220.51</v>
      </c>
      <c r="J2221" t="s">
        <v>239</v>
      </c>
      <c r="K2221" t="s">
        <v>245</v>
      </c>
      <c r="L2221" t="s">
        <v>235</v>
      </c>
      <c r="M2221" t="s">
        <v>236</v>
      </c>
      <c r="N2221" t="s">
        <v>237</v>
      </c>
      <c r="O2221" s="27">
        <v>46055</v>
      </c>
    </row>
    <row r="2222" spans="2:15" hidden="1" x14ac:dyDescent="0.3">
      <c r="B2222">
        <v>4658833</v>
      </c>
      <c r="C2222" t="s">
        <v>260</v>
      </c>
      <c r="D2222">
        <v>38517</v>
      </c>
      <c r="E2222" t="s">
        <v>150</v>
      </c>
      <c r="F2222" t="s">
        <v>319</v>
      </c>
      <c r="G2222" s="28">
        <v>5</v>
      </c>
      <c r="H2222" s="32">
        <v>1.76</v>
      </c>
      <c r="I2222" s="32">
        <v>201.75</v>
      </c>
      <c r="J2222" t="s">
        <v>239</v>
      </c>
      <c r="K2222" t="s">
        <v>245</v>
      </c>
      <c r="L2222" t="s">
        <v>235</v>
      </c>
      <c r="M2222" t="s">
        <v>236</v>
      </c>
      <c r="N2222" t="s">
        <v>240</v>
      </c>
      <c r="O2222" s="27">
        <v>46063</v>
      </c>
    </row>
    <row r="2223" spans="2:15" hidden="1" x14ac:dyDescent="0.3">
      <c r="B2223">
        <v>4333412</v>
      </c>
      <c r="C2223" t="s">
        <v>231</v>
      </c>
      <c r="D2223">
        <v>69579</v>
      </c>
      <c r="E2223" t="s">
        <v>150</v>
      </c>
      <c r="F2223" t="s">
        <v>164</v>
      </c>
      <c r="G2223" s="28">
        <v>3</v>
      </c>
      <c r="H2223" s="32">
        <v>1.75</v>
      </c>
      <c r="I2223" s="32">
        <v>145.87</v>
      </c>
      <c r="J2223" t="s">
        <v>239</v>
      </c>
      <c r="K2223" t="s">
        <v>245</v>
      </c>
      <c r="L2223" t="s">
        <v>235</v>
      </c>
      <c r="M2223" t="s">
        <v>236</v>
      </c>
      <c r="N2223" t="s">
        <v>240</v>
      </c>
      <c r="O2223" s="27">
        <v>46063</v>
      </c>
    </row>
    <row r="2224" spans="2:15" hidden="1" x14ac:dyDescent="0.3">
      <c r="B2224">
        <v>11593572</v>
      </c>
      <c r="C2224" t="s">
        <v>231</v>
      </c>
      <c r="D2224">
        <v>22674</v>
      </c>
      <c r="E2224" t="s">
        <v>150</v>
      </c>
      <c r="F2224" t="s">
        <v>315</v>
      </c>
      <c r="G2224" s="28">
        <v>10</v>
      </c>
      <c r="H2224" s="32">
        <v>1.75</v>
      </c>
      <c r="I2224" s="32">
        <v>884.7</v>
      </c>
      <c r="J2224" t="s">
        <v>267</v>
      </c>
      <c r="K2224" t="s">
        <v>245</v>
      </c>
      <c r="L2224" t="s">
        <v>235</v>
      </c>
      <c r="M2224" t="s">
        <v>236</v>
      </c>
      <c r="N2224" t="s">
        <v>237</v>
      </c>
      <c r="O2224" s="27">
        <v>46056</v>
      </c>
    </row>
    <row r="2225" spans="2:15" hidden="1" x14ac:dyDescent="0.3">
      <c r="B2225">
        <v>2747758</v>
      </c>
      <c r="C2225" t="s">
        <v>231</v>
      </c>
      <c r="D2225">
        <v>96553</v>
      </c>
      <c r="E2225" t="s">
        <v>150</v>
      </c>
      <c r="F2225" t="s">
        <v>337</v>
      </c>
      <c r="G2225" s="28">
        <v>7</v>
      </c>
      <c r="H2225" s="32">
        <v>1.75</v>
      </c>
      <c r="I2225" s="32">
        <v>254.21</v>
      </c>
      <c r="J2225" t="s">
        <v>239</v>
      </c>
      <c r="K2225" t="s">
        <v>245</v>
      </c>
      <c r="L2225" t="s">
        <v>235</v>
      </c>
      <c r="M2225" t="s">
        <v>236</v>
      </c>
      <c r="N2225" t="s">
        <v>237</v>
      </c>
      <c r="O2225" s="27">
        <v>46063</v>
      </c>
    </row>
    <row r="2226" spans="2:15" x14ac:dyDescent="0.3">
      <c r="B2226">
        <v>3105908</v>
      </c>
      <c r="C2226" t="s">
        <v>231</v>
      </c>
      <c r="D2226">
        <v>22103</v>
      </c>
      <c r="E2226" t="s">
        <v>150</v>
      </c>
      <c r="F2226" t="s">
        <v>160</v>
      </c>
      <c r="G2226" s="28">
        <v>3</v>
      </c>
      <c r="H2226" s="32">
        <v>1.75</v>
      </c>
      <c r="I2226" s="32">
        <v>254.55</v>
      </c>
      <c r="J2226" t="s">
        <v>239</v>
      </c>
      <c r="K2226" t="s">
        <v>245</v>
      </c>
      <c r="L2226" t="s">
        <v>235</v>
      </c>
      <c r="M2226" t="s">
        <v>236</v>
      </c>
      <c r="N2226" t="s">
        <v>240</v>
      </c>
      <c r="O2226" s="27">
        <v>46055</v>
      </c>
    </row>
    <row r="2227" spans="2:15" hidden="1" x14ac:dyDescent="0.3">
      <c r="B2227">
        <v>4089266</v>
      </c>
      <c r="C2227" t="s">
        <v>260</v>
      </c>
      <c r="D2227">
        <v>22674</v>
      </c>
      <c r="E2227" t="s">
        <v>150</v>
      </c>
      <c r="F2227" t="s">
        <v>287</v>
      </c>
      <c r="G2227" s="28">
        <v>5</v>
      </c>
      <c r="H2227" s="32">
        <v>1.75</v>
      </c>
      <c r="I2227" s="32">
        <v>156.85</v>
      </c>
      <c r="J2227" t="s">
        <v>239</v>
      </c>
      <c r="K2227" t="s">
        <v>245</v>
      </c>
      <c r="L2227" t="s">
        <v>235</v>
      </c>
      <c r="M2227" t="s">
        <v>236</v>
      </c>
      <c r="N2227" t="s">
        <v>237</v>
      </c>
      <c r="O2227" s="27">
        <v>46063</v>
      </c>
    </row>
    <row r="2228" spans="2:15" hidden="1" x14ac:dyDescent="0.3">
      <c r="B2228">
        <v>3593981</v>
      </c>
      <c r="C2228" t="s">
        <v>260</v>
      </c>
      <c r="D2228">
        <v>23648</v>
      </c>
      <c r="E2228" t="s">
        <v>150</v>
      </c>
      <c r="F2228" t="s">
        <v>163</v>
      </c>
      <c r="G2228" s="28">
        <v>8</v>
      </c>
      <c r="H2228" s="32">
        <v>1.75</v>
      </c>
      <c r="I2228" s="32">
        <v>105.39</v>
      </c>
      <c r="J2228" t="s">
        <v>239</v>
      </c>
      <c r="K2228" t="s">
        <v>245</v>
      </c>
      <c r="L2228" t="s">
        <v>235</v>
      </c>
      <c r="M2228" t="s">
        <v>236</v>
      </c>
      <c r="N2228" t="s">
        <v>237</v>
      </c>
      <c r="O2228" s="27">
        <v>46055</v>
      </c>
    </row>
    <row r="2229" spans="2:15" hidden="1" x14ac:dyDescent="0.3">
      <c r="B2229">
        <v>3548394</v>
      </c>
      <c r="C2229" t="s">
        <v>260</v>
      </c>
      <c r="D2229">
        <v>25104</v>
      </c>
      <c r="E2229" t="s">
        <v>150</v>
      </c>
      <c r="F2229" t="s">
        <v>324</v>
      </c>
      <c r="G2229" s="28">
        <v>10</v>
      </c>
      <c r="H2229" s="32">
        <v>1.75</v>
      </c>
      <c r="I2229" s="32">
        <v>956.76</v>
      </c>
      <c r="J2229" t="s">
        <v>267</v>
      </c>
      <c r="K2229" t="s">
        <v>245</v>
      </c>
      <c r="L2229" t="s">
        <v>235</v>
      </c>
      <c r="M2229" t="s">
        <v>236</v>
      </c>
      <c r="N2229" t="s">
        <v>237</v>
      </c>
      <c r="O2229" s="27">
        <v>46057</v>
      </c>
    </row>
    <row r="2230" spans="2:15" hidden="1" x14ac:dyDescent="0.3">
      <c r="B2230">
        <v>440722</v>
      </c>
      <c r="C2230" t="s">
        <v>231</v>
      </c>
      <c r="D2230">
        <v>21468</v>
      </c>
      <c r="E2230" t="s">
        <v>150</v>
      </c>
      <c r="F2230" t="s">
        <v>271</v>
      </c>
      <c r="G2230" s="28">
        <v>14</v>
      </c>
      <c r="H2230" s="32">
        <v>1.74</v>
      </c>
      <c r="I2230" s="32">
        <v>247.18</v>
      </c>
      <c r="J2230" t="s">
        <v>239</v>
      </c>
      <c r="K2230" t="s">
        <v>245</v>
      </c>
      <c r="L2230" t="s">
        <v>235</v>
      </c>
      <c r="M2230" t="s">
        <v>236</v>
      </c>
      <c r="N2230" t="s">
        <v>237</v>
      </c>
      <c r="O2230" s="27">
        <v>46055</v>
      </c>
    </row>
    <row r="2231" spans="2:15" x14ac:dyDescent="0.3">
      <c r="B2231">
        <v>5658854</v>
      </c>
      <c r="C2231" t="s">
        <v>231</v>
      </c>
      <c r="D2231">
        <v>22103</v>
      </c>
      <c r="E2231" t="s">
        <v>150</v>
      </c>
      <c r="F2231" t="s">
        <v>377</v>
      </c>
      <c r="G2231" s="28">
        <v>11</v>
      </c>
      <c r="H2231" s="32">
        <v>1.74</v>
      </c>
      <c r="I2231" s="32">
        <v>345.4</v>
      </c>
      <c r="J2231" t="s">
        <v>330</v>
      </c>
      <c r="K2231" t="s">
        <v>234</v>
      </c>
      <c r="L2231" t="s">
        <v>235</v>
      </c>
      <c r="M2231" t="s">
        <v>236</v>
      </c>
      <c r="N2231" t="s">
        <v>237</v>
      </c>
      <c r="O2231" s="27">
        <v>46076</v>
      </c>
    </row>
    <row r="2232" spans="2:15" hidden="1" x14ac:dyDescent="0.3">
      <c r="B2232">
        <v>3911170</v>
      </c>
      <c r="C2232" t="s">
        <v>231</v>
      </c>
      <c r="D2232">
        <v>21468</v>
      </c>
      <c r="E2232" t="s">
        <v>150</v>
      </c>
      <c r="F2232" t="s">
        <v>337</v>
      </c>
      <c r="G2232" s="28">
        <v>6</v>
      </c>
      <c r="H2232" s="32">
        <v>1.74</v>
      </c>
      <c r="I2232" s="32">
        <v>217.99</v>
      </c>
      <c r="J2232" t="s">
        <v>239</v>
      </c>
      <c r="K2232" t="s">
        <v>245</v>
      </c>
      <c r="L2232" t="s">
        <v>235</v>
      </c>
      <c r="M2232" t="s">
        <v>236</v>
      </c>
      <c r="N2232" t="s">
        <v>237</v>
      </c>
      <c r="O2232" s="27">
        <v>46063</v>
      </c>
    </row>
    <row r="2233" spans="2:15" hidden="1" x14ac:dyDescent="0.3">
      <c r="B2233">
        <v>4382412</v>
      </c>
      <c r="C2233" t="s">
        <v>231</v>
      </c>
      <c r="D2233">
        <v>49894</v>
      </c>
      <c r="E2233" t="s">
        <v>150</v>
      </c>
      <c r="F2233" t="s">
        <v>319</v>
      </c>
      <c r="G2233" s="28">
        <v>6</v>
      </c>
      <c r="H2233" s="32">
        <v>1.74</v>
      </c>
      <c r="I2233" s="32">
        <v>242.32</v>
      </c>
      <c r="J2233" t="s">
        <v>239</v>
      </c>
      <c r="K2233" t="s">
        <v>245</v>
      </c>
      <c r="L2233" t="s">
        <v>235</v>
      </c>
      <c r="M2233" t="s">
        <v>236</v>
      </c>
      <c r="N2233" t="s">
        <v>240</v>
      </c>
      <c r="O2233" s="27">
        <v>46063</v>
      </c>
    </row>
    <row r="2234" spans="2:15" hidden="1" x14ac:dyDescent="0.3">
      <c r="B2234">
        <v>3055824</v>
      </c>
      <c r="C2234" t="s">
        <v>231</v>
      </c>
      <c r="D2234">
        <v>96553</v>
      </c>
      <c r="E2234" t="s">
        <v>150</v>
      </c>
      <c r="F2234" t="s">
        <v>287</v>
      </c>
      <c r="G2234" s="28">
        <v>5</v>
      </c>
      <c r="H2234" s="32">
        <v>1.73</v>
      </c>
      <c r="I2234" s="32">
        <v>156.85</v>
      </c>
      <c r="J2234" t="s">
        <v>239</v>
      </c>
      <c r="K2234" t="s">
        <v>245</v>
      </c>
      <c r="L2234" t="s">
        <v>235</v>
      </c>
      <c r="M2234" t="s">
        <v>236</v>
      </c>
      <c r="N2234" t="s">
        <v>237</v>
      </c>
      <c r="O2234" s="27">
        <v>46063</v>
      </c>
    </row>
    <row r="2235" spans="2:15" hidden="1" x14ac:dyDescent="0.3">
      <c r="B2235">
        <v>4381878</v>
      </c>
      <c r="C2235" t="s">
        <v>231</v>
      </c>
      <c r="D2235">
        <v>74304</v>
      </c>
      <c r="E2235" t="s">
        <v>150</v>
      </c>
      <c r="F2235" t="s">
        <v>164</v>
      </c>
      <c r="G2235" s="28">
        <v>3</v>
      </c>
      <c r="H2235" s="32">
        <v>1.73</v>
      </c>
      <c r="I2235" s="32">
        <v>145.65</v>
      </c>
      <c r="J2235" t="s">
        <v>239</v>
      </c>
      <c r="K2235" t="s">
        <v>245</v>
      </c>
      <c r="L2235" t="s">
        <v>235</v>
      </c>
      <c r="M2235" t="s">
        <v>236</v>
      </c>
      <c r="N2235" t="s">
        <v>240</v>
      </c>
      <c r="O2235" s="27">
        <v>46072</v>
      </c>
    </row>
    <row r="2236" spans="2:15" hidden="1" x14ac:dyDescent="0.3">
      <c r="B2236">
        <v>6027332</v>
      </c>
      <c r="C2236" t="s">
        <v>231</v>
      </c>
      <c r="D2236">
        <v>23410</v>
      </c>
      <c r="E2236" t="s">
        <v>150</v>
      </c>
      <c r="F2236" t="s">
        <v>164</v>
      </c>
      <c r="G2236" s="28">
        <v>7</v>
      </c>
      <c r="H2236" s="32">
        <v>1.73</v>
      </c>
      <c r="I2236" s="32">
        <v>320.81</v>
      </c>
      <c r="J2236" t="s">
        <v>239</v>
      </c>
      <c r="K2236" t="s">
        <v>245</v>
      </c>
      <c r="L2236" t="s">
        <v>235</v>
      </c>
      <c r="M2236" t="s">
        <v>236</v>
      </c>
      <c r="N2236" t="s">
        <v>237</v>
      </c>
      <c r="O2236" s="27">
        <v>46055</v>
      </c>
    </row>
    <row r="2237" spans="2:15" hidden="1" x14ac:dyDescent="0.3">
      <c r="B2237">
        <v>18731282</v>
      </c>
      <c r="C2237" t="s">
        <v>231</v>
      </c>
      <c r="D2237">
        <v>40901</v>
      </c>
      <c r="E2237" t="s">
        <v>150</v>
      </c>
      <c r="F2237" t="s">
        <v>337</v>
      </c>
      <c r="G2237" s="28">
        <v>6</v>
      </c>
      <c r="H2237" s="32">
        <v>1.73</v>
      </c>
      <c r="I2237" s="32">
        <v>217.99</v>
      </c>
      <c r="J2237" t="s">
        <v>239</v>
      </c>
      <c r="K2237" t="s">
        <v>245</v>
      </c>
      <c r="L2237" t="s">
        <v>235</v>
      </c>
      <c r="M2237" t="s">
        <v>236</v>
      </c>
      <c r="N2237" t="s">
        <v>237</v>
      </c>
      <c r="O2237" s="27">
        <v>46063</v>
      </c>
    </row>
    <row r="2238" spans="2:15" hidden="1" x14ac:dyDescent="0.3">
      <c r="B2238">
        <v>4744190</v>
      </c>
      <c r="C2238" t="s">
        <v>260</v>
      </c>
      <c r="D2238">
        <v>22674</v>
      </c>
      <c r="E2238" t="s">
        <v>150</v>
      </c>
      <c r="F2238" t="s">
        <v>287</v>
      </c>
      <c r="G2238" s="28">
        <v>5</v>
      </c>
      <c r="H2238" s="32">
        <v>1.73</v>
      </c>
      <c r="I2238" s="32">
        <v>156.85</v>
      </c>
      <c r="J2238" t="s">
        <v>239</v>
      </c>
      <c r="K2238" t="s">
        <v>245</v>
      </c>
      <c r="L2238" t="s">
        <v>235</v>
      </c>
      <c r="M2238" t="s">
        <v>236</v>
      </c>
      <c r="N2238" t="s">
        <v>237</v>
      </c>
      <c r="O2238" s="27">
        <v>46063</v>
      </c>
    </row>
    <row r="2239" spans="2:15" hidden="1" x14ac:dyDescent="0.3">
      <c r="B2239">
        <v>3907511</v>
      </c>
      <c r="C2239" t="s">
        <v>231</v>
      </c>
      <c r="D2239">
        <v>23648</v>
      </c>
      <c r="E2239" t="s">
        <v>150</v>
      </c>
      <c r="F2239" t="s">
        <v>246</v>
      </c>
      <c r="G2239" s="28">
        <v>6</v>
      </c>
      <c r="H2239" s="32">
        <v>1.72</v>
      </c>
      <c r="I2239" s="32">
        <v>221.66</v>
      </c>
      <c r="J2239" t="s">
        <v>239</v>
      </c>
      <c r="K2239" t="s">
        <v>245</v>
      </c>
      <c r="L2239" t="s">
        <v>235</v>
      </c>
      <c r="M2239" t="s">
        <v>236</v>
      </c>
      <c r="N2239" t="s">
        <v>240</v>
      </c>
      <c r="O2239" s="27">
        <v>46055</v>
      </c>
    </row>
    <row r="2240" spans="2:15" hidden="1" x14ac:dyDescent="0.3">
      <c r="B2240">
        <v>12629468</v>
      </c>
      <c r="C2240" t="s">
        <v>260</v>
      </c>
      <c r="D2240">
        <v>40901</v>
      </c>
      <c r="E2240" t="s">
        <v>150</v>
      </c>
      <c r="F2240" t="s">
        <v>164</v>
      </c>
      <c r="G2240" s="28">
        <v>3</v>
      </c>
      <c r="H2240" s="32">
        <v>1.72</v>
      </c>
      <c r="I2240" s="32">
        <v>145.83000000000001</v>
      </c>
      <c r="J2240" t="s">
        <v>239</v>
      </c>
      <c r="K2240" t="s">
        <v>245</v>
      </c>
      <c r="L2240" t="s">
        <v>235</v>
      </c>
      <c r="M2240" t="s">
        <v>236</v>
      </c>
      <c r="N2240" t="s">
        <v>240</v>
      </c>
      <c r="O2240" s="27">
        <v>46063</v>
      </c>
    </row>
    <row r="2241" spans="2:15" x14ac:dyDescent="0.3">
      <c r="B2241">
        <v>79379</v>
      </c>
      <c r="C2241" t="s">
        <v>260</v>
      </c>
      <c r="D2241">
        <v>22103</v>
      </c>
      <c r="E2241" t="s">
        <v>150</v>
      </c>
      <c r="F2241" t="s">
        <v>164</v>
      </c>
      <c r="G2241" s="28">
        <v>3</v>
      </c>
      <c r="H2241" s="32">
        <v>1.72</v>
      </c>
      <c r="I2241" s="32">
        <v>145.83000000000001</v>
      </c>
      <c r="J2241" t="s">
        <v>239</v>
      </c>
      <c r="K2241" t="s">
        <v>245</v>
      </c>
      <c r="L2241" t="s">
        <v>235</v>
      </c>
      <c r="M2241" t="s">
        <v>236</v>
      </c>
      <c r="N2241" t="s">
        <v>240</v>
      </c>
      <c r="O2241" s="27">
        <v>46063</v>
      </c>
    </row>
    <row r="2242" spans="2:15" hidden="1" x14ac:dyDescent="0.3">
      <c r="B2242">
        <v>2632292</v>
      </c>
      <c r="C2242" t="s">
        <v>231</v>
      </c>
      <c r="D2242">
        <v>69519</v>
      </c>
      <c r="E2242" t="s">
        <v>150</v>
      </c>
      <c r="F2242" t="s">
        <v>385</v>
      </c>
      <c r="G2242" s="28">
        <v>17</v>
      </c>
      <c r="H2242" s="32">
        <v>1.71</v>
      </c>
      <c r="I2242" s="32">
        <v>306.85000000000002</v>
      </c>
      <c r="J2242" t="s">
        <v>330</v>
      </c>
      <c r="K2242" t="s">
        <v>234</v>
      </c>
      <c r="L2242" t="s">
        <v>235</v>
      </c>
      <c r="M2242" t="s">
        <v>236</v>
      </c>
      <c r="N2242" t="s">
        <v>237</v>
      </c>
      <c r="O2242" s="27">
        <v>46073</v>
      </c>
    </row>
    <row r="2243" spans="2:15" x14ac:dyDescent="0.3">
      <c r="B2243">
        <v>4745805</v>
      </c>
      <c r="C2243" t="s">
        <v>231</v>
      </c>
      <c r="D2243">
        <v>22103</v>
      </c>
      <c r="E2243" t="s">
        <v>150</v>
      </c>
      <c r="F2243" t="s">
        <v>271</v>
      </c>
      <c r="G2243" s="28">
        <v>10</v>
      </c>
      <c r="H2243" s="32">
        <v>1.71</v>
      </c>
      <c r="I2243" s="32">
        <v>184.63</v>
      </c>
      <c r="J2243" t="s">
        <v>239</v>
      </c>
      <c r="K2243" t="s">
        <v>245</v>
      </c>
      <c r="L2243" t="s">
        <v>235</v>
      </c>
      <c r="M2243" t="s">
        <v>236</v>
      </c>
      <c r="N2243" t="s">
        <v>237</v>
      </c>
      <c r="O2243" s="27">
        <v>46063</v>
      </c>
    </row>
    <row r="2244" spans="2:15" x14ac:dyDescent="0.3">
      <c r="B2244">
        <v>3105908</v>
      </c>
      <c r="C2244" t="s">
        <v>231</v>
      </c>
      <c r="D2244">
        <v>22103</v>
      </c>
      <c r="E2244" t="s">
        <v>150</v>
      </c>
      <c r="F2244" t="s">
        <v>263</v>
      </c>
      <c r="G2244" s="28">
        <v>18</v>
      </c>
      <c r="H2244" s="32">
        <v>1.71</v>
      </c>
      <c r="I2244" s="32">
        <v>248.7</v>
      </c>
      <c r="J2244" t="s">
        <v>239</v>
      </c>
      <c r="K2244" t="s">
        <v>245</v>
      </c>
      <c r="L2244" t="s">
        <v>235</v>
      </c>
      <c r="M2244" t="s">
        <v>236</v>
      </c>
      <c r="N2244" t="s">
        <v>240</v>
      </c>
      <c r="O2244" s="27">
        <v>46055</v>
      </c>
    </row>
    <row r="2245" spans="2:15" hidden="1" x14ac:dyDescent="0.3">
      <c r="B2245">
        <v>4358018</v>
      </c>
      <c r="C2245" t="s">
        <v>231</v>
      </c>
      <c r="D2245">
        <v>23410</v>
      </c>
      <c r="E2245" t="s">
        <v>150</v>
      </c>
      <c r="F2245" t="s">
        <v>319</v>
      </c>
      <c r="G2245" s="28">
        <v>3</v>
      </c>
      <c r="H2245" s="32">
        <v>1.71</v>
      </c>
      <c r="I2245" s="32">
        <v>121.16</v>
      </c>
      <c r="J2245" t="s">
        <v>239</v>
      </c>
      <c r="K2245" t="s">
        <v>245</v>
      </c>
      <c r="L2245" t="s">
        <v>235</v>
      </c>
      <c r="M2245" t="s">
        <v>236</v>
      </c>
      <c r="N2245" t="s">
        <v>240</v>
      </c>
      <c r="O2245" s="27">
        <v>46063</v>
      </c>
    </row>
    <row r="2246" spans="2:15" hidden="1" x14ac:dyDescent="0.3">
      <c r="B2246">
        <v>3436001</v>
      </c>
      <c r="C2246" t="s">
        <v>260</v>
      </c>
      <c r="D2246">
        <v>21468</v>
      </c>
      <c r="E2246" t="s">
        <v>150</v>
      </c>
      <c r="F2246" t="s">
        <v>287</v>
      </c>
      <c r="G2246" s="28">
        <v>6</v>
      </c>
      <c r="H2246" s="32">
        <v>1.71</v>
      </c>
      <c r="I2246" s="32">
        <v>187.28</v>
      </c>
      <c r="J2246" t="s">
        <v>239</v>
      </c>
      <c r="K2246" t="s">
        <v>245</v>
      </c>
      <c r="L2246" t="s">
        <v>235</v>
      </c>
      <c r="M2246" t="s">
        <v>236</v>
      </c>
      <c r="N2246" t="s">
        <v>237</v>
      </c>
      <c r="O2246" s="27">
        <v>46055</v>
      </c>
    </row>
    <row r="2247" spans="2:15" hidden="1" x14ac:dyDescent="0.3">
      <c r="B2247">
        <v>2470712</v>
      </c>
      <c r="C2247" t="s">
        <v>260</v>
      </c>
      <c r="D2247">
        <v>72444</v>
      </c>
      <c r="E2247" t="s">
        <v>150</v>
      </c>
      <c r="F2247" t="s">
        <v>271</v>
      </c>
      <c r="G2247" s="28">
        <v>9</v>
      </c>
      <c r="H2247" s="32">
        <v>1.71</v>
      </c>
      <c r="I2247" s="32">
        <v>158.91</v>
      </c>
      <c r="J2247" t="s">
        <v>239</v>
      </c>
      <c r="K2247" t="s">
        <v>245</v>
      </c>
      <c r="L2247" t="s">
        <v>235</v>
      </c>
      <c r="M2247" t="s">
        <v>236</v>
      </c>
      <c r="N2247" t="s">
        <v>237</v>
      </c>
      <c r="O2247" s="27">
        <v>46055</v>
      </c>
    </row>
    <row r="2248" spans="2:15" hidden="1" x14ac:dyDescent="0.3">
      <c r="B2248">
        <v>15083827</v>
      </c>
      <c r="C2248" t="s">
        <v>260</v>
      </c>
      <c r="D2248">
        <v>69493</v>
      </c>
      <c r="E2248" t="s">
        <v>150</v>
      </c>
      <c r="F2248" t="s">
        <v>337</v>
      </c>
      <c r="G2248" s="28">
        <v>6</v>
      </c>
      <c r="H2248" s="32">
        <v>1.71</v>
      </c>
      <c r="I2248" s="32">
        <v>217.99</v>
      </c>
      <c r="J2248" t="s">
        <v>239</v>
      </c>
      <c r="K2248" t="s">
        <v>245</v>
      </c>
      <c r="L2248" t="s">
        <v>235</v>
      </c>
      <c r="M2248" t="s">
        <v>236</v>
      </c>
      <c r="N2248" t="s">
        <v>237</v>
      </c>
      <c r="O2248" s="27">
        <v>46063</v>
      </c>
    </row>
    <row r="2249" spans="2:15" hidden="1" x14ac:dyDescent="0.3">
      <c r="B2249">
        <v>325473</v>
      </c>
      <c r="C2249" t="s">
        <v>231</v>
      </c>
      <c r="D2249">
        <v>22674</v>
      </c>
      <c r="E2249" t="s">
        <v>150</v>
      </c>
      <c r="F2249" t="s">
        <v>331</v>
      </c>
      <c r="G2249" s="28">
        <v>42</v>
      </c>
      <c r="H2249" s="32">
        <v>1.7</v>
      </c>
      <c r="I2249" s="32">
        <v>407.87</v>
      </c>
      <c r="J2249" t="s">
        <v>267</v>
      </c>
      <c r="K2249" t="s">
        <v>245</v>
      </c>
      <c r="L2249" t="s">
        <v>235</v>
      </c>
      <c r="M2249" t="s">
        <v>236</v>
      </c>
      <c r="N2249" t="s">
        <v>240</v>
      </c>
      <c r="O2249" s="27">
        <v>46056</v>
      </c>
    </row>
    <row r="2250" spans="2:15" hidden="1" x14ac:dyDescent="0.3">
      <c r="B2250">
        <v>6859448</v>
      </c>
      <c r="C2250" t="s">
        <v>231</v>
      </c>
      <c r="D2250">
        <v>25619</v>
      </c>
      <c r="E2250" t="s">
        <v>150</v>
      </c>
      <c r="F2250" t="s">
        <v>319</v>
      </c>
      <c r="G2250" s="28">
        <v>6</v>
      </c>
      <c r="H2250" s="32">
        <v>1.7</v>
      </c>
      <c r="I2250" s="32">
        <v>242.32</v>
      </c>
      <c r="J2250" t="s">
        <v>239</v>
      </c>
      <c r="K2250" t="s">
        <v>245</v>
      </c>
      <c r="L2250" t="s">
        <v>235</v>
      </c>
      <c r="M2250" t="s">
        <v>236</v>
      </c>
      <c r="N2250" t="s">
        <v>240</v>
      </c>
      <c r="O2250" s="27">
        <v>46063</v>
      </c>
    </row>
    <row r="2251" spans="2:15" hidden="1" x14ac:dyDescent="0.3">
      <c r="B2251">
        <v>9303108</v>
      </c>
      <c r="C2251" t="s">
        <v>260</v>
      </c>
      <c r="D2251">
        <v>69493</v>
      </c>
      <c r="E2251" t="s">
        <v>150</v>
      </c>
      <c r="F2251" t="s">
        <v>272</v>
      </c>
      <c r="G2251" s="28">
        <v>46</v>
      </c>
      <c r="H2251" s="32">
        <v>1.7</v>
      </c>
      <c r="I2251" s="32">
        <v>300.77999999999997</v>
      </c>
      <c r="J2251" t="s">
        <v>239</v>
      </c>
      <c r="K2251" t="s">
        <v>245</v>
      </c>
      <c r="L2251" t="s">
        <v>235</v>
      </c>
      <c r="M2251" t="s">
        <v>236</v>
      </c>
      <c r="N2251" t="s">
        <v>237</v>
      </c>
      <c r="O2251" s="27">
        <v>46055</v>
      </c>
    </row>
    <row r="2252" spans="2:15" hidden="1" x14ac:dyDescent="0.3">
      <c r="B2252">
        <v>18805586</v>
      </c>
      <c r="C2252" t="s">
        <v>260</v>
      </c>
      <c r="D2252">
        <v>23410</v>
      </c>
      <c r="E2252" t="s">
        <v>150</v>
      </c>
      <c r="F2252" t="s">
        <v>337</v>
      </c>
      <c r="G2252" s="28">
        <v>6</v>
      </c>
      <c r="H2252" s="32">
        <v>1.7</v>
      </c>
      <c r="I2252" s="32">
        <v>217.99</v>
      </c>
      <c r="J2252" t="s">
        <v>239</v>
      </c>
      <c r="K2252" t="s">
        <v>245</v>
      </c>
      <c r="L2252" t="s">
        <v>235</v>
      </c>
      <c r="M2252" t="s">
        <v>236</v>
      </c>
      <c r="N2252" t="s">
        <v>237</v>
      </c>
      <c r="O2252" s="27">
        <v>46063</v>
      </c>
    </row>
    <row r="2253" spans="2:15" hidden="1" x14ac:dyDescent="0.3">
      <c r="B2253">
        <v>5664804</v>
      </c>
      <c r="C2253" t="s">
        <v>231</v>
      </c>
      <c r="D2253">
        <v>69493</v>
      </c>
      <c r="E2253" t="s">
        <v>150</v>
      </c>
      <c r="F2253" t="s">
        <v>160</v>
      </c>
      <c r="G2253" s="28">
        <v>2</v>
      </c>
      <c r="H2253" s="32">
        <v>1.69</v>
      </c>
      <c r="I2253" s="32">
        <v>169.7</v>
      </c>
      <c r="J2253" t="s">
        <v>239</v>
      </c>
      <c r="K2253" t="s">
        <v>245</v>
      </c>
      <c r="L2253" t="s">
        <v>235</v>
      </c>
      <c r="M2253" t="s">
        <v>236</v>
      </c>
      <c r="N2253" t="s">
        <v>240</v>
      </c>
      <c r="O2253" s="27">
        <v>46055</v>
      </c>
    </row>
    <row r="2254" spans="2:15" hidden="1" x14ac:dyDescent="0.3">
      <c r="B2254">
        <v>3666312</v>
      </c>
      <c r="C2254" t="s">
        <v>231</v>
      </c>
      <c r="D2254">
        <v>21468</v>
      </c>
      <c r="E2254" t="s">
        <v>150</v>
      </c>
      <c r="F2254" t="s">
        <v>163</v>
      </c>
      <c r="G2254" s="28">
        <v>8</v>
      </c>
      <c r="H2254" s="32">
        <v>1.68</v>
      </c>
      <c r="I2254" s="32">
        <v>105.39</v>
      </c>
      <c r="J2254" t="s">
        <v>239</v>
      </c>
      <c r="K2254" t="s">
        <v>245</v>
      </c>
      <c r="L2254" t="s">
        <v>235</v>
      </c>
      <c r="M2254" t="s">
        <v>236</v>
      </c>
      <c r="N2254" t="s">
        <v>237</v>
      </c>
      <c r="O2254" s="27">
        <v>46055</v>
      </c>
    </row>
    <row r="2255" spans="2:15" hidden="1" x14ac:dyDescent="0.3">
      <c r="B2255">
        <v>4535206</v>
      </c>
      <c r="C2255" t="s">
        <v>231</v>
      </c>
      <c r="D2255">
        <v>68542</v>
      </c>
      <c r="E2255" t="s">
        <v>150</v>
      </c>
      <c r="F2255" t="s">
        <v>320</v>
      </c>
      <c r="G2255" s="28">
        <v>6</v>
      </c>
      <c r="H2255" s="32">
        <v>1.68</v>
      </c>
      <c r="I2255" s="32">
        <v>244.4</v>
      </c>
      <c r="J2255" t="s">
        <v>239</v>
      </c>
      <c r="K2255" t="s">
        <v>245</v>
      </c>
      <c r="L2255" t="s">
        <v>235</v>
      </c>
      <c r="M2255" t="s">
        <v>236</v>
      </c>
      <c r="N2255" t="s">
        <v>237</v>
      </c>
      <c r="O2255" s="27">
        <v>46055</v>
      </c>
    </row>
    <row r="2256" spans="2:15" hidden="1" x14ac:dyDescent="0.3">
      <c r="B2256">
        <v>2470712</v>
      </c>
      <c r="C2256" t="s">
        <v>260</v>
      </c>
      <c r="D2256">
        <v>72444</v>
      </c>
      <c r="E2256" t="s">
        <v>150</v>
      </c>
      <c r="F2256" t="s">
        <v>287</v>
      </c>
      <c r="G2256" s="28">
        <v>5</v>
      </c>
      <c r="H2256" s="32">
        <v>1.68</v>
      </c>
      <c r="I2256" s="32">
        <v>156.07</v>
      </c>
      <c r="J2256" t="s">
        <v>239</v>
      </c>
      <c r="K2256" t="s">
        <v>245</v>
      </c>
      <c r="L2256" t="s">
        <v>235</v>
      </c>
      <c r="M2256" t="s">
        <v>236</v>
      </c>
      <c r="N2256" t="s">
        <v>237</v>
      </c>
      <c r="O2256" s="27">
        <v>46055</v>
      </c>
    </row>
    <row r="2257" spans="2:15" hidden="1" x14ac:dyDescent="0.3">
      <c r="B2257">
        <v>8142187</v>
      </c>
      <c r="C2257" t="s">
        <v>260</v>
      </c>
      <c r="D2257">
        <v>21468</v>
      </c>
      <c r="E2257" t="s">
        <v>150</v>
      </c>
      <c r="F2257" t="s">
        <v>337</v>
      </c>
      <c r="G2257" s="28">
        <v>4</v>
      </c>
      <c r="H2257" s="32">
        <v>1.68</v>
      </c>
      <c r="I2257" s="32">
        <v>145.30000000000001</v>
      </c>
      <c r="J2257" t="s">
        <v>239</v>
      </c>
      <c r="K2257" t="s">
        <v>245</v>
      </c>
      <c r="L2257" t="s">
        <v>235</v>
      </c>
      <c r="M2257" t="s">
        <v>236</v>
      </c>
      <c r="N2257" t="s">
        <v>237</v>
      </c>
      <c r="O2257" s="27">
        <v>46063</v>
      </c>
    </row>
    <row r="2258" spans="2:15" hidden="1" x14ac:dyDescent="0.3">
      <c r="B2258">
        <v>11593572</v>
      </c>
      <c r="C2258" t="s">
        <v>231</v>
      </c>
      <c r="D2258">
        <v>22674</v>
      </c>
      <c r="E2258" t="s">
        <v>150</v>
      </c>
      <c r="F2258" t="s">
        <v>321</v>
      </c>
      <c r="G2258" s="28">
        <v>8</v>
      </c>
      <c r="H2258" s="32">
        <v>1.67</v>
      </c>
      <c r="I2258" s="32">
        <v>951.37</v>
      </c>
      <c r="J2258" t="s">
        <v>267</v>
      </c>
      <c r="K2258" t="s">
        <v>245</v>
      </c>
      <c r="L2258" t="s">
        <v>235</v>
      </c>
      <c r="M2258" t="s">
        <v>236</v>
      </c>
      <c r="N2258" t="s">
        <v>237</v>
      </c>
      <c r="O2258" s="27">
        <v>46056</v>
      </c>
    </row>
    <row r="2259" spans="2:15" hidden="1" x14ac:dyDescent="0.3">
      <c r="B2259">
        <v>6468519</v>
      </c>
      <c r="C2259" t="s">
        <v>231</v>
      </c>
      <c r="D2259">
        <v>72444</v>
      </c>
      <c r="E2259" t="s">
        <v>150</v>
      </c>
      <c r="F2259" t="s">
        <v>163</v>
      </c>
      <c r="G2259" s="28">
        <v>19</v>
      </c>
      <c r="H2259" s="32">
        <v>1.67</v>
      </c>
      <c r="I2259" s="32">
        <v>250.31</v>
      </c>
      <c r="J2259" t="s">
        <v>239</v>
      </c>
      <c r="K2259" t="s">
        <v>245</v>
      </c>
      <c r="L2259" t="s">
        <v>235</v>
      </c>
      <c r="M2259" t="s">
        <v>236</v>
      </c>
      <c r="N2259" t="s">
        <v>237</v>
      </c>
      <c r="O2259" s="27">
        <v>46055</v>
      </c>
    </row>
    <row r="2260" spans="2:15" hidden="1" x14ac:dyDescent="0.3">
      <c r="B2260">
        <v>2569374</v>
      </c>
      <c r="C2260" t="s">
        <v>231</v>
      </c>
      <c r="D2260">
        <v>71997</v>
      </c>
      <c r="E2260" t="s">
        <v>150</v>
      </c>
      <c r="F2260" t="s">
        <v>369</v>
      </c>
      <c r="G2260" s="28">
        <v>9</v>
      </c>
      <c r="H2260" s="32">
        <v>1.67</v>
      </c>
      <c r="I2260" s="32">
        <v>495.92</v>
      </c>
      <c r="J2260" t="s">
        <v>239</v>
      </c>
      <c r="K2260" t="s">
        <v>245</v>
      </c>
      <c r="L2260" t="s">
        <v>235</v>
      </c>
      <c r="M2260" t="s">
        <v>236</v>
      </c>
      <c r="N2260" t="s">
        <v>240</v>
      </c>
      <c r="O2260" s="27">
        <v>46063</v>
      </c>
    </row>
    <row r="2261" spans="2:15" hidden="1" x14ac:dyDescent="0.3">
      <c r="B2261">
        <v>2051406</v>
      </c>
      <c r="C2261" t="s">
        <v>231</v>
      </c>
      <c r="D2261">
        <v>25104</v>
      </c>
      <c r="E2261" t="s">
        <v>150</v>
      </c>
      <c r="F2261" t="s">
        <v>246</v>
      </c>
      <c r="G2261" s="28">
        <v>4</v>
      </c>
      <c r="H2261" s="32">
        <v>1.67</v>
      </c>
      <c r="I2261" s="32">
        <v>147.77000000000001</v>
      </c>
      <c r="J2261" t="s">
        <v>239</v>
      </c>
      <c r="K2261" t="s">
        <v>245</v>
      </c>
      <c r="L2261" t="s">
        <v>235</v>
      </c>
      <c r="M2261" t="s">
        <v>236</v>
      </c>
      <c r="N2261" t="s">
        <v>240</v>
      </c>
      <c r="O2261" s="27">
        <v>46055</v>
      </c>
    </row>
    <row r="2262" spans="2:15" hidden="1" x14ac:dyDescent="0.3">
      <c r="B2262">
        <v>293951</v>
      </c>
      <c r="C2262" t="s">
        <v>231</v>
      </c>
      <c r="D2262">
        <v>25619</v>
      </c>
      <c r="E2262" t="s">
        <v>150</v>
      </c>
      <c r="F2262" t="s">
        <v>319</v>
      </c>
      <c r="G2262" s="28">
        <v>5</v>
      </c>
      <c r="H2262" s="32">
        <v>1.67</v>
      </c>
      <c r="I2262" s="32">
        <v>201.75</v>
      </c>
      <c r="J2262" t="s">
        <v>239</v>
      </c>
      <c r="K2262" t="s">
        <v>245</v>
      </c>
      <c r="L2262" t="s">
        <v>235</v>
      </c>
      <c r="M2262" t="s">
        <v>236</v>
      </c>
      <c r="N2262" t="s">
        <v>240</v>
      </c>
      <c r="O2262" s="27">
        <v>46063</v>
      </c>
    </row>
    <row r="2263" spans="2:15" hidden="1" x14ac:dyDescent="0.3">
      <c r="B2263">
        <v>6304689</v>
      </c>
      <c r="C2263" t="s">
        <v>231</v>
      </c>
      <c r="D2263">
        <v>25619</v>
      </c>
      <c r="E2263" t="s">
        <v>150</v>
      </c>
      <c r="F2263" t="s">
        <v>287</v>
      </c>
      <c r="G2263" s="28">
        <v>4</v>
      </c>
      <c r="H2263" s="32">
        <v>1.66</v>
      </c>
      <c r="I2263" s="32">
        <v>125.41</v>
      </c>
      <c r="J2263" t="s">
        <v>239</v>
      </c>
      <c r="K2263" t="s">
        <v>245</v>
      </c>
      <c r="L2263" t="s">
        <v>235</v>
      </c>
      <c r="M2263" t="s">
        <v>236</v>
      </c>
      <c r="N2263" t="s">
        <v>237</v>
      </c>
      <c r="O2263" s="27">
        <v>46063</v>
      </c>
    </row>
    <row r="2264" spans="2:15" hidden="1" x14ac:dyDescent="0.3">
      <c r="B2264">
        <v>307208</v>
      </c>
      <c r="C2264" t="s">
        <v>231</v>
      </c>
      <c r="D2264">
        <v>25619</v>
      </c>
      <c r="E2264" t="s">
        <v>150</v>
      </c>
      <c r="F2264" t="s">
        <v>271</v>
      </c>
      <c r="G2264" s="28">
        <v>10</v>
      </c>
      <c r="H2264" s="32">
        <v>1.66</v>
      </c>
      <c r="I2264" s="32">
        <v>184.63</v>
      </c>
      <c r="J2264" t="s">
        <v>239</v>
      </c>
      <c r="K2264" t="s">
        <v>245</v>
      </c>
      <c r="L2264" t="s">
        <v>235</v>
      </c>
      <c r="M2264" t="s">
        <v>236</v>
      </c>
      <c r="N2264" t="s">
        <v>237</v>
      </c>
      <c r="O2264" s="27">
        <v>46063</v>
      </c>
    </row>
    <row r="2265" spans="2:15" hidden="1" x14ac:dyDescent="0.3">
      <c r="B2265">
        <v>5934364</v>
      </c>
      <c r="C2265" t="s">
        <v>231</v>
      </c>
      <c r="D2265">
        <v>72444</v>
      </c>
      <c r="E2265" t="s">
        <v>150</v>
      </c>
      <c r="F2265" t="s">
        <v>160</v>
      </c>
      <c r="G2265" s="28">
        <v>1</v>
      </c>
      <c r="H2265" s="32">
        <v>1.66</v>
      </c>
      <c r="I2265" s="32">
        <v>84.85</v>
      </c>
      <c r="J2265" t="s">
        <v>239</v>
      </c>
      <c r="K2265" t="s">
        <v>245</v>
      </c>
      <c r="L2265" t="s">
        <v>235</v>
      </c>
      <c r="M2265" t="s">
        <v>236</v>
      </c>
      <c r="N2265" t="s">
        <v>240</v>
      </c>
      <c r="O2265" s="27">
        <v>46055</v>
      </c>
    </row>
    <row r="2266" spans="2:15" hidden="1" x14ac:dyDescent="0.3">
      <c r="B2266">
        <v>2590120</v>
      </c>
      <c r="C2266" t="s">
        <v>231</v>
      </c>
      <c r="D2266">
        <v>96553</v>
      </c>
      <c r="E2266" t="s">
        <v>150</v>
      </c>
      <c r="F2266" t="s">
        <v>276</v>
      </c>
      <c r="G2266" s="28">
        <v>4</v>
      </c>
      <c r="H2266" s="32">
        <v>1.65</v>
      </c>
      <c r="I2266" s="32">
        <v>121.08</v>
      </c>
      <c r="J2266" t="s">
        <v>239</v>
      </c>
      <c r="K2266" t="s">
        <v>245</v>
      </c>
      <c r="L2266" t="s">
        <v>235</v>
      </c>
      <c r="M2266" t="s">
        <v>236</v>
      </c>
      <c r="N2266" t="s">
        <v>240</v>
      </c>
      <c r="O2266" s="27">
        <v>46055</v>
      </c>
    </row>
    <row r="2267" spans="2:15" hidden="1" x14ac:dyDescent="0.3">
      <c r="B2267">
        <v>2923617</v>
      </c>
      <c r="C2267" t="s">
        <v>231</v>
      </c>
      <c r="D2267">
        <v>37111</v>
      </c>
      <c r="E2267" t="s">
        <v>150</v>
      </c>
      <c r="F2267" t="s">
        <v>160</v>
      </c>
      <c r="G2267" s="28">
        <v>1</v>
      </c>
      <c r="H2267" s="32">
        <v>1.65</v>
      </c>
      <c r="I2267" s="32">
        <v>84.85</v>
      </c>
      <c r="J2267" t="s">
        <v>239</v>
      </c>
      <c r="K2267" t="s">
        <v>245</v>
      </c>
      <c r="L2267" t="s">
        <v>235</v>
      </c>
      <c r="M2267" t="s">
        <v>236</v>
      </c>
      <c r="N2267" t="s">
        <v>240</v>
      </c>
      <c r="O2267" s="27">
        <v>46055</v>
      </c>
    </row>
    <row r="2268" spans="2:15" hidden="1" x14ac:dyDescent="0.3">
      <c r="B2268">
        <v>7768707</v>
      </c>
      <c r="C2268" t="s">
        <v>260</v>
      </c>
      <c r="D2268">
        <v>21559</v>
      </c>
      <c r="E2268" t="s">
        <v>150</v>
      </c>
      <c r="F2268" t="s">
        <v>287</v>
      </c>
      <c r="G2268" s="28">
        <v>4</v>
      </c>
      <c r="H2268" s="32">
        <v>1.65</v>
      </c>
      <c r="I2268" s="32">
        <v>125.4</v>
      </c>
      <c r="J2268" t="s">
        <v>239</v>
      </c>
      <c r="K2268" t="s">
        <v>245</v>
      </c>
      <c r="L2268" t="s">
        <v>235</v>
      </c>
      <c r="M2268" t="s">
        <v>236</v>
      </c>
      <c r="N2268" t="s">
        <v>237</v>
      </c>
      <c r="O2268" s="27">
        <v>46063</v>
      </c>
    </row>
    <row r="2269" spans="2:15" hidden="1" x14ac:dyDescent="0.3">
      <c r="B2269">
        <v>3306352</v>
      </c>
      <c r="C2269" t="s">
        <v>231</v>
      </c>
      <c r="D2269">
        <v>21468</v>
      </c>
      <c r="E2269" t="s">
        <v>150</v>
      </c>
      <c r="F2269" t="s">
        <v>298</v>
      </c>
      <c r="G2269" s="28">
        <v>5</v>
      </c>
      <c r="H2269" s="32">
        <v>1.64</v>
      </c>
      <c r="I2269" s="32">
        <v>82.08</v>
      </c>
      <c r="J2269" t="s">
        <v>239</v>
      </c>
      <c r="K2269" t="s">
        <v>245</v>
      </c>
      <c r="L2269" t="s">
        <v>235</v>
      </c>
      <c r="M2269" t="s">
        <v>236</v>
      </c>
      <c r="N2269" t="s">
        <v>237</v>
      </c>
      <c r="O2269" s="27">
        <v>46055</v>
      </c>
    </row>
    <row r="2270" spans="2:15" hidden="1" x14ac:dyDescent="0.3">
      <c r="B2270">
        <v>4381878</v>
      </c>
      <c r="C2270" t="s">
        <v>231</v>
      </c>
      <c r="D2270">
        <v>74304</v>
      </c>
      <c r="E2270" t="s">
        <v>150</v>
      </c>
      <c r="F2270" t="s">
        <v>298</v>
      </c>
      <c r="G2270" s="28">
        <v>5</v>
      </c>
      <c r="H2270" s="32">
        <v>1.64</v>
      </c>
      <c r="I2270" s="32">
        <v>82.08</v>
      </c>
      <c r="J2270" t="s">
        <v>239</v>
      </c>
      <c r="K2270" t="s">
        <v>245</v>
      </c>
      <c r="L2270" t="s">
        <v>235</v>
      </c>
      <c r="M2270" t="s">
        <v>236</v>
      </c>
      <c r="N2270" t="s">
        <v>237</v>
      </c>
      <c r="O2270" s="27">
        <v>46055</v>
      </c>
    </row>
    <row r="2271" spans="2:15" hidden="1" x14ac:dyDescent="0.3">
      <c r="B2271">
        <v>74468</v>
      </c>
      <c r="C2271" t="s">
        <v>260</v>
      </c>
      <c r="D2271">
        <v>69519</v>
      </c>
      <c r="E2271" t="s">
        <v>150</v>
      </c>
      <c r="F2271" t="s">
        <v>287</v>
      </c>
      <c r="G2271" s="28">
        <v>9</v>
      </c>
      <c r="H2271" s="32">
        <v>1.64</v>
      </c>
      <c r="I2271" s="32">
        <v>282.32</v>
      </c>
      <c r="J2271" t="s">
        <v>239</v>
      </c>
      <c r="K2271" t="s">
        <v>245</v>
      </c>
      <c r="L2271" t="s">
        <v>235</v>
      </c>
      <c r="M2271" t="s">
        <v>236</v>
      </c>
      <c r="N2271" t="s">
        <v>237</v>
      </c>
      <c r="O2271" s="27">
        <v>46063</v>
      </c>
    </row>
    <row r="2272" spans="2:15" hidden="1" x14ac:dyDescent="0.3">
      <c r="B2272">
        <v>3461330</v>
      </c>
      <c r="C2272" t="s">
        <v>260</v>
      </c>
      <c r="D2272">
        <v>21468</v>
      </c>
      <c r="E2272" t="s">
        <v>150</v>
      </c>
      <c r="F2272" t="s">
        <v>337</v>
      </c>
      <c r="G2272" s="28">
        <v>6</v>
      </c>
      <c r="H2272" s="32">
        <v>1.64</v>
      </c>
      <c r="I2272" s="32">
        <v>217.98</v>
      </c>
      <c r="J2272" t="s">
        <v>239</v>
      </c>
      <c r="K2272" t="s">
        <v>245</v>
      </c>
      <c r="L2272" t="s">
        <v>235</v>
      </c>
      <c r="M2272" t="s">
        <v>236</v>
      </c>
      <c r="N2272" t="s">
        <v>237</v>
      </c>
      <c r="O2272" s="27">
        <v>46063</v>
      </c>
    </row>
    <row r="2273" spans="2:15" hidden="1" x14ac:dyDescent="0.3">
      <c r="B2273">
        <v>245239</v>
      </c>
      <c r="C2273" t="s">
        <v>231</v>
      </c>
      <c r="D2273">
        <v>21468</v>
      </c>
      <c r="E2273" t="s">
        <v>150</v>
      </c>
      <c r="F2273" t="s">
        <v>287</v>
      </c>
      <c r="G2273" s="28">
        <v>5</v>
      </c>
      <c r="H2273" s="32">
        <v>1.63</v>
      </c>
      <c r="I2273" s="32">
        <v>156.07</v>
      </c>
      <c r="J2273" t="s">
        <v>239</v>
      </c>
      <c r="K2273" t="s">
        <v>245</v>
      </c>
      <c r="L2273" t="s">
        <v>235</v>
      </c>
      <c r="M2273" t="s">
        <v>236</v>
      </c>
      <c r="N2273" t="s">
        <v>237</v>
      </c>
      <c r="O2273" s="27">
        <v>46055</v>
      </c>
    </row>
    <row r="2274" spans="2:15" hidden="1" x14ac:dyDescent="0.3">
      <c r="B2274">
        <v>3528854</v>
      </c>
      <c r="C2274" t="s">
        <v>231</v>
      </c>
      <c r="D2274">
        <v>71881</v>
      </c>
      <c r="E2274" t="s">
        <v>150</v>
      </c>
      <c r="F2274" t="s">
        <v>164</v>
      </c>
      <c r="G2274" s="28">
        <v>3</v>
      </c>
      <c r="H2274" s="32">
        <v>1.63</v>
      </c>
      <c r="I2274" s="32">
        <v>145.81</v>
      </c>
      <c r="J2274" t="s">
        <v>239</v>
      </c>
      <c r="K2274" t="s">
        <v>245</v>
      </c>
      <c r="L2274" t="s">
        <v>235</v>
      </c>
      <c r="M2274" t="s">
        <v>236</v>
      </c>
      <c r="N2274" t="s">
        <v>240</v>
      </c>
      <c r="O2274" s="27">
        <v>46063</v>
      </c>
    </row>
    <row r="2275" spans="2:15" hidden="1" x14ac:dyDescent="0.3">
      <c r="B2275">
        <v>9673848</v>
      </c>
      <c r="C2275" t="s">
        <v>231</v>
      </c>
      <c r="D2275">
        <v>22674</v>
      </c>
      <c r="E2275" t="s">
        <v>150</v>
      </c>
      <c r="F2275" t="s">
        <v>164</v>
      </c>
      <c r="G2275" s="28">
        <v>2</v>
      </c>
      <c r="H2275" s="32">
        <v>1.63</v>
      </c>
      <c r="I2275" s="32">
        <v>91.66</v>
      </c>
      <c r="J2275" t="s">
        <v>239</v>
      </c>
      <c r="K2275" t="s">
        <v>245</v>
      </c>
      <c r="L2275" t="s">
        <v>235</v>
      </c>
      <c r="M2275" t="s">
        <v>236</v>
      </c>
      <c r="N2275" t="s">
        <v>240</v>
      </c>
      <c r="O2275" s="27">
        <v>46055</v>
      </c>
    </row>
    <row r="2276" spans="2:15" hidden="1" x14ac:dyDescent="0.3">
      <c r="B2276">
        <v>5740954</v>
      </c>
      <c r="C2276" t="s">
        <v>260</v>
      </c>
      <c r="D2276">
        <v>23648</v>
      </c>
      <c r="E2276" t="s">
        <v>150</v>
      </c>
      <c r="F2276" t="s">
        <v>337</v>
      </c>
      <c r="G2276" s="28">
        <v>5</v>
      </c>
      <c r="H2276" s="32">
        <v>1.63</v>
      </c>
      <c r="I2276" s="32">
        <v>183.76</v>
      </c>
      <c r="J2276" t="s">
        <v>239</v>
      </c>
      <c r="K2276" t="s">
        <v>245</v>
      </c>
      <c r="L2276" t="s">
        <v>235</v>
      </c>
      <c r="M2276" t="s">
        <v>236</v>
      </c>
      <c r="N2276" t="s">
        <v>237</v>
      </c>
      <c r="O2276" s="27">
        <v>46055</v>
      </c>
    </row>
    <row r="2277" spans="2:15" hidden="1" x14ac:dyDescent="0.3">
      <c r="B2277">
        <v>4089266</v>
      </c>
      <c r="C2277" t="s">
        <v>260</v>
      </c>
      <c r="D2277">
        <v>22674</v>
      </c>
      <c r="E2277" t="s">
        <v>150</v>
      </c>
      <c r="F2277" t="s">
        <v>319</v>
      </c>
      <c r="G2277" s="28">
        <v>4</v>
      </c>
      <c r="H2277" s="32">
        <v>1.63</v>
      </c>
      <c r="I2277" s="32">
        <v>161.29</v>
      </c>
      <c r="J2277" t="s">
        <v>239</v>
      </c>
      <c r="K2277" t="s">
        <v>245</v>
      </c>
      <c r="L2277" t="s">
        <v>235</v>
      </c>
      <c r="M2277" t="s">
        <v>236</v>
      </c>
      <c r="N2277" t="s">
        <v>240</v>
      </c>
      <c r="O2277" s="27">
        <v>46063</v>
      </c>
    </row>
    <row r="2278" spans="2:15" hidden="1" x14ac:dyDescent="0.3">
      <c r="B2278">
        <v>1579</v>
      </c>
      <c r="C2278" t="s">
        <v>231</v>
      </c>
      <c r="D2278">
        <v>21468</v>
      </c>
      <c r="E2278" t="s">
        <v>150</v>
      </c>
      <c r="F2278" t="s">
        <v>276</v>
      </c>
      <c r="G2278" s="28">
        <v>4</v>
      </c>
      <c r="H2278" s="32">
        <v>1.62</v>
      </c>
      <c r="I2278" s="32">
        <v>121.08</v>
      </c>
      <c r="J2278" t="s">
        <v>239</v>
      </c>
      <c r="K2278" t="s">
        <v>245</v>
      </c>
      <c r="L2278" t="s">
        <v>235</v>
      </c>
      <c r="M2278" t="s">
        <v>236</v>
      </c>
      <c r="N2278" t="s">
        <v>240</v>
      </c>
      <c r="O2278" s="27">
        <v>46055</v>
      </c>
    </row>
    <row r="2279" spans="2:15" hidden="1" x14ac:dyDescent="0.3">
      <c r="B2279">
        <v>3321439</v>
      </c>
      <c r="C2279" t="s">
        <v>231</v>
      </c>
      <c r="D2279">
        <v>22674</v>
      </c>
      <c r="E2279" t="s">
        <v>150</v>
      </c>
      <c r="F2279" t="s">
        <v>164</v>
      </c>
      <c r="G2279" s="28">
        <v>2</v>
      </c>
      <c r="H2279" s="32">
        <v>1.62</v>
      </c>
      <c r="I2279" s="32">
        <v>91.66</v>
      </c>
      <c r="J2279" t="s">
        <v>239</v>
      </c>
      <c r="K2279" t="s">
        <v>245</v>
      </c>
      <c r="L2279" t="s">
        <v>235</v>
      </c>
      <c r="M2279" t="s">
        <v>236</v>
      </c>
      <c r="N2279" t="s">
        <v>240</v>
      </c>
      <c r="O2279" s="27">
        <v>46055</v>
      </c>
    </row>
    <row r="2280" spans="2:15" hidden="1" x14ac:dyDescent="0.3">
      <c r="B2280">
        <v>6859448</v>
      </c>
      <c r="C2280" t="s">
        <v>231</v>
      </c>
      <c r="D2280">
        <v>25619</v>
      </c>
      <c r="E2280" t="s">
        <v>150</v>
      </c>
      <c r="F2280" t="s">
        <v>337</v>
      </c>
      <c r="G2280" s="28">
        <v>6</v>
      </c>
      <c r="H2280" s="32">
        <v>1.62</v>
      </c>
      <c r="I2280" s="32">
        <v>217.98</v>
      </c>
      <c r="J2280" t="s">
        <v>239</v>
      </c>
      <c r="K2280" t="s">
        <v>245</v>
      </c>
      <c r="L2280" t="s">
        <v>235</v>
      </c>
      <c r="M2280" t="s">
        <v>236</v>
      </c>
      <c r="N2280" t="s">
        <v>237</v>
      </c>
      <c r="O2280" s="27">
        <v>46063</v>
      </c>
    </row>
    <row r="2281" spans="2:15" hidden="1" x14ac:dyDescent="0.3">
      <c r="B2281">
        <v>5377617</v>
      </c>
      <c r="C2281" t="s">
        <v>231</v>
      </c>
      <c r="D2281">
        <v>21559</v>
      </c>
      <c r="E2281" t="s">
        <v>150</v>
      </c>
      <c r="F2281" t="s">
        <v>287</v>
      </c>
      <c r="G2281" s="28">
        <v>4</v>
      </c>
      <c r="H2281" s="32">
        <v>1.61</v>
      </c>
      <c r="I2281" s="32">
        <v>125.4</v>
      </c>
      <c r="J2281" t="s">
        <v>239</v>
      </c>
      <c r="K2281" t="s">
        <v>245</v>
      </c>
      <c r="L2281" t="s">
        <v>235</v>
      </c>
      <c r="M2281" t="s">
        <v>236</v>
      </c>
      <c r="N2281" t="s">
        <v>237</v>
      </c>
      <c r="O2281" s="27">
        <v>46063</v>
      </c>
    </row>
    <row r="2282" spans="2:15" hidden="1" x14ac:dyDescent="0.3">
      <c r="B2282">
        <v>2328302</v>
      </c>
      <c r="C2282" t="s">
        <v>231</v>
      </c>
      <c r="D2282">
        <v>22674</v>
      </c>
      <c r="E2282" t="s">
        <v>150</v>
      </c>
      <c r="F2282" t="s">
        <v>287</v>
      </c>
      <c r="G2282" s="28">
        <v>12</v>
      </c>
      <c r="H2282" s="32">
        <v>1.6</v>
      </c>
      <c r="I2282" s="32">
        <v>374.52</v>
      </c>
      <c r="J2282" t="s">
        <v>239</v>
      </c>
      <c r="K2282" t="s">
        <v>245</v>
      </c>
      <c r="L2282" t="s">
        <v>235</v>
      </c>
      <c r="M2282" t="s">
        <v>236</v>
      </c>
      <c r="N2282" t="s">
        <v>240</v>
      </c>
      <c r="O2282" s="27">
        <v>46055</v>
      </c>
    </row>
    <row r="2283" spans="2:15" hidden="1" x14ac:dyDescent="0.3">
      <c r="B2283">
        <v>2603913</v>
      </c>
      <c r="C2283" t="s">
        <v>231</v>
      </c>
      <c r="D2283">
        <v>69519</v>
      </c>
      <c r="E2283" t="s">
        <v>150</v>
      </c>
      <c r="F2283" t="s">
        <v>331</v>
      </c>
      <c r="G2283" s="28">
        <v>11</v>
      </c>
      <c r="H2283" s="32">
        <v>1.6</v>
      </c>
      <c r="I2283" s="32">
        <v>106.21</v>
      </c>
      <c r="J2283" t="s">
        <v>267</v>
      </c>
      <c r="K2283" t="s">
        <v>245</v>
      </c>
      <c r="L2283" t="s">
        <v>235</v>
      </c>
      <c r="M2283" t="s">
        <v>236</v>
      </c>
      <c r="N2283" t="s">
        <v>240</v>
      </c>
      <c r="O2283" s="27">
        <v>46063</v>
      </c>
    </row>
    <row r="2284" spans="2:15" hidden="1" x14ac:dyDescent="0.3">
      <c r="B2284">
        <v>2143207</v>
      </c>
      <c r="C2284" t="s">
        <v>231</v>
      </c>
      <c r="D2284">
        <v>21468</v>
      </c>
      <c r="E2284" t="s">
        <v>150</v>
      </c>
      <c r="F2284" t="s">
        <v>395</v>
      </c>
      <c r="G2284" s="28">
        <v>38</v>
      </c>
      <c r="H2284" s="32">
        <v>1.6</v>
      </c>
      <c r="I2284" s="32">
        <v>236.74</v>
      </c>
      <c r="J2284" t="s">
        <v>330</v>
      </c>
      <c r="K2284" t="s">
        <v>234</v>
      </c>
      <c r="L2284" t="s">
        <v>235</v>
      </c>
      <c r="M2284" t="s">
        <v>236</v>
      </c>
      <c r="N2284" t="s">
        <v>237</v>
      </c>
      <c r="O2284" s="27">
        <v>46057</v>
      </c>
    </row>
    <row r="2285" spans="2:15" hidden="1" x14ac:dyDescent="0.3">
      <c r="B2285">
        <v>9260624</v>
      </c>
      <c r="C2285" t="s">
        <v>231</v>
      </c>
      <c r="D2285">
        <v>24415</v>
      </c>
      <c r="E2285" t="s">
        <v>150</v>
      </c>
      <c r="F2285" t="s">
        <v>337</v>
      </c>
      <c r="G2285" s="28">
        <v>5</v>
      </c>
      <c r="H2285" s="32">
        <v>1.6</v>
      </c>
      <c r="I2285" s="32">
        <v>183.76</v>
      </c>
      <c r="J2285" t="s">
        <v>239</v>
      </c>
      <c r="K2285" t="s">
        <v>245</v>
      </c>
      <c r="L2285" t="s">
        <v>235</v>
      </c>
      <c r="M2285" t="s">
        <v>236</v>
      </c>
      <c r="N2285" t="s">
        <v>237</v>
      </c>
      <c r="O2285" s="27">
        <v>46055</v>
      </c>
    </row>
    <row r="2286" spans="2:15" hidden="1" x14ac:dyDescent="0.3">
      <c r="B2286">
        <v>16284979</v>
      </c>
      <c r="C2286" t="s">
        <v>231</v>
      </c>
      <c r="D2286">
        <v>25619</v>
      </c>
      <c r="E2286" t="s">
        <v>150</v>
      </c>
      <c r="F2286" t="s">
        <v>319</v>
      </c>
      <c r="G2286" s="28">
        <v>5</v>
      </c>
      <c r="H2286" s="32">
        <v>1.6</v>
      </c>
      <c r="I2286" s="32">
        <v>201.75</v>
      </c>
      <c r="J2286" t="s">
        <v>239</v>
      </c>
      <c r="K2286" t="s">
        <v>245</v>
      </c>
      <c r="L2286" t="s">
        <v>235</v>
      </c>
      <c r="M2286" t="s">
        <v>236</v>
      </c>
      <c r="N2286" t="s">
        <v>240</v>
      </c>
      <c r="O2286" s="27">
        <v>46063</v>
      </c>
    </row>
    <row r="2287" spans="2:15" hidden="1" x14ac:dyDescent="0.3">
      <c r="B2287">
        <v>3055824</v>
      </c>
      <c r="C2287" t="s">
        <v>231</v>
      </c>
      <c r="D2287">
        <v>96553</v>
      </c>
      <c r="E2287" t="s">
        <v>150</v>
      </c>
      <c r="F2287" t="s">
        <v>319</v>
      </c>
      <c r="G2287" s="28">
        <v>4</v>
      </c>
      <c r="H2287" s="32">
        <v>1.6</v>
      </c>
      <c r="I2287" s="32">
        <v>161.29</v>
      </c>
      <c r="J2287" t="s">
        <v>239</v>
      </c>
      <c r="K2287" t="s">
        <v>245</v>
      </c>
      <c r="L2287" t="s">
        <v>235</v>
      </c>
      <c r="M2287" t="s">
        <v>236</v>
      </c>
      <c r="N2287" t="s">
        <v>240</v>
      </c>
      <c r="O2287" s="27">
        <v>46063</v>
      </c>
    </row>
    <row r="2288" spans="2:15" hidden="1" x14ac:dyDescent="0.3">
      <c r="B2288">
        <v>3247420</v>
      </c>
      <c r="C2288" t="s">
        <v>231</v>
      </c>
      <c r="D2288">
        <v>23410</v>
      </c>
      <c r="E2288" t="s">
        <v>150</v>
      </c>
      <c r="F2288" t="s">
        <v>319</v>
      </c>
      <c r="G2288" s="28">
        <v>5</v>
      </c>
      <c r="H2288" s="32">
        <v>1.6</v>
      </c>
      <c r="I2288" s="32">
        <v>201.75</v>
      </c>
      <c r="J2288" t="s">
        <v>239</v>
      </c>
      <c r="K2288" t="s">
        <v>245</v>
      </c>
      <c r="L2288" t="s">
        <v>235</v>
      </c>
      <c r="M2288" t="s">
        <v>236</v>
      </c>
      <c r="N2288" t="s">
        <v>240</v>
      </c>
      <c r="O2288" s="27">
        <v>46063</v>
      </c>
    </row>
    <row r="2289" spans="2:15" hidden="1" x14ac:dyDescent="0.3">
      <c r="B2289">
        <v>2229229</v>
      </c>
      <c r="C2289" t="s">
        <v>260</v>
      </c>
      <c r="D2289">
        <v>40901</v>
      </c>
      <c r="E2289" t="s">
        <v>150</v>
      </c>
      <c r="F2289" t="s">
        <v>164</v>
      </c>
      <c r="G2289" s="28">
        <v>5</v>
      </c>
      <c r="H2289" s="32">
        <v>1.6</v>
      </c>
      <c r="I2289" s="32">
        <v>229.16</v>
      </c>
      <c r="J2289" t="s">
        <v>239</v>
      </c>
      <c r="K2289" t="s">
        <v>245</v>
      </c>
      <c r="L2289" t="s">
        <v>235</v>
      </c>
      <c r="M2289" t="s">
        <v>236</v>
      </c>
      <c r="N2289" t="s">
        <v>240</v>
      </c>
      <c r="O2289" s="27">
        <v>46055</v>
      </c>
    </row>
    <row r="2290" spans="2:15" hidden="1" x14ac:dyDescent="0.3">
      <c r="B2290">
        <v>4744190</v>
      </c>
      <c r="C2290" t="s">
        <v>260</v>
      </c>
      <c r="D2290">
        <v>22674</v>
      </c>
      <c r="E2290" t="s">
        <v>150</v>
      </c>
      <c r="F2290" t="s">
        <v>319</v>
      </c>
      <c r="G2290" s="28">
        <v>4</v>
      </c>
      <c r="H2290" s="32">
        <v>1.6</v>
      </c>
      <c r="I2290" s="32">
        <v>161.29</v>
      </c>
      <c r="J2290" t="s">
        <v>239</v>
      </c>
      <c r="K2290" t="s">
        <v>245</v>
      </c>
      <c r="L2290" t="s">
        <v>235</v>
      </c>
      <c r="M2290" t="s">
        <v>236</v>
      </c>
      <c r="N2290" t="s">
        <v>240</v>
      </c>
      <c r="O2290" s="27">
        <v>46063</v>
      </c>
    </row>
    <row r="2291" spans="2:15" hidden="1" x14ac:dyDescent="0.3">
      <c r="B2291">
        <v>4216928</v>
      </c>
      <c r="C2291" t="s">
        <v>231</v>
      </c>
      <c r="D2291">
        <v>69519</v>
      </c>
      <c r="E2291" t="s">
        <v>150</v>
      </c>
      <c r="F2291" t="s">
        <v>164</v>
      </c>
      <c r="G2291" s="28">
        <v>3</v>
      </c>
      <c r="H2291" s="32">
        <v>1.59</v>
      </c>
      <c r="I2291" s="32">
        <v>145.86000000000001</v>
      </c>
      <c r="J2291" t="s">
        <v>239</v>
      </c>
      <c r="K2291" t="s">
        <v>245</v>
      </c>
      <c r="L2291" t="s">
        <v>235</v>
      </c>
      <c r="M2291" t="s">
        <v>236</v>
      </c>
      <c r="N2291" t="s">
        <v>240</v>
      </c>
      <c r="O2291" s="27">
        <v>46063</v>
      </c>
    </row>
    <row r="2292" spans="2:15" hidden="1" x14ac:dyDescent="0.3">
      <c r="B2292">
        <v>7088256</v>
      </c>
      <c r="C2292" t="s">
        <v>231</v>
      </c>
      <c r="D2292">
        <v>96553</v>
      </c>
      <c r="E2292" t="s">
        <v>150</v>
      </c>
      <c r="F2292" t="s">
        <v>337</v>
      </c>
      <c r="G2292" s="28">
        <v>5</v>
      </c>
      <c r="H2292" s="32">
        <v>1.59</v>
      </c>
      <c r="I2292" s="32">
        <v>181.54</v>
      </c>
      <c r="J2292" t="s">
        <v>239</v>
      </c>
      <c r="K2292" t="s">
        <v>245</v>
      </c>
      <c r="L2292" t="s">
        <v>235</v>
      </c>
      <c r="M2292" t="s">
        <v>236</v>
      </c>
      <c r="N2292" t="s">
        <v>237</v>
      </c>
      <c r="O2292" s="27">
        <v>46063</v>
      </c>
    </row>
    <row r="2293" spans="2:15" hidden="1" x14ac:dyDescent="0.3">
      <c r="B2293">
        <v>3684655</v>
      </c>
      <c r="C2293" t="s">
        <v>260</v>
      </c>
      <c r="D2293">
        <v>38517</v>
      </c>
      <c r="E2293" t="s">
        <v>150</v>
      </c>
      <c r="F2293" t="s">
        <v>337</v>
      </c>
      <c r="G2293" s="28">
        <v>6</v>
      </c>
      <c r="H2293" s="32">
        <v>1.59</v>
      </c>
      <c r="I2293" s="32">
        <v>217.98</v>
      </c>
      <c r="J2293" t="s">
        <v>239</v>
      </c>
      <c r="K2293" t="s">
        <v>245</v>
      </c>
      <c r="L2293" t="s">
        <v>235</v>
      </c>
      <c r="M2293" t="s">
        <v>236</v>
      </c>
      <c r="N2293" t="s">
        <v>237</v>
      </c>
      <c r="O2293" s="27">
        <v>46063</v>
      </c>
    </row>
    <row r="2294" spans="2:15" hidden="1" x14ac:dyDescent="0.3">
      <c r="B2294">
        <v>15255517</v>
      </c>
      <c r="C2294" t="s">
        <v>231</v>
      </c>
      <c r="D2294">
        <v>23648</v>
      </c>
      <c r="E2294" t="s">
        <v>150</v>
      </c>
      <c r="F2294" t="s">
        <v>272</v>
      </c>
      <c r="G2294" s="28">
        <v>37</v>
      </c>
      <c r="H2294" s="32">
        <v>1.58</v>
      </c>
      <c r="I2294" s="32">
        <v>241.93</v>
      </c>
      <c r="J2294" t="s">
        <v>239</v>
      </c>
      <c r="K2294" t="s">
        <v>245</v>
      </c>
      <c r="L2294" t="s">
        <v>235</v>
      </c>
      <c r="M2294" t="s">
        <v>236</v>
      </c>
      <c r="N2294" t="s">
        <v>237</v>
      </c>
      <c r="O2294" s="27">
        <v>46055</v>
      </c>
    </row>
    <row r="2295" spans="2:15" hidden="1" x14ac:dyDescent="0.3">
      <c r="B2295">
        <v>293951</v>
      </c>
      <c r="C2295" t="s">
        <v>231</v>
      </c>
      <c r="D2295">
        <v>25619</v>
      </c>
      <c r="E2295" t="s">
        <v>150</v>
      </c>
      <c r="F2295" t="s">
        <v>337</v>
      </c>
      <c r="G2295" s="28">
        <v>5</v>
      </c>
      <c r="H2295" s="32">
        <v>1.58</v>
      </c>
      <c r="I2295" s="32">
        <v>181.52</v>
      </c>
      <c r="J2295" t="s">
        <v>239</v>
      </c>
      <c r="K2295" t="s">
        <v>245</v>
      </c>
      <c r="L2295" t="s">
        <v>235</v>
      </c>
      <c r="M2295" t="s">
        <v>236</v>
      </c>
      <c r="N2295" t="s">
        <v>237</v>
      </c>
      <c r="O2295" s="27">
        <v>46063</v>
      </c>
    </row>
    <row r="2296" spans="2:15" hidden="1" x14ac:dyDescent="0.3">
      <c r="B2296">
        <v>3731792</v>
      </c>
      <c r="C2296" t="s">
        <v>260</v>
      </c>
      <c r="D2296">
        <v>69579</v>
      </c>
      <c r="E2296" t="s">
        <v>150</v>
      </c>
      <c r="F2296" t="s">
        <v>337</v>
      </c>
      <c r="G2296" s="28">
        <v>3</v>
      </c>
      <c r="H2296" s="32">
        <v>1.58</v>
      </c>
      <c r="I2296" s="32">
        <v>109.03</v>
      </c>
      <c r="J2296" t="s">
        <v>239</v>
      </c>
      <c r="K2296" t="s">
        <v>245</v>
      </c>
      <c r="L2296" t="s">
        <v>235</v>
      </c>
      <c r="M2296" t="s">
        <v>236</v>
      </c>
      <c r="N2296" t="s">
        <v>237</v>
      </c>
      <c r="O2296" s="27">
        <v>46063</v>
      </c>
    </row>
    <row r="2297" spans="2:15" x14ac:dyDescent="0.3">
      <c r="B2297">
        <v>3105908</v>
      </c>
      <c r="C2297" t="s">
        <v>231</v>
      </c>
      <c r="D2297">
        <v>22103</v>
      </c>
      <c r="E2297" t="s">
        <v>150</v>
      </c>
      <c r="F2297" t="s">
        <v>271</v>
      </c>
      <c r="G2297" s="28">
        <v>13</v>
      </c>
      <c r="H2297" s="32">
        <v>1.57</v>
      </c>
      <c r="I2297" s="32">
        <v>229.53</v>
      </c>
      <c r="J2297" t="s">
        <v>239</v>
      </c>
      <c r="K2297" t="s">
        <v>245</v>
      </c>
      <c r="L2297" t="s">
        <v>235</v>
      </c>
      <c r="M2297" t="s">
        <v>236</v>
      </c>
      <c r="N2297" t="s">
        <v>237</v>
      </c>
      <c r="O2297" s="27">
        <v>46055</v>
      </c>
    </row>
    <row r="2298" spans="2:15" x14ac:dyDescent="0.3">
      <c r="B2298">
        <v>3105908</v>
      </c>
      <c r="C2298" t="s">
        <v>231</v>
      </c>
      <c r="D2298">
        <v>22103</v>
      </c>
      <c r="E2298" t="s">
        <v>150</v>
      </c>
      <c r="F2298" t="s">
        <v>164</v>
      </c>
      <c r="G2298" s="28">
        <v>5</v>
      </c>
      <c r="H2298" s="32">
        <v>1.57</v>
      </c>
      <c r="I2298" s="32">
        <v>229.16</v>
      </c>
      <c r="J2298" t="s">
        <v>239</v>
      </c>
      <c r="K2298" t="s">
        <v>245</v>
      </c>
      <c r="L2298" t="s">
        <v>235</v>
      </c>
      <c r="M2298" t="s">
        <v>236</v>
      </c>
      <c r="N2298" t="s">
        <v>240</v>
      </c>
      <c r="O2298" s="27">
        <v>46055</v>
      </c>
    </row>
    <row r="2299" spans="2:15" hidden="1" x14ac:dyDescent="0.3">
      <c r="B2299">
        <v>440722</v>
      </c>
      <c r="C2299" t="s">
        <v>231</v>
      </c>
      <c r="D2299">
        <v>21468</v>
      </c>
      <c r="E2299" t="s">
        <v>150</v>
      </c>
      <c r="F2299" t="s">
        <v>246</v>
      </c>
      <c r="G2299" s="28">
        <v>6</v>
      </c>
      <c r="H2299" s="32">
        <v>1.56</v>
      </c>
      <c r="I2299" s="32">
        <v>221.66</v>
      </c>
      <c r="J2299" t="s">
        <v>239</v>
      </c>
      <c r="K2299" t="s">
        <v>245</v>
      </c>
      <c r="L2299" t="s">
        <v>235</v>
      </c>
      <c r="M2299" t="s">
        <v>236</v>
      </c>
      <c r="N2299" t="s">
        <v>240</v>
      </c>
      <c r="O2299" s="27">
        <v>46055</v>
      </c>
    </row>
    <row r="2300" spans="2:15" hidden="1" x14ac:dyDescent="0.3">
      <c r="B2300">
        <v>5664804</v>
      </c>
      <c r="C2300" t="s">
        <v>231</v>
      </c>
      <c r="D2300">
        <v>69493</v>
      </c>
      <c r="E2300" t="s">
        <v>150</v>
      </c>
      <c r="F2300" t="s">
        <v>287</v>
      </c>
      <c r="G2300" s="28">
        <v>5</v>
      </c>
      <c r="H2300" s="32">
        <v>1.55</v>
      </c>
      <c r="I2300" s="32">
        <v>156.07</v>
      </c>
      <c r="J2300" t="s">
        <v>239</v>
      </c>
      <c r="K2300" t="s">
        <v>245</v>
      </c>
      <c r="L2300" t="s">
        <v>235</v>
      </c>
      <c r="M2300" t="s">
        <v>236</v>
      </c>
      <c r="N2300" t="s">
        <v>237</v>
      </c>
      <c r="O2300" s="27">
        <v>46055</v>
      </c>
    </row>
    <row r="2301" spans="2:15" hidden="1" x14ac:dyDescent="0.3">
      <c r="B2301">
        <v>4658833</v>
      </c>
      <c r="C2301" t="s">
        <v>260</v>
      </c>
      <c r="D2301">
        <v>38517</v>
      </c>
      <c r="E2301" t="s">
        <v>150</v>
      </c>
      <c r="F2301" t="s">
        <v>287</v>
      </c>
      <c r="G2301" s="28">
        <v>5</v>
      </c>
      <c r="H2301" s="32">
        <v>1.55</v>
      </c>
      <c r="I2301" s="32">
        <v>156.86000000000001</v>
      </c>
      <c r="J2301" t="s">
        <v>239</v>
      </c>
      <c r="K2301" t="s">
        <v>245</v>
      </c>
      <c r="L2301" t="s">
        <v>235</v>
      </c>
      <c r="M2301" t="s">
        <v>236</v>
      </c>
      <c r="N2301" t="s">
        <v>237</v>
      </c>
      <c r="O2301" s="27">
        <v>46063</v>
      </c>
    </row>
    <row r="2302" spans="2:15" hidden="1" x14ac:dyDescent="0.3">
      <c r="B2302">
        <v>3436001</v>
      </c>
      <c r="C2302" t="s">
        <v>260</v>
      </c>
      <c r="D2302">
        <v>21468</v>
      </c>
      <c r="E2302" t="s">
        <v>150</v>
      </c>
      <c r="F2302" t="s">
        <v>160</v>
      </c>
      <c r="G2302" s="28">
        <v>2</v>
      </c>
      <c r="H2302" s="32">
        <v>1.55</v>
      </c>
      <c r="I2302" s="32">
        <v>169.7</v>
      </c>
      <c r="J2302" t="s">
        <v>239</v>
      </c>
      <c r="K2302" t="s">
        <v>245</v>
      </c>
      <c r="L2302" t="s">
        <v>235</v>
      </c>
      <c r="M2302" t="s">
        <v>236</v>
      </c>
      <c r="N2302" t="s">
        <v>240</v>
      </c>
      <c r="O2302" s="27">
        <v>46055</v>
      </c>
    </row>
    <row r="2303" spans="2:15" hidden="1" x14ac:dyDescent="0.3">
      <c r="B2303">
        <v>9635202</v>
      </c>
      <c r="C2303" t="s">
        <v>231</v>
      </c>
      <c r="D2303">
        <v>71881</v>
      </c>
      <c r="E2303" t="s">
        <v>150</v>
      </c>
      <c r="F2303" t="s">
        <v>282</v>
      </c>
      <c r="G2303" s="28">
        <v>6</v>
      </c>
      <c r="H2303" s="32">
        <v>1.54</v>
      </c>
      <c r="I2303" s="32">
        <v>306.54000000000002</v>
      </c>
      <c r="J2303" t="s">
        <v>239</v>
      </c>
      <c r="K2303" t="s">
        <v>245</v>
      </c>
      <c r="L2303" t="s">
        <v>235</v>
      </c>
      <c r="M2303" t="s">
        <v>236</v>
      </c>
      <c r="N2303" t="s">
        <v>237</v>
      </c>
      <c r="O2303" s="27">
        <v>46063</v>
      </c>
    </row>
    <row r="2304" spans="2:15" hidden="1" x14ac:dyDescent="0.3">
      <c r="B2304">
        <v>2229229</v>
      </c>
      <c r="C2304" t="s">
        <v>260</v>
      </c>
      <c r="D2304">
        <v>40901</v>
      </c>
      <c r="E2304" t="s">
        <v>150</v>
      </c>
      <c r="F2304" t="s">
        <v>263</v>
      </c>
      <c r="G2304" s="28">
        <v>16</v>
      </c>
      <c r="H2304" s="32">
        <v>1.54</v>
      </c>
      <c r="I2304" s="32">
        <v>221.07</v>
      </c>
      <c r="J2304" t="s">
        <v>239</v>
      </c>
      <c r="K2304" t="s">
        <v>245</v>
      </c>
      <c r="L2304" t="s">
        <v>235</v>
      </c>
      <c r="M2304" t="s">
        <v>236</v>
      </c>
      <c r="N2304" t="s">
        <v>240</v>
      </c>
      <c r="O2304" s="27">
        <v>46055</v>
      </c>
    </row>
    <row r="2305" spans="2:15" hidden="1" x14ac:dyDescent="0.3">
      <c r="B2305">
        <v>3430907</v>
      </c>
      <c r="C2305" t="s">
        <v>260</v>
      </c>
      <c r="D2305">
        <v>21468</v>
      </c>
      <c r="E2305" t="s">
        <v>150</v>
      </c>
      <c r="F2305" t="s">
        <v>246</v>
      </c>
      <c r="G2305" s="28">
        <v>7</v>
      </c>
      <c r="H2305" s="32">
        <v>1.54</v>
      </c>
      <c r="I2305" s="32">
        <v>258.64999999999998</v>
      </c>
      <c r="J2305" t="s">
        <v>239</v>
      </c>
      <c r="K2305" t="s">
        <v>245</v>
      </c>
      <c r="L2305" t="s">
        <v>235</v>
      </c>
      <c r="M2305" t="s">
        <v>236</v>
      </c>
      <c r="N2305" t="s">
        <v>237</v>
      </c>
      <c r="O2305" s="27">
        <v>46055</v>
      </c>
    </row>
    <row r="2306" spans="2:15" hidden="1" x14ac:dyDescent="0.3">
      <c r="B2306">
        <v>3270381</v>
      </c>
      <c r="C2306" t="s">
        <v>260</v>
      </c>
      <c r="D2306">
        <v>21559</v>
      </c>
      <c r="E2306" t="s">
        <v>150</v>
      </c>
      <c r="F2306" t="s">
        <v>417</v>
      </c>
      <c r="G2306" s="28">
        <v>2</v>
      </c>
      <c r="H2306" s="32">
        <v>1.54</v>
      </c>
      <c r="I2306" s="32">
        <v>183.23</v>
      </c>
      <c r="J2306" t="s">
        <v>267</v>
      </c>
      <c r="K2306" t="s">
        <v>245</v>
      </c>
      <c r="L2306" t="s">
        <v>235</v>
      </c>
      <c r="M2306" t="s">
        <v>236</v>
      </c>
      <c r="N2306" t="s">
        <v>240</v>
      </c>
      <c r="O2306" s="27">
        <v>46057</v>
      </c>
    </row>
    <row r="2307" spans="2:15" hidden="1" x14ac:dyDescent="0.3">
      <c r="B2307">
        <v>310157</v>
      </c>
      <c r="C2307" t="s">
        <v>231</v>
      </c>
      <c r="D2307">
        <v>68542</v>
      </c>
      <c r="E2307" t="s">
        <v>150</v>
      </c>
      <c r="F2307" t="s">
        <v>295</v>
      </c>
      <c r="G2307" s="28">
        <v>14</v>
      </c>
      <c r="H2307" s="32">
        <v>1.53</v>
      </c>
      <c r="I2307" s="32">
        <v>1359</v>
      </c>
      <c r="J2307" t="s">
        <v>267</v>
      </c>
      <c r="K2307" t="s">
        <v>245</v>
      </c>
      <c r="L2307" t="s">
        <v>235</v>
      </c>
      <c r="M2307" t="s">
        <v>236</v>
      </c>
      <c r="N2307" t="s">
        <v>237</v>
      </c>
      <c r="O2307" s="27">
        <v>46057</v>
      </c>
    </row>
    <row r="2308" spans="2:15" hidden="1" x14ac:dyDescent="0.3">
      <c r="B2308">
        <v>3911170</v>
      </c>
      <c r="C2308" t="s">
        <v>231</v>
      </c>
      <c r="D2308">
        <v>21468</v>
      </c>
      <c r="E2308" t="s">
        <v>150</v>
      </c>
      <c r="F2308" t="s">
        <v>319</v>
      </c>
      <c r="G2308" s="28">
        <v>5</v>
      </c>
      <c r="H2308" s="32">
        <v>1.53</v>
      </c>
      <c r="I2308" s="32">
        <v>201.75</v>
      </c>
      <c r="J2308" t="s">
        <v>239</v>
      </c>
      <c r="K2308" t="s">
        <v>245</v>
      </c>
      <c r="L2308" t="s">
        <v>235</v>
      </c>
      <c r="M2308" t="s">
        <v>236</v>
      </c>
      <c r="N2308" t="s">
        <v>240</v>
      </c>
      <c r="O2308" s="27">
        <v>46063</v>
      </c>
    </row>
    <row r="2309" spans="2:15" hidden="1" x14ac:dyDescent="0.3">
      <c r="B2309">
        <v>8142187</v>
      </c>
      <c r="C2309" t="s">
        <v>260</v>
      </c>
      <c r="D2309">
        <v>21468</v>
      </c>
      <c r="E2309" t="s">
        <v>150</v>
      </c>
      <c r="F2309" t="s">
        <v>287</v>
      </c>
      <c r="G2309" s="28">
        <v>4</v>
      </c>
      <c r="H2309" s="32">
        <v>1.53</v>
      </c>
      <c r="I2309" s="32">
        <v>125.42</v>
      </c>
      <c r="J2309" t="s">
        <v>239</v>
      </c>
      <c r="K2309" t="s">
        <v>245</v>
      </c>
      <c r="L2309" t="s">
        <v>235</v>
      </c>
      <c r="M2309" t="s">
        <v>236</v>
      </c>
      <c r="N2309" t="s">
        <v>237</v>
      </c>
      <c r="O2309" s="27">
        <v>46063</v>
      </c>
    </row>
    <row r="2310" spans="2:15" hidden="1" x14ac:dyDescent="0.3">
      <c r="B2310">
        <v>2603913</v>
      </c>
      <c r="C2310" t="s">
        <v>231</v>
      </c>
      <c r="D2310">
        <v>69519</v>
      </c>
      <c r="E2310" t="s">
        <v>150</v>
      </c>
      <c r="F2310" t="s">
        <v>304</v>
      </c>
      <c r="G2310" s="28">
        <v>2</v>
      </c>
      <c r="H2310" s="32">
        <v>1.52</v>
      </c>
      <c r="I2310" s="32">
        <v>191.3</v>
      </c>
      <c r="J2310" t="s">
        <v>267</v>
      </c>
      <c r="K2310" t="s">
        <v>245</v>
      </c>
      <c r="L2310" t="s">
        <v>235</v>
      </c>
      <c r="M2310" t="s">
        <v>236</v>
      </c>
      <c r="N2310" t="s">
        <v>237</v>
      </c>
      <c r="O2310" s="27">
        <v>46063</v>
      </c>
    </row>
    <row r="2311" spans="2:15" hidden="1" x14ac:dyDescent="0.3">
      <c r="B2311">
        <v>16284979</v>
      </c>
      <c r="C2311" t="s">
        <v>231</v>
      </c>
      <c r="D2311">
        <v>25619</v>
      </c>
      <c r="E2311" t="s">
        <v>150</v>
      </c>
      <c r="F2311" t="s">
        <v>337</v>
      </c>
      <c r="G2311" s="28">
        <v>5</v>
      </c>
      <c r="H2311" s="32">
        <v>1.52</v>
      </c>
      <c r="I2311" s="32">
        <v>181.54</v>
      </c>
      <c r="J2311" t="s">
        <v>239</v>
      </c>
      <c r="K2311" t="s">
        <v>245</v>
      </c>
      <c r="L2311" t="s">
        <v>235</v>
      </c>
      <c r="M2311" t="s">
        <v>236</v>
      </c>
      <c r="N2311" t="s">
        <v>237</v>
      </c>
      <c r="O2311" s="27">
        <v>46063</v>
      </c>
    </row>
    <row r="2312" spans="2:15" hidden="1" x14ac:dyDescent="0.3">
      <c r="B2312">
        <v>5263260</v>
      </c>
      <c r="C2312" t="s">
        <v>231</v>
      </c>
      <c r="D2312">
        <v>23648</v>
      </c>
      <c r="E2312" t="s">
        <v>150</v>
      </c>
      <c r="F2312" t="s">
        <v>319</v>
      </c>
      <c r="G2312" s="28">
        <v>4</v>
      </c>
      <c r="H2312" s="32">
        <v>1.52</v>
      </c>
      <c r="I2312" s="32">
        <v>161.29</v>
      </c>
      <c r="J2312" t="s">
        <v>239</v>
      </c>
      <c r="K2312" t="s">
        <v>245</v>
      </c>
      <c r="L2312" t="s">
        <v>235</v>
      </c>
      <c r="M2312" t="s">
        <v>236</v>
      </c>
      <c r="N2312" t="s">
        <v>240</v>
      </c>
      <c r="O2312" s="27">
        <v>46063</v>
      </c>
    </row>
    <row r="2313" spans="2:15" hidden="1" x14ac:dyDescent="0.3">
      <c r="B2313">
        <v>5362471</v>
      </c>
      <c r="C2313" t="s">
        <v>260</v>
      </c>
      <c r="D2313">
        <v>22674</v>
      </c>
      <c r="E2313" t="s">
        <v>150</v>
      </c>
      <c r="F2313" t="s">
        <v>287</v>
      </c>
      <c r="G2313" s="28">
        <v>4</v>
      </c>
      <c r="H2313" s="32">
        <v>1.52</v>
      </c>
      <c r="I2313" s="32">
        <v>125.4</v>
      </c>
      <c r="J2313" t="s">
        <v>239</v>
      </c>
      <c r="K2313" t="s">
        <v>245</v>
      </c>
      <c r="L2313" t="s">
        <v>235</v>
      </c>
      <c r="M2313" t="s">
        <v>236</v>
      </c>
      <c r="N2313" t="s">
        <v>237</v>
      </c>
      <c r="O2313" s="27">
        <v>46063</v>
      </c>
    </row>
    <row r="2314" spans="2:15" hidden="1" x14ac:dyDescent="0.3">
      <c r="B2314">
        <v>3247420</v>
      </c>
      <c r="C2314" t="s">
        <v>231</v>
      </c>
      <c r="D2314">
        <v>23410</v>
      </c>
      <c r="E2314" t="s">
        <v>150</v>
      </c>
      <c r="F2314" t="s">
        <v>337</v>
      </c>
      <c r="G2314" s="28">
        <v>5</v>
      </c>
      <c r="H2314" s="32">
        <v>1.51</v>
      </c>
      <c r="I2314" s="32">
        <v>181.52</v>
      </c>
      <c r="J2314" t="s">
        <v>239</v>
      </c>
      <c r="K2314" t="s">
        <v>245</v>
      </c>
      <c r="L2314" t="s">
        <v>235</v>
      </c>
      <c r="M2314" t="s">
        <v>236</v>
      </c>
      <c r="N2314" t="s">
        <v>237</v>
      </c>
      <c r="O2314" s="27">
        <v>46063</v>
      </c>
    </row>
    <row r="2315" spans="2:15" hidden="1" x14ac:dyDescent="0.3">
      <c r="B2315">
        <v>18702217</v>
      </c>
      <c r="C2315" t="s">
        <v>260</v>
      </c>
      <c r="D2315">
        <v>74304</v>
      </c>
      <c r="E2315" t="s">
        <v>150</v>
      </c>
      <c r="F2315" t="s">
        <v>381</v>
      </c>
      <c r="G2315" s="28">
        <v>17</v>
      </c>
      <c r="H2315" s="32">
        <v>1.51</v>
      </c>
      <c r="I2315" s="32">
        <v>284.92</v>
      </c>
      <c r="J2315" t="s">
        <v>330</v>
      </c>
      <c r="K2315" t="s">
        <v>234</v>
      </c>
      <c r="L2315" t="s">
        <v>235</v>
      </c>
      <c r="M2315" t="s">
        <v>236</v>
      </c>
      <c r="N2315" t="s">
        <v>237</v>
      </c>
      <c r="O2315" s="27">
        <v>46072</v>
      </c>
    </row>
    <row r="2316" spans="2:15" hidden="1" x14ac:dyDescent="0.3">
      <c r="B2316">
        <v>54685</v>
      </c>
      <c r="C2316" t="s">
        <v>260</v>
      </c>
      <c r="D2316">
        <v>22674</v>
      </c>
      <c r="E2316" t="s">
        <v>150</v>
      </c>
      <c r="F2316" t="s">
        <v>361</v>
      </c>
      <c r="G2316" s="28">
        <v>7</v>
      </c>
      <c r="H2316" s="32">
        <v>1.51</v>
      </c>
      <c r="I2316" s="32">
        <v>261.51</v>
      </c>
      <c r="J2316" t="s">
        <v>330</v>
      </c>
      <c r="K2316" t="s">
        <v>234</v>
      </c>
      <c r="L2316" t="s">
        <v>235</v>
      </c>
      <c r="M2316" t="s">
        <v>236</v>
      </c>
      <c r="N2316" t="s">
        <v>237</v>
      </c>
      <c r="O2316" s="27">
        <v>46063</v>
      </c>
    </row>
    <row r="2317" spans="2:15" hidden="1" x14ac:dyDescent="0.3">
      <c r="B2317">
        <v>15255517</v>
      </c>
      <c r="C2317" t="s">
        <v>231</v>
      </c>
      <c r="D2317">
        <v>23648</v>
      </c>
      <c r="E2317" t="s">
        <v>150</v>
      </c>
      <c r="F2317" t="s">
        <v>271</v>
      </c>
      <c r="G2317" s="28">
        <v>13</v>
      </c>
      <c r="H2317" s="32">
        <v>1.5</v>
      </c>
      <c r="I2317" s="32">
        <v>229.53</v>
      </c>
      <c r="J2317" t="s">
        <v>239</v>
      </c>
      <c r="K2317" t="s">
        <v>245</v>
      </c>
      <c r="L2317" t="s">
        <v>235</v>
      </c>
      <c r="M2317" t="s">
        <v>236</v>
      </c>
      <c r="N2317" t="s">
        <v>237</v>
      </c>
      <c r="O2317" s="27">
        <v>46055</v>
      </c>
    </row>
    <row r="2318" spans="2:15" hidden="1" x14ac:dyDescent="0.3">
      <c r="B2318">
        <v>8218280</v>
      </c>
      <c r="C2318" t="s">
        <v>260</v>
      </c>
      <c r="D2318">
        <v>21559</v>
      </c>
      <c r="E2318" t="s">
        <v>150</v>
      </c>
      <c r="F2318" t="s">
        <v>324</v>
      </c>
      <c r="G2318" s="28">
        <v>1</v>
      </c>
      <c r="H2318" s="32">
        <v>1.5</v>
      </c>
      <c r="I2318" s="32">
        <v>95.44</v>
      </c>
      <c r="J2318" t="s">
        <v>267</v>
      </c>
      <c r="K2318" t="s">
        <v>245</v>
      </c>
      <c r="L2318" t="s">
        <v>235</v>
      </c>
      <c r="M2318" t="s">
        <v>236</v>
      </c>
      <c r="N2318" t="s">
        <v>240</v>
      </c>
      <c r="O2318" s="27">
        <v>46062</v>
      </c>
    </row>
    <row r="2319" spans="2:15" hidden="1" x14ac:dyDescent="0.3">
      <c r="B2319">
        <v>389066</v>
      </c>
      <c r="C2319" t="s">
        <v>260</v>
      </c>
      <c r="D2319">
        <v>21559</v>
      </c>
      <c r="E2319" t="s">
        <v>150</v>
      </c>
      <c r="F2319" t="s">
        <v>395</v>
      </c>
      <c r="G2319" s="28">
        <v>45</v>
      </c>
      <c r="H2319" s="32">
        <v>1.5</v>
      </c>
      <c r="I2319" s="32">
        <v>294.42</v>
      </c>
      <c r="J2319" t="s">
        <v>330</v>
      </c>
      <c r="K2319" t="s">
        <v>234</v>
      </c>
      <c r="L2319" t="s">
        <v>235</v>
      </c>
      <c r="M2319" t="s">
        <v>236</v>
      </c>
      <c r="N2319" t="s">
        <v>237</v>
      </c>
      <c r="O2319" s="27">
        <v>46072</v>
      </c>
    </row>
    <row r="2320" spans="2:15" hidden="1" x14ac:dyDescent="0.3">
      <c r="B2320">
        <v>4744190</v>
      </c>
      <c r="C2320" t="s">
        <v>260</v>
      </c>
      <c r="D2320">
        <v>22674</v>
      </c>
      <c r="E2320" t="s">
        <v>150</v>
      </c>
      <c r="F2320" t="s">
        <v>337</v>
      </c>
      <c r="G2320" s="28">
        <v>4</v>
      </c>
      <c r="H2320" s="32">
        <v>1.5</v>
      </c>
      <c r="I2320" s="32">
        <v>145.30000000000001</v>
      </c>
      <c r="J2320" t="s">
        <v>239</v>
      </c>
      <c r="K2320" t="s">
        <v>245</v>
      </c>
      <c r="L2320" t="s">
        <v>235</v>
      </c>
      <c r="M2320" t="s">
        <v>236</v>
      </c>
      <c r="N2320" t="s">
        <v>237</v>
      </c>
      <c r="O2320" s="27">
        <v>46063</v>
      </c>
    </row>
    <row r="2321" spans="2:15" hidden="1" x14ac:dyDescent="0.3">
      <c r="B2321">
        <v>18533421</v>
      </c>
      <c r="C2321" t="s">
        <v>231</v>
      </c>
      <c r="D2321">
        <v>40901</v>
      </c>
      <c r="E2321" t="s">
        <v>150</v>
      </c>
      <c r="F2321" t="s">
        <v>246</v>
      </c>
      <c r="G2321" s="28">
        <v>3</v>
      </c>
      <c r="H2321" s="32">
        <v>1.49</v>
      </c>
      <c r="I2321" s="32">
        <v>110.83</v>
      </c>
      <c r="J2321" t="s">
        <v>239</v>
      </c>
      <c r="K2321" t="s">
        <v>245</v>
      </c>
      <c r="L2321" t="s">
        <v>235</v>
      </c>
      <c r="M2321" t="s">
        <v>236</v>
      </c>
      <c r="N2321" t="s">
        <v>240</v>
      </c>
      <c r="O2321" s="27">
        <v>46055</v>
      </c>
    </row>
    <row r="2322" spans="2:15" hidden="1" x14ac:dyDescent="0.3">
      <c r="B2322">
        <v>575946</v>
      </c>
      <c r="C2322" t="s">
        <v>231</v>
      </c>
      <c r="D2322">
        <v>25619</v>
      </c>
      <c r="E2322" t="s">
        <v>150</v>
      </c>
      <c r="F2322" t="s">
        <v>272</v>
      </c>
      <c r="G2322" s="28">
        <v>38</v>
      </c>
      <c r="H2322" s="32">
        <v>1.49</v>
      </c>
      <c r="I2322" s="32">
        <v>248.47</v>
      </c>
      <c r="J2322" t="s">
        <v>239</v>
      </c>
      <c r="K2322" t="s">
        <v>245</v>
      </c>
      <c r="L2322" t="s">
        <v>235</v>
      </c>
      <c r="M2322" t="s">
        <v>236</v>
      </c>
      <c r="N2322" t="s">
        <v>237</v>
      </c>
      <c r="O2322" s="27">
        <v>46055</v>
      </c>
    </row>
    <row r="2323" spans="2:15" hidden="1" x14ac:dyDescent="0.3">
      <c r="B2323">
        <v>11593572</v>
      </c>
      <c r="C2323" t="s">
        <v>231</v>
      </c>
      <c r="D2323">
        <v>22674</v>
      </c>
      <c r="E2323" t="s">
        <v>150</v>
      </c>
      <c r="F2323" t="s">
        <v>295</v>
      </c>
      <c r="G2323" s="28">
        <v>9</v>
      </c>
      <c r="H2323" s="32">
        <v>1.49</v>
      </c>
      <c r="I2323" s="32">
        <v>867.91</v>
      </c>
      <c r="J2323" t="s">
        <v>267</v>
      </c>
      <c r="K2323" t="s">
        <v>245</v>
      </c>
      <c r="L2323" t="s">
        <v>235</v>
      </c>
      <c r="M2323" t="s">
        <v>236</v>
      </c>
      <c r="N2323" t="s">
        <v>240</v>
      </c>
      <c r="O2323" s="27">
        <v>46056</v>
      </c>
    </row>
    <row r="2324" spans="2:15" hidden="1" x14ac:dyDescent="0.3">
      <c r="B2324">
        <v>8841219</v>
      </c>
      <c r="C2324" t="s">
        <v>231</v>
      </c>
      <c r="D2324">
        <v>21468</v>
      </c>
      <c r="E2324" t="s">
        <v>150</v>
      </c>
      <c r="F2324" t="s">
        <v>287</v>
      </c>
      <c r="G2324" s="28">
        <v>3</v>
      </c>
      <c r="H2324" s="32">
        <v>1.48</v>
      </c>
      <c r="I2324" s="32">
        <v>94.16</v>
      </c>
      <c r="J2324" t="s">
        <v>239</v>
      </c>
      <c r="K2324" t="s">
        <v>245</v>
      </c>
      <c r="L2324" t="s">
        <v>235</v>
      </c>
      <c r="M2324" t="s">
        <v>236</v>
      </c>
      <c r="N2324" t="s">
        <v>237</v>
      </c>
      <c r="O2324" s="27">
        <v>46063</v>
      </c>
    </row>
    <row r="2325" spans="2:15" hidden="1" x14ac:dyDescent="0.3">
      <c r="B2325">
        <v>2013549</v>
      </c>
      <c r="C2325" t="s">
        <v>231</v>
      </c>
      <c r="D2325">
        <v>23648</v>
      </c>
      <c r="E2325" t="s">
        <v>150</v>
      </c>
      <c r="F2325" t="s">
        <v>384</v>
      </c>
      <c r="G2325" s="28">
        <v>14</v>
      </c>
      <c r="H2325" s="32">
        <v>1.48</v>
      </c>
      <c r="I2325" s="32">
        <v>288.12</v>
      </c>
      <c r="J2325" t="s">
        <v>330</v>
      </c>
      <c r="K2325" t="s">
        <v>234</v>
      </c>
      <c r="L2325" t="s">
        <v>235</v>
      </c>
      <c r="M2325" t="s">
        <v>236</v>
      </c>
      <c r="N2325" t="s">
        <v>237</v>
      </c>
      <c r="O2325" s="27">
        <v>46059</v>
      </c>
    </row>
    <row r="2326" spans="2:15" hidden="1" x14ac:dyDescent="0.3">
      <c r="B2326">
        <v>8581688</v>
      </c>
      <c r="C2326" t="s">
        <v>231</v>
      </c>
      <c r="D2326">
        <v>23648</v>
      </c>
      <c r="E2326" t="s">
        <v>150</v>
      </c>
      <c r="F2326" t="s">
        <v>163</v>
      </c>
      <c r="G2326" s="28">
        <v>7</v>
      </c>
      <c r="H2326" s="32">
        <v>1.48</v>
      </c>
      <c r="I2326" s="32">
        <v>92.22</v>
      </c>
      <c r="J2326" t="s">
        <v>239</v>
      </c>
      <c r="K2326" t="s">
        <v>245</v>
      </c>
      <c r="L2326" t="s">
        <v>235</v>
      </c>
      <c r="M2326" t="s">
        <v>236</v>
      </c>
      <c r="N2326" t="s">
        <v>237</v>
      </c>
      <c r="O2326" s="27">
        <v>46055</v>
      </c>
    </row>
    <row r="2327" spans="2:15" hidden="1" x14ac:dyDescent="0.3">
      <c r="B2327">
        <v>2590120</v>
      </c>
      <c r="C2327" t="s">
        <v>231</v>
      </c>
      <c r="D2327">
        <v>96553</v>
      </c>
      <c r="E2327" t="s">
        <v>150</v>
      </c>
      <c r="F2327" t="s">
        <v>277</v>
      </c>
      <c r="G2327" s="28">
        <v>3</v>
      </c>
      <c r="H2327" s="32">
        <v>1.48</v>
      </c>
      <c r="I2327" s="32">
        <v>108.85</v>
      </c>
      <c r="J2327" t="s">
        <v>239</v>
      </c>
      <c r="K2327" t="s">
        <v>245</v>
      </c>
      <c r="L2327" t="s">
        <v>235</v>
      </c>
      <c r="M2327" t="s">
        <v>236</v>
      </c>
      <c r="N2327" t="s">
        <v>237</v>
      </c>
      <c r="O2327" s="27">
        <v>46055</v>
      </c>
    </row>
    <row r="2328" spans="2:15" hidden="1" x14ac:dyDescent="0.3">
      <c r="B2328">
        <v>245239</v>
      </c>
      <c r="C2328" t="s">
        <v>231</v>
      </c>
      <c r="D2328">
        <v>21468</v>
      </c>
      <c r="E2328" t="s">
        <v>150</v>
      </c>
      <c r="F2328" t="s">
        <v>271</v>
      </c>
      <c r="G2328" s="28">
        <v>8</v>
      </c>
      <c r="H2328" s="32">
        <v>1.48</v>
      </c>
      <c r="I2328" s="32">
        <v>141.25</v>
      </c>
      <c r="J2328" t="s">
        <v>239</v>
      </c>
      <c r="K2328" t="s">
        <v>245</v>
      </c>
      <c r="L2328" t="s">
        <v>235</v>
      </c>
      <c r="M2328" t="s">
        <v>236</v>
      </c>
      <c r="N2328" t="s">
        <v>237</v>
      </c>
      <c r="O2328" s="27">
        <v>46055</v>
      </c>
    </row>
    <row r="2329" spans="2:15" hidden="1" x14ac:dyDescent="0.3">
      <c r="B2329">
        <v>2041860</v>
      </c>
      <c r="C2329" t="s">
        <v>231</v>
      </c>
      <c r="D2329">
        <v>40901</v>
      </c>
      <c r="E2329" t="s">
        <v>150</v>
      </c>
      <c r="F2329" t="s">
        <v>324</v>
      </c>
      <c r="G2329" s="28">
        <v>2</v>
      </c>
      <c r="H2329" s="32">
        <v>1.48</v>
      </c>
      <c r="I2329" s="32">
        <v>191.8</v>
      </c>
      <c r="J2329" t="s">
        <v>267</v>
      </c>
      <c r="K2329" t="s">
        <v>245</v>
      </c>
      <c r="L2329" t="s">
        <v>235</v>
      </c>
      <c r="M2329" t="s">
        <v>236</v>
      </c>
      <c r="N2329" t="s">
        <v>237</v>
      </c>
      <c r="O2329" s="27">
        <v>46055</v>
      </c>
    </row>
    <row r="2330" spans="2:15" x14ac:dyDescent="0.3">
      <c r="B2330">
        <v>8907980</v>
      </c>
      <c r="C2330" t="s">
        <v>231</v>
      </c>
      <c r="D2330">
        <v>22103</v>
      </c>
      <c r="E2330" t="s">
        <v>150</v>
      </c>
      <c r="F2330" t="s">
        <v>160</v>
      </c>
      <c r="G2330" s="28">
        <v>2</v>
      </c>
      <c r="H2330" s="32">
        <v>1.48</v>
      </c>
      <c r="I2330" s="32">
        <v>166.84</v>
      </c>
      <c r="J2330" t="s">
        <v>239</v>
      </c>
      <c r="K2330" t="s">
        <v>245</v>
      </c>
      <c r="L2330" t="s">
        <v>235</v>
      </c>
      <c r="M2330" t="s">
        <v>236</v>
      </c>
      <c r="N2330" t="s">
        <v>240</v>
      </c>
      <c r="O2330" s="27">
        <v>46072</v>
      </c>
    </row>
    <row r="2331" spans="2:15" hidden="1" x14ac:dyDescent="0.3">
      <c r="B2331">
        <v>9260624</v>
      </c>
      <c r="C2331" t="s">
        <v>231</v>
      </c>
      <c r="D2331">
        <v>24415</v>
      </c>
      <c r="E2331" t="s">
        <v>150</v>
      </c>
      <c r="F2331" t="s">
        <v>160</v>
      </c>
      <c r="G2331" s="28">
        <v>2</v>
      </c>
      <c r="H2331" s="32">
        <v>1.48</v>
      </c>
      <c r="I2331" s="32">
        <v>169.7</v>
      </c>
      <c r="J2331" t="s">
        <v>239</v>
      </c>
      <c r="K2331" t="s">
        <v>245</v>
      </c>
      <c r="L2331" t="s">
        <v>235</v>
      </c>
      <c r="M2331" t="s">
        <v>236</v>
      </c>
      <c r="N2331" t="s">
        <v>240</v>
      </c>
      <c r="O2331" s="27">
        <v>46055</v>
      </c>
    </row>
    <row r="2332" spans="2:15" hidden="1" x14ac:dyDescent="0.3">
      <c r="B2332">
        <v>2229229</v>
      </c>
      <c r="C2332" t="s">
        <v>260</v>
      </c>
      <c r="D2332">
        <v>40901</v>
      </c>
      <c r="E2332" t="s">
        <v>150</v>
      </c>
      <c r="F2332" t="s">
        <v>271</v>
      </c>
      <c r="G2332" s="28">
        <v>12</v>
      </c>
      <c r="H2332" s="32">
        <v>1.48</v>
      </c>
      <c r="I2332" s="32">
        <v>211.87</v>
      </c>
      <c r="J2332" t="s">
        <v>239</v>
      </c>
      <c r="K2332" t="s">
        <v>245</v>
      </c>
      <c r="L2332" t="s">
        <v>235</v>
      </c>
      <c r="M2332" t="s">
        <v>236</v>
      </c>
      <c r="N2332" t="s">
        <v>237</v>
      </c>
      <c r="O2332" s="27">
        <v>46055</v>
      </c>
    </row>
    <row r="2333" spans="2:15" hidden="1" x14ac:dyDescent="0.3">
      <c r="B2333">
        <v>2470712</v>
      </c>
      <c r="C2333" t="s">
        <v>260</v>
      </c>
      <c r="D2333">
        <v>72444</v>
      </c>
      <c r="E2333" t="s">
        <v>150</v>
      </c>
      <c r="F2333" t="s">
        <v>164</v>
      </c>
      <c r="G2333" s="28">
        <v>3</v>
      </c>
      <c r="H2333" s="32">
        <v>1.48</v>
      </c>
      <c r="I2333" s="32">
        <v>137.49</v>
      </c>
      <c r="J2333" t="s">
        <v>239</v>
      </c>
      <c r="K2333" t="s">
        <v>245</v>
      </c>
      <c r="L2333" t="s">
        <v>235</v>
      </c>
      <c r="M2333" t="s">
        <v>236</v>
      </c>
      <c r="N2333" t="s">
        <v>240</v>
      </c>
      <c r="O2333" s="27">
        <v>46055</v>
      </c>
    </row>
    <row r="2334" spans="2:15" hidden="1" x14ac:dyDescent="0.3">
      <c r="B2334">
        <v>3270381</v>
      </c>
      <c r="C2334" t="s">
        <v>260</v>
      </c>
      <c r="D2334">
        <v>21559</v>
      </c>
      <c r="E2334" t="s">
        <v>150</v>
      </c>
      <c r="F2334" t="s">
        <v>401</v>
      </c>
      <c r="G2334" s="28">
        <v>2</v>
      </c>
      <c r="H2334" s="32">
        <v>1.48</v>
      </c>
      <c r="I2334" s="32">
        <v>175.14</v>
      </c>
      <c r="J2334" t="s">
        <v>267</v>
      </c>
      <c r="K2334" t="s">
        <v>245</v>
      </c>
      <c r="L2334" t="s">
        <v>235</v>
      </c>
      <c r="M2334" t="s">
        <v>236</v>
      </c>
      <c r="N2334" t="s">
        <v>240</v>
      </c>
      <c r="O2334" s="27">
        <v>46057</v>
      </c>
    </row>
    <row r="2335" spans="2:15" hidden="1" x14ac:dyDescent="0.3">
      <c r="B2335">
        <v>2041860</v>
      </c>
      <c r="C2335" t="s">
        <v>231</v>
      </c>
      <c r="D2335">
        <v>40901</v>
      </c>
      <c r="E2335" t="s">
        <v>150</v>
      </c>
      <c r="F2335" t="s">
        <v>448</v>
      </c>
      <c r="G2335" s="28">
        <v>2</v>
      </c>
      <c r="H2335" s="32">
        <v>1.46</v>
      </c>
      <c r="I2335" s="32">
        <v>186.52</v>
      </c>
      <c r="J2335" t="s">
        <v>267</v>
      </c>
      <c r="K2335" t="s">
        <v>245</v>
      </c>
      <c r="L2335" t="s">
        <v>235</v>
      </c>
      <c r="M2335" t="s">
        <v>236</v>
      </c>
      <c r="N2335" t="s">
        <v>237</v>
      </c>
      <c r="O2335" s="27">
        <v>46055</v>
      </c>
    </row>
    <row r="2336" spans="2:15" hidden="1" x14ac:dyDescent="0.3">
      <c r="B2336">
        <v>5664804</v>
      </c>
      <c r="C2336" t="s">
        <v>231</v>
      </c>
      <c r="D2336">
        <v>69493</v>
      </c>
      <c r="E2336" t="s">
        <v>150</v>
      </c>
      <c r="F2336" t="s">
        <v>337</v>
      </c>
      <c r="G2336" s="28">
        <v>4</v>
      </c>
      <c r="H2336" s="32">
        <v>1.46</v>
      </c>
      <c r="I2336" s="32">
        <v>147.01</v>
      </c>
      <c r="J2336" t="s">
        <v>239</v>
      </c>
      <c r="K2336" t="s">
        <v>245</v>
      </c>
      <c r="L2336" t="s">
        <v>235</v>
      </c>
      <c r="M2336" t="s">
        <v>236</v>
      </c>
      <c r="N2336" t="s">
        <v>237</v>
      </c>
      <c r="O2336" s="27">
        <v>46055</v>
      </c>
    </row>
    <row r="2337" spans="2:15" hidden="1" x14ac:dyDescent="0.3">
      <c r="B2337">
        <v>3666312</v>
      </c>
      <c r="C2337" t="s">
        <v>231</v>
      </c>
      <c r="D2337">
        <v>21468</v>
      </c>
      <c r="E2337" t="s">
        <v>150</v>
      </c>
      <c r="F2337" t="s">
        <v>276</v>
      </c>
      <c r="G2337" s="28">
        <v>3</v>
      </c>
      <c r="H2337" s="32">
        <v>1.45</v>
      </c>
      <c r="I2337" s="32">
        <v>90.81</v>
      </c>
      <c r="J2337" t="s">
        <v>239</v>
      </c>
      <c r="K2337" t="s">
        <v>245</v>
      </c>
      <c r="L2337" t="s">
        <v>235</v>
      </c>
      <c r="M2337" t="s">
        <v>236</v>
      </c>
      <c r="N2337" t="s">
        <v>240</v>
      </c>
      <c r="O2337" s="27">
        <v>46055</v>
      </c>
    </row>
    <row r="2338" spans="2:15" hidden="1" x14ac:dyDescent="0.3">
      <c r="B2338">
        <v>5979107</v>
      </c>
      <c r="C2338" t="s">
        <v>231</v>
      </c>
      <c r="D2338">
        <v>35984</v>
      </c>
      <c r="E2338" t="s">
        <v>150</v>
      </c>
      <c r="F2338" t="s">
        <v>409</v>
      </c>
      <c r="G2338" s="28">
        <v>2</v>
      </c>
      <c r="H2338" s="32">
        <v>1.45</v>
      </c>
      <c r="I2338" s="32">
        <v>98.72</v>
      </c>
      <c r="J2338" t="s">
        <v>239</v>
      </c>
      <c r="K2338" t="s">
        <v>245</v>
      </c>
      <c r="L2338" t="s">
        <v>235</v>
      </c>
      <c r="M2338" t="s">
        <v>236</v>
      </c>
      <c r="N2338" t="s">
        <v>237</v>
      </c>
      <c r="O2338" s="27">
        <v>46055</v>
      </c>
    </row>
    <row r="2339" spans="2:15" hidden="1" x14ac:dyDescent="0.3">
      <c r="B2339">
        <v>9799059</v>
      </c>
      <c r="C2339" t="s">
        <v>260</v>
      </c>
      <c r="D2339">
        <v>38675</v>
      </c>
      <c r="E2339" t="s">
        <v>150</v>
      </c>
      <c r="F2339" t="s">
        <v>161</v>
      </c>
      <c r="G2339" s="28">
        <v>10</v>
      </c>
      <c r="H2339" s="32">
        <v>1.45</v>
      </c>
      <c r="I2339" s="32">
        <v>271.88</v>
      </c>
      <c r="J2339" t="s">
        <v>239</v>
      </c>
      <c r="K2339" t="s">
        <v>245</v>
      </c>
      <c r="L2339" t="s">
        <v>235</v>
      </c>
      <c r="M2339" t="s">
        <v>236</v>
      </c>
      <c r="N2339" t="s">
        <v>240</v>
      </c>
      <c r="O2339" s="27">
        <v>46072</v>
      </c>
    </row>
    <row r="2340" spans="2:15" hidden="1" x14ac:dyDescent="0.3">
      <c r="B2340">
        <v>2922242</v>
      </c>
      <c r="C2340" t="s">
        <v>260</v>
      </c>
      <c r="D2340">
        <v>69519</v>
      </c>
      <c r="E2340" t="s">
        <v>150</v>
      </c>
      <c r="F2340" t="s">
        <v>395</v>
      </c>
      <c r="G2340" s="28">
        <v>42</v>
      </c>
      <c r="H2340" s="32">
        <v>1.45</v>
      </c>
      <c r="I2340" s="32">
        <v>269.29000000000002</v>
      </c>
      <c r="J2340" t="s">
        <v>330</v>
      </c>
      <c r="K2340" t="s">
        <v>234</v>
      </c>
      <c r="L2340" t="s">
        <v>235</v>
      </c>
      <c r="M2340" t="s">
        <v>236</v>
      </c>
      <c r="N2340" t="s">
        <v>237</v>
      </c>
      <c r="O2340" s="27">
        <v>46062</v>
      </c>
    </row>
    <row r="2341" spans="2:15" hidden="1" x14ac:dyDescent="0.3">
      <c r="B2341">
        <v>15255517</v>
      </c>
      <c r="C2341" t="s">
        <v>231</v>
      </c>
      <c r="D2341">
        <v>23648</v>
      </c>
      <c r="E2341" t="s">
        <v>150</v>
      </c>
      <c r="F2341" t="s">
        <v>263</v>
      </c>
      <c r="G2341" s="28">
        <v>16</v>
      </c>
      <c r="H2341" s="32">
        <v>1.44</v>
      </c>
      <c r="I2341" s="32">
        <v>221.07</v>
      </c>
      <c r="J2341" t="s">
        <v>239</v>
      </c>
      <c r="K2341" t="s">
        <v>245</v>
      </c>
      <c r="L2341" t="s">
        <v>235</v>
      </c>
      <c r="M2341" t="s">
        <v>236</v>
      </c>
      <c r="N2341" t="s">
        <v>240</v>
      </c>
      <c r="O2341" s="27">
        <v>46055</v>
      </c>
    </row>
    <row r="2342" spans="2:15" hidden="1" x14ac:dyDescent="0.3">
      <c r="B2342">
        <v>245239</v>
      </c>
      <c r="C2342" t="s">
        <v>231</v>
      </c>
      <c r="D2342">
        <v>21468</v>
      </c>
      <c r="E2342" t="s">
        <v>150</v>
      </c>
      <c r="F2342" t="s">
        <v>164</v>
      </c>
      <c r="G2342" s="28">
        <v>3</v>
      </c>
      <c r="H2342" s="32">
        <v>1.44</v>
      </c>
      <c r="I2342" s="32">
        <v>137.49</v>
      </c>
      <c r="J2342" t="s">
        <v>239</v>
      </c>
      <c r="K2342" t="s">
        <v>245</v>
      </c>
      <c r="L2342" t="s">
        <v>235</v>
      </c>
      <c r="M2342" t="s">
        <v>236</v>
      </c>
      <c r="N2342" t="s">
        <v>240</v>
      </c>
      <c r="O2342" s="27">
        <v>46055</v>
      </c>
    </row>
    <row r="2343" spans="2:15" hidden="1" x14ac:dyDescent="0.3">
      <c r="B2343">
        <v>5934364</v>
      </c>
      <c r="C2343" t="s">
        <v>231</v>
      </c>
      <c r="D2343">
        <v>72444</v>
      </c>
      <c r="E2343" t="s">
        <v>150</v>
      </c>
      <c r="F2343" t="s">
        <v>246</v>
      </c>
      <c r="G2343" s="28">
        <v>2</v>
      </c>
      <c r="H2343" s="32">
        <v>1.44</v>
      </c>
      <c r="I2343" s="32">
        <v>73.900000000000006</v>
      </c>
      <c r="J2343" t="s">
        <v>239</v>
      </c>
      <c r="K2343" t="s">
        <v>245</v>
      </c>
      <c r="L2343" t="s">
        <v>235</v>
      </c>
      <c r="M2343" t="s">
        <v>236</v>
      </c>
      <c r="N2343" t="s">
        <v>237</v>
      </c>
      <c r="O2343" s="27">
        <v>46055</v>
      </c>
    </row>
    <row r="2344" spans="2:15" hidden="1" x14ac:dyDescent="0.3">
      <c r="B2344">
        <v>5555592</v>
      </c>
      <c r="C2344" t="s">
        <v>231</v>
      </c>
      <c r="D2344">
        <v>38517</v>
      </c>
      <c r="E2344" t="s">
        <v>150</v>
      </c>
      <c r="F2344" t="s">
        <v>337</v>
      </c>
      <c r="G2344" s="28">
        <v>4</v>
      </c>
      <c r="H2344" s="32">
        <v>1.44</v>
      </c>
      <c r="I2344" s="32">
        <v>147.01</v>
      </c>
      <c r="J2344" t="s">
        <v>239</v>
      </c>
      <c r="K2344" t="s">
        <v>245</v>
      </c>
      <c r="L2344" t="s">
        <v>235</v>
      </c>
      <c r="M2344" t="s">
        <v>236</v>
      </c>
      <c r="N2344" t="s">
        <v>237</v>
      </c>
      <c r="O2344" s="27">
        <v>46055</v>
      </c>
    </row>
    <row r="2345" spans="2:15" hidden="1" x14ac:dyDescent="0.3">
      <c r="B2345">
        <v>12629468</v>
      </c>
      <c r="C2345" t="s">
        <v>260</v>
      </c>
      <c r="D2345">
        <v>40901</v>
      </c>
      <c r="E2345" t="s">
        <v>150</v>
      </c>
      <c r="F2345" t="s">
        <v>287</v>
      </c>
      <c r="G2345" s="28">
        <v>3</v>
      </c>
      <c r="H2345" s="32">
        <v>1.44</v>
      </c>
      <c r="I2345" s="32">
        <v>94.13</v>
      </c>
      <c r="J2345" t="s">
        <v>239</v>
      </c>
      <c r="K2345" t="s">
        <v>245</v>
      </c>
      <c r="L2345" t="s">
        <v>235</v>
      </c>
      <c r="M2345" t="s">
        <v>236</v>
      </c>
      <c r="N2345" t="s">
        <v>237</v>
      </c>
      <c r="O2345" s="27">
        <v>46063</v>
      </c>
    </row>
    <row r="2346" spans="2:15" hidden="1" x14ac:dyDescent="0.3">
      <c r="B2346">
        <v>215083</v>
      </c>
      <c r="C2346" t="s">
        <v>231</v>
      </c>
      <c r="D2346">
        <v>23410</v>
      </c>
      <c r="E2346" t="s">
        <v>150</v>
      </c>
      <c r="F2346" t="s">
        <v>277</v>
      </c>
      <c r="G2346" s="28">
        <v>7</v>
      </c>
      <c r="H2346" s="32">
        <v>1.43</v>
      </c>
      <c r="I2346" s="32">
        <v>253.99</v>
      </c>
      <c r="J2346" t="s">
        <v>239</v>
      </c>
      <c r="K2346" t="s">
        <v>245</v>
      </c>
      <c r="L2346" t="s">
        <v>235</v>
      </c>
      <c r="M2346" t="s">
        <v>236</v>
      </c>
      <c r="N2346" t="s">
        <v>237</v>
      </c>
      <c r="O2346" s="27">
        <v>46055</v>
      </c>
    </row>
    <row r="2347" spans="2:15" hidden="1" x14ac:dyDescent="0.3">
      <c r="B2347">
        <v>15518055</v>
      </c>
      <c r="C2347" t="s">
        <v>231</v>
      </c>
      <c r="D2347">
        <v>22674</v>
      </c>
      <c r="E2347" t="s">
        <v>150</v>
      </c>
      <c r="F2347" t="s">
        <v>282</v>
      </c>
      <c r="G2347" s="28">
        <v>6</v>
      </c>
      <c r="H2347" s="32">
        <v>1.43</v>
      </c>
      <c r="I2347" s="32">
        <v>306.5</v>
      </c>
      <c r="J2347" t="s">
        <v>239</v>
      </c>
      <c r="K2347" t="s">
        <v>245</v>
      </c>
      <c r="L2347" t="s">
        <v>235</v>
      </c>
      <c r="M2347" t="s">
        <v>236</v>
      </c>
      <c r="N2347" t="s">
        <v>240</v>
      </c>
      <c r="O2347" s="27">
        <v>46063</v>
      </c>
    </row>
    <row r="2348" spans="2:15" hidden="1" x14ac:dyDescent="0.3">
      <c r="B2348">
        <v>5263260</v>
      </c>
      <c r="C2348" t="s">
        <v>231</v>
      </c>
      <c r="D2348">
        <v>23648</v>
      </c>
      <c r="E2348" t="s">
        <v>150</v>
      </c>
      <c r="F2348" t="s">
        <v>337</v>
      </c>
      <c r="G2348" s="28">
        <v>4</v>
      </c>
      <c r="H2348" s="32">
        <v>1.43</v>
      </c>
      <c r="I2348" s="32">
        <v>145.30000000000001</v>
      </c>
      <c r="J2348" t="s">
        <v>239</v>
      </c>
      <c r="K2348" t="s">
        <v>245</v>
      </c>
      <c r="L2348" t="s">
        <v>235</v>
      </c>
      <c r="M2348" t="s">
        <v>236</v>
      </c>
      <c r="N2348" t="s">
        <v>237</v>
      </c>
      <c r="O2348" s="27">
        <v>46063</v>
      </c>
    </row>
    <row r="2349" spans="2:15" hidden="1" x14ac:dyDescent="0.3">
      <c r="B2349">
        <v>5377617</v>
      </c>
      <c r="C2349" t="s">
        <v>231</v>
      </c>
      <c r="D2349">
        <v>21559</v>
      </c>
      <c r="E2349" t="s">
        <v>150</v>
      </c>
      <c r="F2349" t="s">
        <v>319</v>
      </c>
      <c r="G2349" s="28">
        <v>3</v>
      </c>
      <c r="H2349" s="32">
        <v>1.43</v>
      </c>
      <c r="I2349" s="32">
        <v>121.16</v>
      </c>
      <c r="J2349" t="s">
        <v>239</v>
      </c>
      <c r="K2349" t="s">
        <v>245</v>
      </c>
      <c r="L2349" t="s">
        <v>235</v>
      </c>
      <c r="M2349" t="s">
        <v>236</v>
      </c>
      <c r="N2349" t="s">
        <v>240</v>
      </c>
      <c r="O2349" s="27">
        <v>46063</v>
      </c>
    </row>
    <row r="2350" spans="2:15" hidden="1" x14ac:dyDescent="0.3">
      <c r="B2350">
        <v>17005725</v>
      </c>
      <c r="C2350" t="s">
        <v>260</v>
      </c>
      <c r="D2350">
        <v>22674</v>
      </c>
      <c r="E2350" t="s">
        <v>150</v>
      </c>
      <c r="F2350" t="s">
        <v>337</v>
      </c>
      <c r="G2350" s="28">
        <v>5</v>
      </c>
      <c r="H2350" s="32">
        <v>1.43</v>
      </c>
      <c r="I2350" s="32">
        <v>181.54</v>
      </c>
      <c r="J2350" t="s">
        <v>239</v>
      </c>
      <c r="K2350" t="s">
        <v>245</v>
      </c>
      <c r="L2350" t="s">
        <v>235</v>
      </c>
      <c r="M2350" t="s">
        <v>236</v>
      </c>
      <c r="N2350" t="s">
        <v>237</v>
      </c>
      <c r="O2350" s="27">
        <v>46063</v>
      </c>
    </row>
    <row r="2351" spans="2:15" hidden="1" x14ac:dyDescent="0.3">
      <c r="B2351">
        <v>6027332</v>
      </c>
      <c r="C2351" t="s">
        <v>231</v>
      </c>
      <c r="D2351">
        <v>23410</v>
      </c>
      <c r="E2351" t="s">
        <v>150</v>
      </c>
      <c r="F2351" t="s">
        <v>271</v>
      </c>
      <c r="G2351" s="28">
        <v>15</v>
      </c>
      <c r="H2351" s="32">
        <v>1.42</v>
      </c>
      <c r="I2351" s="32">
        <v>264.74</v>
      </c>
      <c r="J2351" t="s">
        <v>239</v>
      </c>
      <c r="K2351" t="s">
        <v>245</v>
      </c>
      <c r="L2351" t="s">
        <v>235</v>
      </c>
      <c r="M2351" t="s">
        <v>236</v>
      </c>
      <c r="N2351" t="s">
        <v>240</v>
      </c>
      <c r="O2351" s="27">
        <v>46055</v>
      </c>
    </row>
    <row r="2352" spans="2:15" hidden="1" x14ac:dyDescent="0.3">
      <c r="B2352">
        <v>2727175</v>
      </c>
      <c r="C2352" t="s">
        <v>231</v>
      </c>
      <c r="D2352">
        <v>23648</v>
      </c>
      <c r="E2352" t="s">
        <v>150</v>
      </c>
      <c r="F2352" t="s">
        <v>337</v>
      </c>
      <c r="G2352" s="28">
        <v>5</v>
      </c>
      <c r="H2352" s="32">
        <v>1.42</v>
      </c>
      <c r="I2352" s="32">
        <v>181.52</v>
      </c>
      <c r="J2352" t="s">
        <v>239</v>
      </c>
      <c r="K2352" t="s">
        <v>245</v>
      </c>
      <c r="L2352" t="s">
        <v>235</v>
      </c>
      <c r="M2352" t="s">
        <v>236</v>
      </c>
      <c r="N2352" t="s">
        <v>237</v>
      </c>
      <c r="O2352" s="27">
        <v>46063</v>
      </c>
    </row>
    <row r="2353" spans="2:15" hidden="1" x14ac:dyDescent="0.3">
      <c r="B2353">
        <v>3906862</v>
      </c>
      <c r="C2353" t="s">
        <v>231</v>
      </c>
      <c r="D2353">
        <v>71881</v>
      </c>
      <c r="E2353" t="s">
        <v>150</v>
      </c>
      <c r="F2353" t="s">
        <v>287</v>
      </c>
      <c r="G2353" s="28">
        <v>3</v>
      </c>
      <c r="H2353" s="32">
        <v>1.41</v>
      </c>
      <c r="I2353" s="32">
        <v>94.05</v>
      </c>
      <c r="J2353" t="s">
        <v>239</v>
      </c>
      <c r="K2353" t="s">
        <v>245</v>
      </c>
      <c r="L2353" t="s">
        <v>235</v>
      </c>
      <c r="M2353" t="s">
        <v>236</v>
      </c>
      <c r="N2353" t="s">
        <v>237</v>
      </c>
      <c r="O2353" s="27">
        <v>46063</v>
      </c>
    </row>
    <row r="2354" spans="2:15" hidden="1" x14ac:dyDescent="0.3">
      <c r="B2354">
        <v>9673848</v>
      </c>
      <c r="C2354" t="s">
        <v>231</v>
      </c>
      <c r="D2354">
        <v>22674</v>
      </c>
      <c r="E2354" t="s">
        <v>150</v>
      </c>
      <c r="F2354" t="s">
        <v>163</v>
      </c>
      <c r="G2354" s="28">
        <v>6</v>
      </c>
      <c r="H2354" s="32">
        <v>1.41</v>
      </c>
      <c r="I2354" s="32">
        <v>79.040000000000006</v>
      </c>
      <c r="J2354" t="s">
        <v>239</v>
      </c>
      <c r="K2354" t="s">
        <v>245</v>
      </c>
      <c r="L2354" t="s">
        <v>235</v>
      </c>
      <c r="M2354" t="s">
        <v>236</v>
      </c>
      <c r="N2354" t="s">
        <v>237</v>
      </c>
      <c r="O2354" s="27">
        <v>46055</v>
      </c>
    </row>
    <row r="2355" spans="2:15" hidden="1" x14ac:dyDescent="0.3">
      <c r="B2355">
        <v>2041860</v>
      </c>
      <c r="C2355" t="s">
        <v>231</v>
      </c>
      <c r="D2355">
        <v>40901</v>
      </c>
      <c r="E2355" t="s">
        <v>150</v>
      </c>
      <c r="F2355" t="s">
        <v>401</v>
      </c>
      <c r="G2355" s="28">
        <v>2</v>
      </c>
      <c r="H2355" s="32">
        <v>1.41</v>
      </c>
      <c r="I2355" s="32">
        <v>176.72</v>
      </c>
      <c r="J2355" t="s">
        <v>267</v>
      </c>
      <c r="K2355" t="s">
        <v>245</v>
      </c>
      <c r="L2355" t="s">
        <v>235</v>
      </c>
      <c r="M2355" t="s">
        <v>236</v>
      </c>
      <c r="N2355" t="s">
        <v>240</v>
      </c>
      <c r="O2355" s="27">
        <v>46055</v>
      </c>
    </row>
    <row r="2356" spans="2:15" hidden="1" x14ac:dyDescent="0.3">
      <c r="B2356">
        <v>4535206</v>
      </c>
      <c r="C2356" t="s">
        <v>231</v>
      </c>
      <c r="D2356">
        <v>68542</v>
      </c>
      <c r="E2356" t="s">
        <v>150</v>
      </c>
      <c r="F2356" t="s">
        <v>337</v>
      </c>
      <c r="G2356" s="28">
        <v>5</v>
      </c>
      <c r="H2356" s="32">
        <v>1.41</v>
      </c>
      <c r="I2356" s="32">
        <v>183.76</v>
      </c>
      <c r="J2356" t="s">
        <v>239</v>
      </c>
      <c r="K2356" t="s">
        <v>245</v>
      </c>
      <c r="L2356" t="s">
        <v>235</v>
      </c>
      <c r="M2356" t="s">
        <v>236</v>
      </c>
      <c r="N2356" t="s">
        <v>237</v>
      </c>
      <c r="O2356" s="27">
        <v>46055</v>
      </c>
    </row>
    <row r="2357" spans="2:15" hidden="1" x14ac:dyDescent="0.3">
      <c r="B2357">
        <v>3496979</v>
      </c>
      <c r="C2357" t="s">
        <v>231</v>
      </c>
      <c r="D2357">
        <v>21468</v>
      </c>
      <c r="E2357" t="s">
        <v>150</v>
      </c>
      <c r="F2357" t="s">
        <v>160</v>
      </c>
      <c r="G2357" s="28">
        <v>1</v>
      </c>
      <c r="H2357" s="32">
        <v>1.41</v>
      </c>
      <c r="I2357" s="32">
        <v>84.85</v>
      </c>
      <c r="J2357" t="s">
        <v>239</v>
      </c>
      <c r="K2357" t="s">
        <v>245</v>
      </c>
      <c r="L2357" t="s">
        <v>235</v>
      </c>
      <c r="M2357" t="s">
        <v>236</v>
      </c>
      <c r="N2357" t="s">
        <v>240</v>
      </c>
      <c r="O2357" s="27">
        <v>46055</v>
      </c>
    </row>
    <row r="2358" spans="2:15" hidden="1" x14ac:dyDescent="0.3">
      <c r="B2358">
        <v>5740954</v>
      </c>
      <c r="C2358" t="s">
        <v>260</v>
      </c>
      <c r="D2358">
        <v>23648</v>
      </c>
      <c r="E2358" t="s">
        <v>150</v>
      </c>
      <c r="F2358" t="s">
        <v>271</v>
      </c>
      <c r="G2358" s="28">
        <v>9</v>
      </c>
      <c r="H2358" s="32">
        <v>1.41</v>
      </c>
      <c r="I2358" s="32">
        <v>158.91</v>
      </c>
      <c r="J2358" t="s">
        <v>239</v>
      </c>
      <c r="K2358" t="s">
        <v>245</v>
      </c>
      <c r="L2358" t="s">
        <v>235</v>
      </c>
      <c r="M2358" t="s">
        <v>236</v>
      </c>
      <c r="N2358" t="s">
        <v>237</v>
      </c>
      <c r="O2358" s="27">
        <v>46055</v>
      </c>
    </row>
    <row r="2359" spans="2:15" hidden="1" x14ac:dyDescent="0.3">
      <c r="B2359">
        <v>18702217</v>
      </c>
      <c r="C2359" t="s">
        <v>260</v>
      </c>
      <c r="D2359">
        <v>74304</v>
      </c>
      <c r="E2359" t="s">
        <v>150</v>
      </c>
      <c r="F2359" t="s">
        <v>276</v>
      </c>
      <c r="G2359" s="28">
        <v>7</v>
      </c>
      <c r="H2359" s="32">
        <v>1.41</v>
      </c>
      <c r="I2359" s="32">
        <v>211.89</v>
      </c>
      <c r="J2359" t="s">
        <v>239</v>
      </c>
      <c r="K2359" t="s">
        <v>245</v>
      </c>
      <c r="L2359" t="s">
        <v>235</v>
      </c>
      <c r="M2359" t="s">
        <v>236</v>
      </c>
      <c r="N2359" t="s">
        <v>240</v>
      </c>
      <c r="O2359" s="27">
        <v>46055</v>
      </c>
    </row>
    <row r="2360" spans="2:15" hidden="1" x14ac:dyDescent="0.3">
      <c r="B2360">
        <v>3824485</v>
      </c>
      <c r="C2360" t="s">
        <v>260</v>
      </c>
      <c r="D2360">
        <v>69579</v>
      </c>
      <c r="E2360" t="s">
        <v>150</v>
      </c>
      <c r="F2360" t="s">
        <v>161</v>
      </c>
      <c r="G2360" s="28">
        <v>4</v>
      </c>
      <c r="H2360" s="32">
        <v>1.41</v>
      </c>
      <c r="I2360" s="32">
        <v>108.74</v>
      </c>
      <c r="J2360" t="s">
        <v>239</v>
      </c>
      <c r="K2360" t="s">
        <v>245</v>
      </c>
      <c r="L2360" t="s">
        <v>235</v>
      </c>
      <c r="M2360" t="s">
        <v>236</v>
      </c>
      <c r="N2360" t="s">
        <v>237</v>
      </c>
      <c r="O2360" s="27">
        <v>46072</v>
      </c>
    </row>
    <row r="2361" spans="2:15" hidden="1" x14ac:dyDescent="0.3">
      <c r="B2361">
        <v>7131667</v>
      </c>
      <c r="C2361" t="s">
        <v>231</v>
      </c>
      <c r="D2361">
        <v>21468</v>
      </c>
      <c r="E2361" t="s">
        <v>150</v>
      </c>
      <c r="F2361" t="s">
        <v>163</v>
      </c>
      <c r="G2361" s="28">
        <v>6</v>
      </c>
      <c r="H2361" s="32">
        <v>1.39</v>
      </c>
      <c r="I2361" s="32">
        <v>79.040000000000006</v>
      </c>
      <c r="J2361" t="s">
        <v>239</v>
      </c>
      <c r="K2361" t="s">
        <v>245</v>
      </c>
      <c r="L2361" t="s">
        <v>235</v>
      </c>
      <c r="M2361" t="s">
        <v>236</v>
      </c>
      <c r="N2361" t="s">
        <v>237</v>
      </c>
      <c r="O2361" s="27">
        <v>46055</v>
      </c>
    </row>
    <row r="2362" spans="2:15" hidden="1" x14ac:dyDescent="0.3">
      <c r="B2362">
        <v>18797810</v>
      </c>
      <c r="C2362" t="s">
        <v>231</v>
      </c>
      <c r="D2362">
        <v>74304</v>
      </c>
      <c r="E2362" t="s">
        <v>150</v>
      </c>
      <c r="F2362" t="s">
        <v>271</v>
      </c>
      <c r="G2362" s="28">
        <v>8</v>
      </c>
      <c r="H2362" s="32">
        <v>1.39</v>
      </c>
      <c r="I2362" s="32">
        <v>147.66999999999999</v>
      </c>
      <c r="J2362" t="s">
        <v>239</v>
      </c>
      <c r="K2362" t="s">
        <v>245</v>
      </c>
      <c r="L2362" t="s">
        <v>235</v>
      </c>
      <c r="M2362" t="s">
        <v>236</v>
      </c>
      <c r="N2362" t="s">
        <v>237</v>
      </c>
      <c r="O2362" s="27">
        <v>46063</v>
      </c>
    </row>
    <row r="2363" spans="2:15" hidden="1" x14ac:dyDescent="0.3">
      <c r="B2363">
        <v>5555592</v>
      </c>
      <c r="C2363" t="s">
        <v>231</v>
      </c>
      <c r="D2363">
        <v>38517</v>
      </c>
      <c r="E2363" t="s">
        <v>150</v>
      </c>
      <c r="F2363" t="s">
        <v>271</v>
      </c>
      <c r="G2363" s="28">
        <v>8</v>
      </c>
      <c r="H2363" s="32">
        <v>1.39</v>
      </c>
      <c r="I2363" s="32">
        <v>141.25</v>
      </c>
      <c r="J2363" t="s">
        <v>239</v>
      </c>
      <c r="K2363" t="s">
        <v>245</v>
      </c>
      <c r="L2363" t="s">
        <v>235</v>
      </c>
      <c r="M2363" t="s">
        <v>236</v>
      </c>
      <c r="N2363" t="s">
        <v>237</v>
      </c>
      <c r="O2363" s="27">
        <v>46055</v>
      </c>
    </row>
    <row r="2364" spans="2:15" hidden="1" x14ac:dyDescent="0.3">
      <c r="B2364">
        <v>2496015</v>
      </c>
      <c r="C2364" t="s">
        <v>231</v>
      </c>
      <c r="D2364">
        <v>38517</v>
      </c>
      <c r="E2364" t="s">
        <v>150</v>
      </c>
      <c r="F2364" t="s">
        <v>337</v>
      </c>
      <c r="G2364" s="28">
        <v>9</v>
      </c>
      <c r="H2364" s="32">
        <v>1.39</v>
      </c>
      <c r="I2364" s="32">
        <v>326.8</v>
      </c>
      <c r="J2364" t="s">
        <v>239</v>
      </c>
      <c r="K2364" t="s">
        <v>245</v>
      </c>
      <c r="L2364" t="s">
        <v>235</v>
      </c>
      <c r="M2364" t="s">
        <v>236</v>
      </c>
      <c r="N2364" t="s">
        <v>237</v>
      </c>
      <c r="O2364" s="27">
        <v>46063</v>
      </c>
    </row>
    <row r="2365" spans="2:15" hidden="1" x14ac:dyDescent="0.3">
      <c r="B2365">
        <v>9673848</v>
      </c>
      <c r="C2365" t="s">
        <v>231</v>
      </c>
      <c r="D2365">
        <v>22674</v>
      </c>
      <c r="E2365" t="s">
        <v>150</v>
      </c>
      <c r="F2365" t="s">
        <v>319</v>
      </c>
      <c r="G2365" s="28">
        <v>3</v>
      </c>
      <c r="H2365" s="32">
        <v>1.39</v>
      </c>
      <c r="I2365" s="32">
        <v>121.16</v>
      </c>
      <c r="J2365" t="s">
        <v>239</v>
      </c>
      <c r="K2365" t="s">
        <v>245</v>
      </c>
      <c r="L2365" t="s">
        <v>235</v>
      </c>
      <c r="M2365" t="s">
        <v>236</v>
      </c>
      <c r="N2365" t="s">
        <v>240</v>
      </c>
      <c r="O2365" s="27">
        <v>46063</v>
      </c>
    </row>
    <row r="2366" spans="2:15" hidden="1" x14ac:dyDescent="0.3">
      <c r="B2366">
        <v>5740954</v>
      </c>
      <c r="C2366" t="s">
        <v>260</v>
      </c>
      <c r="D2366">
        <v>23648</v>
      </c>
      <c r="E2366" t="s">
        <v>150</v>
      </c>
      <c r="F2366" t="s">
        <v>287</v>
      </c>
      <c r="G2366" s="28">
        <v>5</v>
      </c>
      <c r="H2366" s="32">
        <v>1.39</v>
      </c>
      <c r="I2366" s="32">
        <v>156.07</v>
      </c>
      <c r="J2366" t="s">
        <v>239</v>
      </c>
      <c r="K2366" t="s">
        <v>245</v>
      </c>
      <c r="L2366" t="s">
        <v>235</v>
      </c>
      <c r="M2366" t="s">
        <v>236</v>
      </c>
      <c r="N2366" t="s">
        <v>237</v>
      </c>
      <c r="O2366" s="27">
        <v>46055</v>
      </c>
    </row>
    <row r="2367" spans="2:15" hidden="1" x14ac:dyDescent="0.3">
      <c r="B2367">
        <v>3918792</v>
      </c>
      <c r="C2367" t="s">
        <v>260</v>
      </c>
      <c r="D2367">
        <v>23648</v>
      </c>
      <c r="E2367" t="s">
        <v>150</v>
      </c>
      <c r="F2367" t="s">
        <v>163</v>
      </c>
      <c r="G2367" s="28">
        <v>6</v>
      </c>
      <c r="H2367" s="32">
        <v>1.39</v>
      </c>
      <c r="I2367" s="32">
        <v>79.040000000000006</v>
      </c>
      <c r="J2367" t="s">
        <v>239</v>
      </c>
      <c r="K2367" t="s">
        <v>245</v>
      </c>
      <c r="L2367" t="s">
        <v>235</v>
      </c>
      <c r="M2367" t="s">
        <v>236</v>
      </c>
      <c r="N2367" t="s">
        <v>237</v>
      </c>
      <c r="O2367" s="27">
        <v>46055</v>
      </c>
    </row>
    <row r="2368" spans="2:15" hidden="1" x14ac:dyDescent="0.3">
      <c r="B2368">
        <v>9945666</v>
      </c>
      <c r="C2368" t="s">
        <v>260</v>
      </c>
      <c r="D2368">
        <v>68710</v>
      </c>
      <c r="E2368" t="s">
        <v>150</v>
      </c>
      <c r="F2368" t="s">
        <v>163</v>
      </c>
      <c r="G2368" s="28">
        <v>6</v>
      </c>
      <c r="H2368" s="32">
        <v>1.39</v>
      </c>
      <c r="I2368" s="32">
        <v>79.040000000000006</v>
      </c>
      <c r="J2368" t="s">
        <v>239</v>
      </c>
      <c r="K2368" t="s">
        <v>245</v>
      </c>
      <c r="L2368" t="s">
        <v>235</v>
      </c>
      <c r="M2368" t="s">
        <v>236</v>
      </c>
      <c r="N2368" t="s">
        <v>237</v>
      </c>
      <c r="O2368" s="27">
        <v>46055</v>
      </c>
    </row>
    <row r="2369" spans="2:15" hidden="1" x14ac:dyDescent="0.3">
      <c r="B2369">
        <v>2412490</v>
      </c>
      <c r="C2369" t="s">
        <v>231</v>
      </c>
      <c r="D2369">
        <v>71881</v>
      </c>
      <c r="E2369" t="s">
        <v>150</v>
      </c>
      <c r="F2369" t="s">
        <v>374</v>
      </c>
      <c r="G2369" s="28">
        <v>5</v>
      </c>
      <c r="H2369" s="32">
        <v>1.38</v>
      </c>
      <c r="I2369" s="32">
        <v>157</v>
      </c>
      <c r="J2369" t="s">
        <v>330</v>
      </c>
      <c r="K2369" t="s">
        <v>234</v>
      </c>
      <c r="L2369" t="s">
        <v>235</v>
      </c>
      <c r="M2369" t="s">
        <v>236</v>
      </c>
      <c r="N2369" t="s">
        <v>237</v>
      </c>
      <c r="O2369" s="27">
        <v>46057</v>
      </c>
    </row>
    <row r="2370" spans="2:15" hidden="1" x14ac:dyDescent="0.3">
      <c r="B2370">
        <v>575946</v>
      </c>
      <c r="C2370" t="s">
        <v>231</v>
      </c>
      <c r="D2370">
        <v>25619</v>
      </c>
      <c r="E2370" t="s">
        <v>150</v>
      </c>
      <c r="F2370" t="s">
        <v>164</v>
      </c>
      <c r="G2370" s="28">
        <v>5</v>
      </c>
      <c r="H2370" s="32">
        <v>1.38</v>
      </c>
      <c r="I2370" s="32">
        <v>229.16</v>
      </c>
      <c r="J2370" t="s">
        <v>239</v>
      </c>
      <c r="K2370" t="s">
        <v>245</v>
      </c>
      <c r="L2370" t="s">
        <v>235</v>
      </c>
      <c r="M2370" t="s">
        <v>236</v>
      </c>
      <c r="N2370" t="s">
        <v>240</v>
      </c>
      <c r="O2370" s="27">
        <v>46055</v>
      </c>
    </row>
    <row r="2371" spans="2:15" x14ac:dyDescent="0.3">
      <c r="B2371">
        <v>8907980</v>
      </c>
      <c r="C2371" t="s">
        <v>231</v>
      </c>
      <c r="D2371">
        <v>22103</v>
      </c>
      <c r="E2371" t="s">
        <v>150</v>
      </c>
      <c r="F2371" t="s">
        <v>163</v>
      </c>
      <c r="G2371" s="28">
        <v>6</v>
      </c>
      <c r="H2371" s="32">
        <v>1.37</v>
      </c>
      <c r="I2371" s="32">
        <v>79.040000000000006</v>
      </c>
      <c r="J2371" t="s">
        <v>239</v>
      </c>
      <c r="K2371" t="s">
        <v>245</v>
      </c>
      <c r="L2371" t="s">
        <v>235</v>
      </c>
      <c r="M2371" t="s">
        <v>236</v>
      </c>
      <c r="N2371" t="s">
        <v>237</v>
      </c>
      <c r="O2371" s="27">
        <v>46055</v>
      </c>
    </row>
    <row r="2372" spans="2:15" hidden="1" x14ac:dyDescent="0.3">
      <c r="B2372">
        <v>5664804</v>
      </c>
      <c r="C2372" t="s">
        <v>231</v>
      </c>
      <c r="D2372">
        <v>69493</v>
      </c>
      <c r="E2372" t="s">
        <v>150</v>
      </c>
      <c r="F2372" t="s">
        <v>164</v>
      </c>
      <c r="G2372" s="28">
        <v>3</v>
      </c>
      <c r="H2372" s="32">
        <v>1.37</v>
      </c>
      <c r="I2372" s="32">
        <v>137.49</v>
      </c>
      <c r="J2372" t="s">
        <v>239</v>
      </c>
      <c r="K2372" t="s">
        <v>245</v>
      </c>
      <c r="L2372" t="s">
        <v>235</v>
      </c>
      <c r="M2372" t="s">
        <v>236</v>
      </c>
      <c r="N2372" t="s">
        <v>240</v>
      </c>
      <c r="O2372" s="27">
        <v>46055</v>
      </c>
    </row>
    <row r="2373" spans="2:15" hidden="1" x14ac:dyDescent="0.3">
      <c r="B2373">
        <v>11593572</v>
      </c>
      <c r="C2373" t="s">
        <v>231</v>
      </c>
      <c r="D2373">
        <v>22674</v>
      </c>
      <c r="E2373" t="s">
        <v>150</v>
      </c>
      <c r="F2373" t="s">
        <v>328</v>
      </c>
      <c r="G2373" s="28">
        <v>9</v>
      </c>
      <c r="H2373" s="32">
        <v>1.37</v>
      </c>
      <c r="I2373" s="32">
        <v>623.49</v>
      </c>
      <c r="J2373" t="s">
        <v>267</v>
      </c>
      <c r="K2373" t="s">
        <v>245</v>
      </c>
      <c r="L2373" t="s">
        <v>235</v>
      </c>
      <c r="M2373" t="s">
        <v>236</v>
      </c>
      <c r="N2373" t="s">
        <v>237</v>
      </c>
      <c r="O2373" s="27">
        <v>46056</v>
      </c>
    </row>
    <row r="2374" spans="2:15" hidden="1" x14ac:dyDescent="0.3">
      <c r="B2374">
        <v>9260624</v>
      </c>
      <c r="C2374" t="s">
        <v>231</v>
      </c>
      <c r="D2374">
        <v>24415</v>
      </c>
      <c r="E2374" t="s">
        <v>150</v>
      </c>
      <c r="F2374" t="s">
        <v>287</v>
      </c>
      <c r="G2374" s="28">
        <v>5</v>
      </c>
      <c r="H2374" s="32">
        <v>1.36</v>
      </c>
      <c r="I2374" s="32">
        <v>156.07</v>
      </c>
      <c r="J2374" t="s">
        <v>239</v>
      </c>
      <c r="K2374" t="s">
        <v>245</v>
      </c>
      <c r="L2374" t="s">
        <v>235</v>
      </c>
      <c r="M2374" t="s">
        <v>236</v>
      </c>
      <c r="N2374" t="s">
        <v>237</v>
      </c>
      <c r="O2374" s="27">
        <v>46055</v>
      </c>
    </row>
    <row r="2375" spans="2:15" hidden="1" x14ac:dyDescent="0.3">
      <c r="B2375">
        <v>8581688</v>
      </c>
      <c r="C2375" t="s">
        <v>231</v>
      </c>
      <c r="D2375">
        <v>23648</v>
      </c>
      <c r="E2375" t="s">
        <v>150</v>
      </c>
      <c r="F2375" t="s">
        <v>160</v>
      </c>
      <c r="G2375" s="28">
        <v>1</v>
      </c>
      <c r="H2375" s="32">
        <v>1.36</v>
      </c>
      <c r="I2375" s="32">
        <v>84.85</v>
      </c>
      <c r="J2375" t="s">
        <v>239</v>
      </c>
      <c r="K2375" t="s">
        <v>245</v>
      </c>
      <c r="L2375" t="s">
        <v>235</v>
      </c>
      <c r="M2375" t="s">
        <v>236</v>
      </c>
      <c r="N2375" t="s">
        <v>240</v>
      </c>
      <c r="O2375" s="27">
        <v>46055</v>
      </c>
    </row>
    <row r="2376" spans="2:15" hidden="1" x14ac:dyDescent="0.3">
      <c r="B2376">
        <v>4216928</v>
      </c>
      <c r="C2376" t="s">
        <v>231</v>
      </c>
      <c r="D2376">
        <v>69519</v>
      </c>
      <c r="E2376" t="s">
        <v>150</v>
      </c>
      <c r="F2376" t="s">
        <v>287</v>
      </c>
      <c r="G2376" s="28">
        <v>3</v>
      </c>
      <c r="H2376" s="32">
        <v>1.35</v>
      </c>
      <c r="I2376" s="32">
        <v>94.07</v>
      </c>
      <c r="J2376" t="s">
        <v>239</v>
      </c>
      <c r="K2376" t="s">
        <v>245</v>
      </c>
      <c r="L2376" t="s">
        <v>235</v>
      </c>
      <c r="M2376" t="s">
        <v>236</v>
      </c>
      <c r="N2376" t="s">
        <v>237</v>
      </c>
      <c r="O2376" s="27">
        <v>46063</v>
      </c>
    </row>
    <row r="2377" spans="2:15" hidden="1" x14ac:dyDescent="0.3">
      <c r="B2377">
        <v>5555592</v>
      </c>
      <c r="C2377" t="s">
        <v>231</v>
      </c>
      <c r="D2377">
        <v>38517</v>
      </c>
      <c r="E2377" t="s">
        <v>150</v>
      </c>
      <c r="F2377" t="s">
        <v>164</v>
      </c>
      <c r="G2377" s="28">
        <v>3</v>
      </c>
      <c r="H2377" s="32">
        <v>1.35</v>
      </c>
      <c r="I2377" s="32">
        <v>137.49</v>
      </c>
      <c r="J2377" t="s">
        <v>239</v>
      </c>
      <c r="K2377" t="s">
        <v>245</v>
      </c>
      <c r="L2377" t="s">
        <v>235</v>
      </c>
      <c r="M2377" t="s">
        <v>236</v>
      </c>
      <c r="N2377" t="s">
        <v>240</v>
      </c>
      <c r="O2377" s="27">
        <v>46055</v>
      </c>
    </row>
    <row r="2378" spans="2:15" hidden="1" x14ac:dyDescent="0.3">
      <c r="B2378">
        <v>357627</v>
      </c>
      <c r="C2378" t="s">
        <v>231</v>
      </c>
      <c r="D2378">
        <v>72444</v>
      </c>
      <c r="E2378" t="s">
        <v>150</v>
      </c>
      <c r="F2378" t="s">
        <v>272</v>
      </c>
      <c r="G2378" s="28">
        <v>35</v>
      </c>
      <c r="H2378" s="32">
        <v>1.35</v>
      </c>
      <c r="I2378" s="32">
        <v>228.85</v>
      </c>
      <c r="J2378" t="s">
        <v>239</v>
      </c>
      <c r="K2378" t="s">
        <v>245</v>
      </c>
      <c r="L2378" t="s">
        <v>235</v>
      </c>
      <c r="M2378" t="s">
        <v>236</v>
      </c>
      <c r="N2378" t="s">
        <v>237</v>
      </c>
      <c r="O2378" s="27">
        <v>46055</v>
      </c>
    </row>
    <row r="2379" spans="2:15" hidden="1" x14ac:dyDescent="0.3">
      <c r="B2379">
        <v>3666312</v>
      </c>
      <c r="C2379" t="s">
        <v>231</v>
      </c>
      <c r="D2379">
        <v>21468</v>
      </c>
      <c r="E2379" t="s">
        <v>150</v>
      </c>
      <c r="F2379" t="s">
        <v>160</v>
      </c>
      <c r="G2379" s="28">
        <v>1</v>
      </c>
      <c r="H2379" s="32">
        <v>1.35</v>
      </c>
      <c r="I2379" s="32">
        <v>84.85</v>
      </c>
      <c r="J2379" t="s">
        <v>239</v>
      </c>
      <c r="K2379" t="s">
        <v>245</v>
      </c>
      <c r="L2379" t="s">
        <v>235</v>
      </c>
      <c r="M2379" t="s">
        <v>236</v>
      </c>
      <c r="N2379" t="s">
        <v>240</v>
      </c>
      <c r="O2379" s="27">
        <v>46055</v>
      </c>
    </row>
    <row r="2380" spans="2:15" hidden="1" x14ac:dyDescent="0.3">
      <c r="B2380">
        <v>3270381</v>
      </c>
      <c r="C2380" t="s">
        <v>260</v>
      </c>
      <c r="D2380">
        <v>21559</v>
      </c>
      <c r="E2380" t="s">
        <v>150</v>
      </c>
      <c r="F2380" t="s">
        <v>163</v>
      </c>
      <c r="G2380" s="28">
        <v>6</v>
      </c>
      <c r="H2380" s="32">
        <v>1.35</v>
      </c>
      <c r="I2380" s="32">
        <v>79.040000000000006</v>
      </c>
      <c r="J2380" t="s">
        <v>239</v>
      </c>
      <c r="K2380" t="s">
        <v>245</v>
      </c>
      <c r="L2380" t="s">
        <v>235</v>
      </c>
      <c r="M2380" t="s">
        <v>236</v>
      </c>
      <c r="N2380" t="s">
        <v>237</v>
      </c>
      <c r="O2380" s="27">
        <v>46055</v>
      </c>
    </row>
    <row r="2381" spans="2:15" hidden="1" x14ac:dyDescent="0.3">
      <c r="B2381">
        <v>389066</v>
      </c>
      <c r="C2381" t="s">
        <v>260</v>
      </c>
      <c r="D2381">
        <v>21559</v>
      </c>
      <c r="E2381" t="s">
        <v>150</v>
      </c>
      <c r="F2381" t="s">
        <v>274</v>
      </c>
      <c r="G2381" s="28">
        <v>8</v>
      </c>
      <c r="H2381" s="32">
        <v>1.35</v>
      </c>
      <c r="I2381" s="32">
        <v>133.78</v>
      </c>
      <c r="J2381" t="s">
        <v>239</v>
      </c>
      <c r="K2381" t="s">
        <v>245</v>
      </c>
      <c r="L2381" t="s">
        <v>235</v>
      </c>
      <c r="M2381" t="s">
        <v>236</v>
      </c>
      <c r="N2381" t="s">
        <v>240</v>
      </c>
      <c r="O2381" s="27">
        <v>46072</v>
      </c>
    </row>
    <row r="2382" spans="2:15" hidden="1" x14ac:dyDescent="0.3">
      <c r="B2382">
        <v>389066</v>
      </c>
      <c r="C2382" t="s">
        <v>260</v>
      </c>
      <c r="D2382">
        <v>21559</v>
      </c>
      <c r="E2382" t="s">
        <v>150</v>
      </c>
      <c r="F2382" t="s">
        <v>309</v>
      </c>
      <c r="G2382" s="28">
        <v>5</v>
      </c>
      <c r="H2382" s="32">
        <v>1.35</v>
      </c>
      <c r="I2382" s="32">
        <v>133.43</v>
      </c>
      <c r="J2382" t="s">
        <v>239</v>
      </c>
      <c r="K2382" t="s">
        <v>245</v>
      </c>
      <c r="L2382" t="s">
        <v>235</v>
      </c>
      <c r="M2382" t="s">
        <v>236</v>
      </c>
      <c r="N2382" t="s">
        <v>240</v>
      </c>
      <c r="O2382" s="27">
        <v>46072</v>
      </c>
    </row>
    <row r="2383" spans="2:15" hidden="1" x14ac:dyDescent="0.3">
      <c r="B2383">
        <v>11593572</v>
      </c>
      <c r="C2383" t="s">
        <v>231</v>
      </c>
      <c r="D2383">
        <v>22674</v>
      </c>
      <c r="E2383" t="s">
        <v>150</v>
      </c>
      <c r="F2383" t="s">
        <v>322</v>
      </c>
      <c r="G2383" s="28">
        <v>7</v>
      </c>
      <c r="H2383" s="32">
        <v>1.34</v>
      </c>
      <c r="I2383" s="32">
        <v>719.25</v>
      </c>
      <c r="J2383" t="s">
        <v>267</v>
      </c>
      <c r="K2383" t="s">
        <v>245</v>
      </c>
      <c r="L2383" t="s">
        <v>235</v>
      </c>
      <c r="M2383" t="s">
        <v>236</v>
      </c>
      <c r="N2383" t="s">
        <v>237</v>
      </c>
      <c r="O2383" s="27">
        <v>46056</v>
      </c>
    </row>
    <row r="2384" spans="2:15" hidden="1" x14ac:dyDescent="0.3">
      <c r="B2384">
        <v>590816</v>
      </c>
      <c r="C2384" t="s">
        <v>231</v>
      </c>
      <c r="D2384">
        <v>38517</v>
      </c>
      <c r="E2384" t="s">
        <v>150</v>
      </c>
      <c r="F2384" t="s">
        <v>276</v>
      </c>
      <c r="G2384" s="28">
        <v>5</v>
      </c>
      <c r="H2384" s="32">
        <v>1.34</v>
      </c>
      <c r="I2384" s="32">
        <v>151.35</v>
      </c>
      <c r="J2384" t="s">
        <v>239</v>
      </c>
      <c r="K2384" t="s">
        <v>245</v>
      </c>
      <c r="L2384" t="s">
        <v>235</v>
      </c>
      <c r="M2384" t="s">
        <v>236</v>
      </c>
      <c r="N2384" t="s">
        <v>240</v>
      </c>
      <c r="O2384" s="27">
        <v>46055</v>
      </c>
    </row>
    <row r="2385" spans="2:15" hidden="1" x14ac:dyDescent="0.3">
      <c r="B2385">
        <v>3436001</v>
      </c>
      <c r="C2385" t="s">
        <v>260</v>
      </c>
      <c r="D2385">
        <v>21468</v>
      </c>
      <c r="E2385" t="s">
        <v>150</v>
      </c>
      <c r="F2385" t="s">
        <v>337</v>
      </c>
      <c r="G2385" s="28">
        <v>4</v>
      </c>
      <c r="H2385" s="32">
        <v>1.34</v>
      </c>
      <c r="I2385" s="32">
        <v>147.01</v>
      </c>
      <c r="J2385" t="s">
        <v>239</v>
      </c>
      <c r="K2385" t="s">
        <v>245</v>
      </c>
      <c r="L2385" t="s">
        <v>235</v>
      </c>
      <c r="M2385" t="s">
        <v>236</v>
      </c>
      <c r="N2385" t="s">
        <v>237</v>
      </c>
      <c r="O2385" s="27">
        <v>46055</v>
      </c>
    </row>
    <row r="2386" spans="2:15" hidden="1" x14ac:dyDescent="0.3">
      <c r="B2386">
        <v>3914788</v>
      </c>
      <c r="C2386" t="s">
        <v>260</v>
      </c>
      <c r="D2386">
        <v>21468</v>
      </c>
      <c r="E2386" t="s">
        <v>150</v>
      </c>
      <c r="F2386" t="s">
        <v>319</v>
      </c>
      <c r="G2386" s="28">
        <v>3</v>
      </c>
      <c r="H2386" s="32">
        <v>1.34</v>
      </c>
      <c r="I2386" s="32">
        <v>121.16</v>
      </c>
      <c r="J2386" t="s">
        <v>239</v>
      </c>
      <c r="K2386" t="s">
        <v>245</v>
      </c>
      <c r="L2386" t="s">
        <v>235</v>
      </c>
      <c r="M2386" t="s">
        <v>236</v>
      </c>
      <c r="N2386" t="s">
        <v>240</v>
      </c>
      <c r="O2386" s="27">
        <v>46063</v>
      </c>
    </row>
    <row r="2387" spans="2:15" hidden="1" x14ac:dyDescent="0.3">
      <c r="B2387">
        <v>5362471</v>
      </c>
      <c r="C2387" t="s">
        <v>260</v>
      </c>
      <c r="D2387">
        <v>22674</v>
      </c>
      <c r="E2387" t="s">
        <v>150</v>
      </c>
      <c r="F2387" t="s">
        <v>319</v>
      </c>
      <c r="G2387" s="28">
        <v>3</v>
      </c>
      <c r="H2387" s="32">
        <v>1.34</v>
      </c>
      <c r="I2387" s="32">
        <v>121.16</v>
      </c>
      <c r="J2387" t="s">
        <v>239</v>
      </c>
      <c r="K2387" t="s">
        <v>245</v>
      </c>
      <c r="L2387" t="s">
        <v>235</v>
      </c>
      <c r="M2387" t="s">
        <v>236</v>
      </c>
      <c r="N2387" t="s">
        <v>240</v>
      </c>
      <c r="O2387" s="27">
        <v>46063</v>
      </c>
    </row>
    <row r="2388" spans="2:15" hidden="1" x14ac:dyDescent="0.3">
      <c r="B2388">
        <v>8142187</v>
      </c>
      <c r="C2388" t="s">
        <v>260</v>
      </c>
      <c r="D2388">
        <v>21468</v>
      </c>
      <c r="E2388" t="s">
        <v>150</v>
      </c>
      <c r="F2388" t="s">
        <v>319</v>
      </c>
      <c r="G2388" s="28">
        <v>3</v>
      </c>
      <c r="H2388" s="32">
        <v>1.34</v>
      </c>
      <c r="I2388" s="32">
        <v>121.16</v>
      </c>
      <c r="J2388" t="s">
        <v>239</v>
      </c>
      <c r="K2388" t="s">
        <v>245</v>
      </c>
      <c r="L2388" t="s">
        <v>235</v>
      </c>
      <c r="M2388" t="s">
        <v>236</v>
      </c>
      <c r="N2388" t="s">
        <v>240</v>
      </c>
      <c r="O2388" s="27">
        <v>46063</v>
      </c>
    </row>
    <row r="2389" spans="2:15" hidden="1" x14ac:dyDescent="0.3">
      <c r="B2389">
        <v>9635202</v>
      </c>
      <c r="C2389" t="s">
        <v>231</v>
      </c>
      <c r="D2389">
        <v>71881</v>
      </c>
      <c r="E2389" t="s">
        <v>150</v>
      </c>
      <c r="F2389" t="s">
        <v>369</v>
      </c>
      <c r="G2389" s="28">
        <v>5</v>
      </c>
      <c r="H2389" s="32">
        <v>1.33</v>
      </c>
      <c r="I2389" s="32">
        <v>275.52999999999997</v>
      </c>
      <c r="J2389" t="s">
        <v>239</v>
      </c>
      <c r="K2389" t="s">
        <v>245</v>
      </c>
      <c r="L2389" t="s">
        <v>235</v>
      </c>
      <c r="M2389" t="s">
        <v>236</v>
      </c>
      <c r="N2389" t="s">
        <v>240</v>
      </c>
      <c r="O2389" s="27">
        <v>46063</v>
      </c>
    </row>
    <row r="2390" spans="2:15" hidden="1" x14ac:dyDescent="0.3">
      <c r="B2390">
        <v>2410665</v>
      </c>
      <c r="C2390" t="s">
        <v>231</v>
      </c>
      <c r="D2390">
        <v>21559</v>
      </c>
      <c r="E2390" t="s">
        <v>150</v>
      </c>
      <c r="F2390" t="s">
        <v>271</v>
      </c>
      <c r="G2390" s="28">
        <v>7</v>
      </c>
      <c r="H2390" s="32">
        <v>1.33</v>
      </c>
      <c r="I2390" s="32">
        <v>129.22</v>
      </c>
      <c r="J2390" t="s">
        <v>239</v>
      </c>
      <c r="K2390" t="s">
        <v>245</v>
      </c>
      <c r="L2390" t="s">
        <v>235</v>
      </c>
      <c r="M2390" t="s">
        <v>236</v>
      </c>
      <c r="N2390" t="s">
        <v>240</v>
      </c>
      <c r="O2390" s="27">
        <v>46063</v>
      </c>
    </row>
    <row r="2391" spans="2:15" hidden="1" x14ac:dyDescent="0.3">
      <c r="B2391">
        <v>2562251</v>
      </c>
      <c r="C2391" t="s">
        <v>231</v>
      </c>
      <c r="D2391">
        <v>23648</v>
      </c>
      <c r="E2391" t="s">
        <v>150</v>
      </c>
      <c r="F2391" t="s">
        <v>337</v>
      </c>
      <c r="G2391" s="28">
        <v>4</v>
      </c>
      <c r="H2391" s="32">
        <v>1.33</v>
      </c>
      <c r="I2391" s="32">
        <v>145.30000000000001</v>
      </c>
      <c r="J2391" t="s">
        <v>239</v>
      </c>
      <c r="K2391" t="s">
        <v>245</v>
      </c>
      <c r="L2391" t="s">
        <v>235</v>
      </c>
      <c r="M2391" t="s">
        <v>236</v>
      </c>
      <c r="N2391" t="s">
        <v>237</v>
      </c>
      <c r="O2391" s="27">
        <v>46063</v>
      </c>
    </row>
    <row r="2392" spans="2:15" hidden="1" x14ac:dyDescent="0.3">
      <c r="B2392">
        <v>5377617</v>
      </c>
      <c r="C2392" t="s">
        <v>231</v>
      </c>
      <c r="D2392">
        <v>21559</v>
      </c>
      <c r="E2392" t="s">
        <v>150</v>
      </c>
      <c r="F2392" t="s">
        <v>337</v>
      </c>
      <c r="G2392" s="28">
        <v>3</v>
      </c>
      <c r="H2392" s="32">
        <v>1.33</v>
      </c>
      <c r="I2392" s="32">
        <v>109.03</v>
      </c>
      <c r="J2392" t="s">
        <v>239</v>
      </c>
      <c r="K2392" t="s">
        <v>245</v>
      </c>
      <c r="L2392" t="s">
        <v>235</v>
      </c>
      <c r="M2392" t="s">
        <v>236</v>
      </c>
      <c r="N2392" t="s">
        <v>237</v>
      </c>
      <c r="O2392" s="27">
        <v>46063</v>
      </c>
    </row>
    <row r="2393" spans="2:15" hidden="1" x14ac:dyDescent="0.3">
      <c r="B2393">
        <v>6304689</v>
      </c>
      <c r="C2393" t="s">
        <v>231</v>
      </c>
      <c r="D2393">
        <v>25619</v>
      </c>
      <c r="E2393" t="s">
        <v>150</v>
      </c>
      <c r="F2393" t="s">
        <v>319</v>
      </c>
      <c r="G2393" s="28">
        <v>3</v>
      </c>
      <c r="H2393" s="32">
        <v>1.33</v>
      </c>
      <c r="I2393" s="32">
        <v>121.16</v>
      </c>
      <c r="J2393" t="s">
        <v>239</v>
      </c>
      <c r="K2393" t="s">
        <v>245</v>
      </c>
      <c r="L2393" t="s">
        <v>235</v>
      </c>
      <c r="M2393" t="s">
        <v>236</v>
      </c>
      <c r="N2393" t="s">
        <v>240</v>
      </c>
      <c r="O2393" s="27">
        <v>46063</v>
      </c>
    </row>
    <row r="2394" spans="2:15" hidden="1" x14ac:dyDescent="0.3">
      <c r="B2394">
        <v>389066</v>
      </c>
      <c r="C2394" t="s">
        <v>260</v>
      </c>
      <c r="D2394">
        <v>21559</v>
      </c>
      <c r="E2394" t="s">
        <v>150</v>
      </c>
      <c r="F2394" t="s">
        <v>262</v>
      </c>
      <c r="G2394" s="28">
        <v>1</v>
      </c>
      <c r="H2394" s="32">
        <v>1.33</v>
      </c>
      <c r="I2394" s="32">
        <v>132.08000000000001</v>
      </c>
      <c r="J2394" t="s">
        <v>256</v>
      </c>
      <c r="K2394" t="s">
        <v>245</v>
      </c>
      <c r="L2394" t="s">
        <v>235</v>
      </c>
      <c r="M2394" t="s">
        <v>236</v>
      </c>
      <c r="N2394" t="s">
        <v>240</v>
      </c>
      <c r="O2394" s="27">
        <v>46072</v>
      </c>
    </row>
    <row r="2395" spans="2:15" hidden="1" x14ac:dyDescent="0.3">
      <c r="B2395">
        <v>4658833</v>
      </c>
      <c r="C2395" t="s">
        <v>260</v>
      </c>
      <c r="D2395">
        <v>38517</v>
      </c>
      <c r="E2395" t="s">
        <v>150</v>
      </c>
      <c r="F2395" t="s">
        <v>337</v>
      </c>
      <c r="G2395" s="28">
        <v>4</v>
      </c>
      <c r="H2395" s="32">
        <v>1.33</v>
      </c>
      <c r="I2395" s="32">
        <v>145.30000000000001</v>
      </c>
      <c r="J2395" t="s">
        <v>239</v>
      </c>
      <c r="K2395" t="s">
        <v>245</v>
      </c>
      <c r="L2395" t="s">
        <v>235</v>
      </c>
      <c r="M2395" t="s">
        <v>236</v>
      </c>
      <c r="N2395" t="s">
        <v>237</v>
      </c>
      <c r="O2395" s="27">
        <v>46063</v>
      </c>
    </row>
    <row r="2396" spans="2:15" hidden="1" x14ac:dyDescent="0.3">
      <c r="B2396">
        <v>7768707</v>
      </c>
      <c r="C2396" t="s">
        <v>260</v>
      </c>
      <c r="D2396">
        <v>21559</v>
      </c>
      <c r="E2396" t="s">
        <v>150</v>
      </c>
      <c r="F2396" t="s">
        <v>319</v>
      </c>
      <c r="G2396" s="28">
        <v>3</v>
      </c>
      <c r="H2396" s="32">
        <v>1.33</v>
      </c>
      <c r="I2396" s="32">
        <v>121.16</v>
      </c>
      <c r="J2396" t="s">
        <v>239</v>
      </c>
      <c r="K2396" t="s">
        <v>245</v>
      </c>
      <c r="L2396" t="s">
        <v>235</v>
      </c>
      <c r="M2396" t="s">
        <v>236</v>
      </c>
      <c r="N2396" t="s">
        <v>240</v>
      </c>
      <c r="O2396" s="27">
        <v>46063</v>
      </c>
    </row>
    <row r="2397" spans="2:15" hidden="1" x14ac:dyDescent="0.3">
      <c r="B2397">
        <v>440722</v>
      </c>
      <c r="C2397" t="s">
        <v>231</v>
      </c>
      <c r="D2397">
        <v>21468</v>
      </c>
      <c r="E2397" t="s">
        <v>150</v>
      </c>
      <c r="F2397" t="s">
        <v>287</v>
      </c>
      <c r="G2397" s="28">
        <v>6</v>
      </c>
      <c r="H2397" s="32">
        <v>1.32</v>
      </c>
      <c r="I2397" s="32">
        <v>187.28</v>
      </c>
      <c r="J2397" t="s">
        <v>239</v>
      </c>
      <c r="K2397" t="s">
        <v>245</v>
      </c>
      <c r="L2397" t="s">
        <v>235</v>
      </c>
      <c r="M2397" t="s">
        <v>236</v>
      </c>
      <c r="N2397" t="s">
        <v>237</v>
      </c>
      <c r="O2397" s="27">
        <v>46055</v>
      </c>
    </row>
    <row r="2398" spans="2:15" hidden="1" x14ac:dyDescent="0.3">
      <c r="B2398">
        <v>4381878</v>
      </c>
      <c r="C2398" t="s">
        <v>231</v>
      </c>
      <c r="D2398">
        <v>74304</v>
      </c>
      <c r="E2398" t="s">
        <v>150</v>
      </c>
      <c r="F2398" t="s">
        <v>338</v>
      </c>
      <c r="G2398" s="28">
        <v>2</v>
      </c>
      <c r="H2398" s="32">
        <v>1.32</v>
      </c>
      <c r="I2398" s="32">
        <v>130.13</v>
      </c>
      <c r="J2398" t="s">
        <v>239</v>
      </c>
      <c r="K2398" t="s">
        <v>245</v>
      </c>
      <c r="L2398" t="s">
        <v>235</v>
      </c>
      <c r="M2398" t="s">
        <v>236</v>
      </c>
      <c r="N2398" t="s">
        <v>237</v>
      </c>
      <c r="O2398" s="27">
        <v>46072</v>
      </c>
    </row>
    <row r="2399" spans="2:15" hidden="1" x14ac:dyDescent="0.3">
      <c r="B2399">
        <v>310157</v>
      </c>
      <c r="C2399" t="s">
        <v>231</v>
      </c>
      <c r="D2399">
        <v>68542</v>
      </c>
      <c r="E2399" t="s">
        <v>150</v>
      </c>
      <c r="F2399" t="s">
        <v>392</v>
      </c>
      <c r="G2399" s="28">
        <v>12</v>
      </c>
      <c r="H2399" s="32">
        <v>1.32</v>
      </c>
      <c r="I2399" s="32">
        <v>1176.54</v>
      </c>
      <c r="J2399" t="s">
        <v>267</v>
      </c>
      <c r="K2399" t="s">
        <v>245</v>
      </c>
      <c r="L2399" t="s">
        <v>235</v>
      </c>
      <c r="M2399" t="s">
        <v>236</v>
      </c>
      <c r="N2399" t="s">
        <v>240</v>
      </c>
      <c r="O2399" s="27">
        <v>46057</v>
      </c>
    </row>
    <row r="2400" spans="2:15" hidden="1" x14ac:dyDescent="0.3">
      <c r="B2400">
        <v>11010432</v>
      </c>
      <c r="C2400" t="s">
        <v>231</v>
      </c>
      <c r="D2400">
        <v>25619</v>
      </c>
      <c r="E2400" t="s">
        <v>150</v>
      </c>
      <c r="F2400" t="s">
        <v>337</v>
      </c>
      <c r="G2400" s="28">
        <v>4</v>
      </c>
      <c r="H2400" s="32">
        <v>1.32</v>
      </c>
      <c r="I2400" s="32">
        <v>145.30000000000001</v>
      </c>
      <c r="J2400" t="s">
        <v>239</v>
      </c>
      <c r="K2400" t="s">
        <v>245</v>
      </c>
      <c r="L2400" t="s">
        <v>235</v>
      </c>
      <c r="M2400" t="s">
        <v>236</v>
      </c>
      <c r="N2400" t="s">
        <v>237</v>
      </c>
      <c r="O2400" s="27">
        <v>46063</v>
      </c>
    </row>
    <row r="2401" spans="2:15" hidden="1" x14ac:dyDescent="0.3">
      <c r="B2401">
        <v>5979107</v>
      </c>
      <c r="C2401" t="s">
        <v>231</v>
      </c>
      <c r="D2401">
        <v>35984</v>
      </c>
      <c r="E2401" t="s">
        <v>150</v>
      </c>
      <c r="F2401" t="s">
        <v>335</v>
      </c>
      <c r="G2401" s="28">
        <v>1</v>
      </c>
      <c r="H2401" s="32">
        <v>1.32</v>
      </c>
      <c r="I2401" s="32">
        <v>142.55000000000001</v>
      </c>
      <c r="J2401" t="s">
        <v>330</v>
      </c>
      <c r="K2401" t="s">
        <v>245</v>
      </c>
      <c r="L2401" t="s">
        <v>235</v>
      </c>
      <c r="M2401" t="s">
        <v>236</v>
      </c>
      <c r="N2401" t="s">
        <v>240</v>
      </c>
      <c r="O2401" s="27">
        <v>46055</v>
      </c>
    </row>
    <row r="2402" spans="2:15" hidden="1" x14ac:dyDescent="0.3">
      <c r="B2402">
        <v>2411460</v>
      </c>
      <c r="C2402" t="s">
        <v>231</v>
      </c>
      <c r="D2402">
        <v>72444</v>
      </c>
      <c r="E2402" t="s">
        <v>150</v>
      </c>
      <c r="F2402" t="s">
        <v>160</v>
      </c>
      <c r="G2402" s="28">
        <v>2</v>
      </c>
      <c r="H2402" s="32">
        <v>1.32</v>
      </c>
      <c r="I2402" s="32">
        <v>169.7</v>
      </c>
      <c r="J2402" t="s">
        <v>239</v>
      </c>
      <c r="K2402" t="s">
        <v>245</v>
      </c>
      <c r="L2402" t="s">
        <v>235</v>
      </c>
      <c r="M2402" t="s">
        <v>236</v>
      </c>
      <c r="N2402" t="s">
        <v>240</v>
      </c>
      <c r="O2402" s="27">
        <v>46055</v>
      </c>
    </row>
    <row r="2403" spans="2:15" hidden="1" x14ac:dyDescent="0.3">
      <c r="B2403">
        <v>7296870</v>
      </c>
      <c r="C2403" t="s">
        <v>231</v>
      </c>
      <c r="D2403">
        <v>96553</v>
      </c>
      <c r="E2403" t="s">
        <v>150</v>
      </c>
      <c r="F2403" t="s">
        <v>160</v>
      </c>
      <c r="G2403" s="28">
        <v>1</v>
      </c>
      <c r="H2403" s="32">
        <v>1.32</v>
      </c>
      <c r="I2403" s="32">
        <v>84.85</v>
      </c>
      <c r="J2403" t="s">
        <v>239</v>
      </c>
      <c r="K2403" t="s">
        <v>245</v>
      </c>
      <c r="L2403" t="s">
        <v>235</v>
      </c>
      <c r="M2403" t="s">
        <v>236</v>
      </c>
      <c r="N2403" t="s">
        <v>240</v>
      </c>
      <c r="O2403" s="27">
        <v>46055</v>
      </c>
    </row>
    <row r="2404" spans="2:15" hidden="1" x14ac:dyDescent="0.3">
      <c r="B2404">
        <v>9673848</v>
      </c>
      <c r="C2404" t="s">
        <v>231</v>
      </c>
      <c r="D2404">
        <v>22674</v>
      </c>
      <c r="E2404" t="s">
        <v>150</v>
      </c>
      <c r="F2404" t="s">
        <v>246</v>
      </c>
      <c r="G2404" s="28">
        <v>2</v>
      </c>
      <c r="H2404" s="32">
        <v>1.31</v>
      </c>
      <c r="I2404" s="32">
        <v>73.900000000000006</v>
      </c>
      <c r="J2404" t="s">
        <v>239</v>
      </c>
      <c r="K2404" t="s">
        <v>245</v>
      </c>
      <c r="L2404" t="s">
        <v>235</v>
      </c>
      <c r="M2404" t="s">
        <v>236</v>
      </c>
      <c r="N2404" t="s">
        <v>237</v>
      </c>
      <c r="O2404" s="27">
        <v>46055</v>
      </c>
    </row>
    <row r="2405" spans="2:15" hidden="1" x14ac:dyDescent="0.3">
      <c r="B2405">
        <v>3907511</v>
      </c>
      <c r="C2405" t="s">
        <v>231</v>
      </c>
      <c r="D2405">
        <v>23648</v>
      </c>
      <c r="E2405" t="s">
        <v>150</v>
      </c>
      <c r="F2405" t="s">
        <v>160</v>
      </c>
      <c r="G2405" s="28">
        <v>2</v>
      </c>
      <c r="H2405" s="32">
        <v>1.31</v>
      </c>
      <c r="I2405" s="32">
        <v>169.7</v>
      </c>
      <c r="J2405" t="s">
        <v>239</v>
      </c>
      <c r="K2405" t="s">
        <v>245</v>
      </c>
      <c r="L2405" t="s">
        <v>235</v>
      </c>
      <c r="M2405" t="s">
        <v>236</v>
      </c>
      <c r="N2405" t="s">
        <v>237</v>
      </c>
      <c r="O2405" s="27">
        <v>46055</v>
      </c>
    </row>
    <row r="2406" spans="2:15" hidden="1" x14ac:dyDescent="0.3">
      <c r="B2406">
        <v>4868551</v>
      </c>
      <c r="C2406" t="s">
        <v>231</v>
      </c>
      <c r="D2406">
        <v>22674</v>
      </c>
      <c r="E2406" t="s">
        <v>150</v>
      </c>
      <c r="F2406" t="s">
        <v>319</v>
      </c>
      <c r="G2406" s="28">
        <v>3</v>
      </c>
      <c r="H2406" s="32">
        <v>1.31</v>
      </c>
      <c r="I2406" s="32">
        <v>121.16</v>
      </c>
      <c r="J2406" t="s">
        <v>239</v>
      </c>
      <c r="K2406" t="s">
        <v>245</v>
      </c>
      <c r="L2406" t="s">
        <v>235</v>
      </c>
      <c r="M2406" t="s">
        <v>236</v>
      </c>
      <c r="N2406" t="s">
        <v>240</v>
      </c>
      <c r="O2406" s="27">
        <v>46063</v>
      </c>
    </row>
    <row r="2407" spans="2:15" hidden="1" x14ac:dyDescent="0.3">
      <c r="B2407">
        <v>5370675</v>
      </c>
      <c r="C2407" t="s">
        <v>260</v>
      </c>
      <c r="D2407">
        <v>71881</v>
      </c>
      <c r="E2407" t="s">
        <v>150</v>
      </c>
      <c r="F2407" t="s">
        <v>319</v>
      </c>
      <c r="G2407" s="28">
        <v>3</v>
      </c>
      <c r="H2407" s="32">
        <v>1.31</v>
      </c>
      <c r="I2407" s="32">
        <v>121.16</v>
      </c>
      <c r="J2407" t="s">
        <v>239</v>
      </c>
      <c r="K2407" t="s">
        <v>245</v>
      </c>
      <c r="L2407" t="s">
        <v>235</v>
      </c>
      <c r="M2407" t="s">
        <v>236</v>
      </c>
      <c r="N2407" t="s">
        <v>240</v>
      </c>
      <c r="O2407" s="27">
        <v>46063</v>
      </c>
    </row>
    <row r="2408" spans="2:15" hidden="1" x14ac:dyDescent="0.3">
      <c r="B2408">
        <v>3322497</v>
      </c>
      <c r="C2408" t="s">
        <v>231</v>
      </c>
      <c r="D2408">
        <v>40901</v>
      </c>
      <c r="E2408" t="s">
        <v>150</v>
      </c>
      <c r="F2408" t="s">
        <v>321</v>
      </c>
      <c r="G2408" s="28">
        <v>2</v>
      </c>
      <c r="H2408" s="32">
        <v>1.3</v>
      </c>
      <c r="I2408" s="32">
        <v>236.46</v>
      </c>
      <c r="J2408" t="s">
        <v>267</v>
      </c>
      <c r="K2408" t="s">
        <v>245</v>
      </c>
      <c r="L2408" t="s">
        <v>235</v>
      </c>
      <c r="M2408" t="s">
        <v>236</v>
      </c>
      <c r="N2408" t="s">
        <v>240</v>
      </c>
      <c r="O2408" s="27">
        <v>46055</v>
      </c>
    </row>
    <row r="2409" spans="2:15" hidden="1" x14ac:dyDescent="0.3">
      <c r="B2409">
        <v>4072213</v>
      </c>
      <c r="C2409" t="s">
        <v>231</v>
      </c>
      <c r="D2409">
        <v>22674</v>
      </c>
      <c r="E2409" t="s">
        <v>150</v>
      </c>
      <c r="F2409" t="s">
        <v>319</v>
      </c>
      <c r="G2409" s="28">
        <v>3</v>
      </c>
      <c r="H2409" s="32">
        <v>1.3</v>
      </c>
      <c r="I2409" s="32">
        <v>121.16</v>
      </c>
      <c r="J2409" t="s">
        <v>239</v>
      </c>
      <c r="K2409" t="s">
        <v>245</v>
      </c>
      <c r="L2409" t="s">
        <v>235</v>
      </c>
      <c r="M2409" t="s">
        <v>236</v>
      </c>
      <c r="N2409" t="s">
        <v>240</v>
      </c>
      <c r="O2409" s="27">
        <v>46063</v>
      </c>
    </row>
    <row r="2410" spans="2:15" hidden="1" x14ac:dyDescent="0.3">
      <c r="B2410">
        <v>3310896</v>
      </c>
      <c r="C2410" t="s">
        <v>260</v>
      </c>
      <c r="D2410">
        <v>21559</v>
      </c>
      <c r="E2410" t="s">
        <v>150</v>
      </c>
      <c r="F2410" t="s">
        <v>334</v>
      </c>
      <c r="G2410" s="28">
        <v>3</v>
      </c>
      <c r="H2410" s="32">
        <v>1.3</v>
      </c>
      <c r="I2410" s="32">
        <v>170.57</v>
      </c>
      <c r="J2410" t="s">
        <v>239</v>
      </c>
      <c r="K2410" t="s">
        <v>245</v>
      </c>
      <c r="L2410" t="s">
        <v>235</v>
      </c>
      <c r="M2410" t="s">
        <v>236</v>
      </c>
      <c r="N2410" t="s">
        <v>240</v>
      </c>
      <c r="O2410" s="27">
        <v>46063</v>
      </c>
    </row>
    <row r="2411" spans="2:15" hidden="1" x14ac:dyDescent="0.3">
      <c r="B2411">
        <v>8218280</v>
      </c>
      <c r="C2411" t="s">
        <v>260</v>
      </c>
      <c r="D2411">
        <v>21559</v>
      </c>
      <c r="E2411" t="s">
        <v>150</v>
      </c>
      <c r="F2411" t="s">
        <v>459</v>
      </c>
      <c r="G2411" s="28">
        <v>1</v>
      </c>
      <c r="H2411" s="32">
        <v>1.3</v>
      </c>
      <c r="I2411" s="32">
        <v>82.2</v>
      </c>
      <c r="J2411" t="s">
        <v>267</v>
      </c>
      <c r="K2411" t="s">
        <v>245</v>
      </c>
      <c r="L2411" t="s">
        <v>235</v>
      </c>
      <c r="M2411" t="s">
        <v>236</v>
      </c>
      <c r="N2411" t="s">
        <v>240</v>
      </c>
      <c r="O2411" s="27">
        <v>46062</v>
      </c>
    </row>
    <row r="2412" spans="2:15" hidden="1" x14ac:dyDescent="0.3">
      <c r="B2412">
        <v>3255792</v>
      </c>
      <c r="C2412" t="s">
        <v>231</v>
      </c>
      <c r="D2412">
        <v>71881</v>
      </c>
      <c r="E2412" t="s">
        <v>150</v>
      </c>
      <c r="F2412" t="s">
        <v>287</v>
      </c>
      <c r="G2412" s="28">
        <v>3</v>
      </c>
      <c r="H2412" s="32">
        <v>1.29</v>
      </c>
      <c r="I2412" s="32">
        <v>94.16</v>
      </c>
      <c r="J2412" t="s">
        <v>239</v>
      </c>
      <c r="K2412" t="s">
        <v>245</v>
      </c>
      <c r="L2412" t="s">
        <v>235</v>
      </c>
      <c r="M2412" t="s">
        <v>236</v>
      </c>
      <c r="N2412" t="s">
        <v>237</v>
      </c>
      <c r="O2412" s="27">
        <v>46063</v>
      </c>
    </row>
    <row r="2413" spans="2:15" hidden="1" x14ac:dyDescent="0.3">
      <c r="B2413">
        <v>310157</v>
      </c>
      <c r="C2413" t="s">
        <v>231</v>
      </c>
      <c r="D2413">
        <v>68542</v>
      </c>
      <c r="E2413" t="s">
        <v>150</v>
      </c>
      <c r="F2413" t="s">
        <v>355</v>
      </c>
      <c r="G2413" s="28">
        <v>14</v>
      </c>
      <c r="H2413" s="32">
        <v>1.29</v>
      </c>
      <c r="I2413" s="32">
        <v>139.58000000000001</v>
      </c>
      <c r="J2413" t="s">
        <v>267</v>
      </c>
      <c r="K2413" t="s">
        <v>245</v>
      </c>
      <c r="L2413" t="s">
        <v>235</v>
      </c>
      <c r="M2413" t="s">
        <v>236</v>
      </c>
      <c r="N2413" t="s">
        <v>240</v>
      </c>
      <c r="O2413" s="27">
        <v>46057</v>
      </c>
    </row>
    <row r="2414" spans="2:15" hidden="1" x14ac:dyDescent="0.3">
      <c r="B2414">
        <v>5979107</v>
      </c>
      <c r="C2414" t="s">
        <v>231</v>
      </c>
      <c r="D2414">
        <v>35984</v>
      </c>
      <c r="E2414" t="s">
        <v>150</v>
      </c>
      <c r="F2414" t="s">
        <v>246</v>
      </c>
      <c r="G2414" s="28">
        <v>2</v>
      </c>
      <c r="H2414" s="32">
        <v>1.29</v>
      </c>
      <c r="I2414" s="32">
        <v>73.959999999999994</v>
      </c>
      <c r="J2414" t="s">
        <v>239</v>
      </c>
      <c r="K2414" t="s">
        <v>245</v>
      </c>
      <c r="L2414" t="s">
        <v>235</v>
      </c>
      <c r="M2414" t="s">
        <v>236</v>
      </c>
      <c r="N2414" t="s">
        <v>237</v>
      </c>
      <c r="O2414" s="27">
        <v>46055</v>
      </c>
    </row>
    <row r="2415" spans="2:15" hidden="1" x14ac:dyDescent="0.3">
      <c r="B2415">
        <v>440722</v>
      </c>
      <c r="C2415" t="s">
        <v>231</v>
      </c>
      <c r="D2415">
        <v>21468</v>
      </c>
      <c r="E2415" t="s">
        <v>150</v>
      </c>
      <c r="F2415" t="s">
        <v>337</v>
      </c>
      <c r="G2415" s="28">
        <v>5</v>
      </c>
      <c r="H2415" s="32">
        <v>1.29</v>
      </c>
      <c r="I2415" s="32">
        <v>183.76</v>
      </c>
      <c r="J2415" t="s">
        <v>239</v>
      </c>
      <c r="K2415" t="s">
        <v>245</v>
      </c>
      <c r="L2415" t="s">
        <v>235</v>
      </c>
      <c r="M2415" t="s">
        <v>236</v>
      </c>
      <c r="N2415" t="s">
        <v>237</v>
      </c>
      <c r="O2415" s="27">
        <v>46055</v>
      </c>
    </row>
    <row r="2416" spans="2:15" hidden="1" x14ac:dyDescent="0.3">
      <c r="B2416">
        <v>18547873</v>
      </c>
      <c r="C2416" t="s">
        <v>260</v>
      </c>
      <c r="D2416">
        <v>38517</v>
      </c>
      <c r="E2416" t="s">
        <v>150</v>
      </c>
      <c r="F2416" t="s">
        <v>164</v>
      </c>
      <c r="G2416" s="28">
        <v>4</v>
      </c>
      <c r="H2416" s="32">
        <v>1.29</v>
      </c>
      <c r="I2416" s="32">
        <v>183.32</v>
      </c>
      <c r="J2416" t="s">
        <v>239</v>
      </c>
      <c r="K2416" t="s">
        <v>245</v>
      </c>
      <c r="L2416" t="s">
        <v>235</v>
      </c>
      <c r="M2416" t="s">
        <v>236</v>
      </c>
      <c r="N2416" t="s">
        <v>240</v>
      </c>
      <c r="O2416" s="27">
        <v>46055</v>
      </c>
    </row>
    <row r="2417" spans="2:15" hidden="1" x14ac:dyDescent="0.3">
      <c r="B2417">
        <v>9673848</v>
      </c>
      <c r="C2417" t="s">
        <v>231</v>
      </c>
      <c r="D2417">
        <v>22674</v>
      </c>
      <c r="E2417" t="s">
        <v>150</v>
      </c>
      <c r="F2417" t="s">
        <v>287</v>
      </c>
      <c r="G2417" s="28">
        <v>3</v>
      </c>
      <c r="H2417" s="32">
        <v>1.28</v>
      </c>
      <c r="I2417" s="32">
        <v>94.16</v>
      </c>
      <c r="J2417" t="s">
        <v>239</v>
      </c>
      <c r="K2417" t="s">
        <v>245</v>
      </c>
      <c r="L2417" t="s">
        <v>235</v>
      </c>
      <c r="M2417" t="s">
        <v>236</v>
      </c>
      <c r="N2417" t="s">
        <v>237</v>
      </c>
      <c r="O2417" s="27">
        <v>46063</v>
      </c>
    </row>
    <row r="2418" spans="2:15" hidden="1" x14ac:dyDescent="0.3">
      <c r="B2418">
        <v>5934364</v>
      </c>
      <c r="C2418" t="s">
        <v>231</v>
      </c>
      <c r="D2418">
        <v>72444</v>
      </c>
      <c r="E2418" t="s">
        <v>150</v>
      </c>
      <c r="F2418" t="s">
        <v>298</v>
      </c>
      <c r="G2418" s="28">
        <v>4</v>
      </c>
      <c r="H2418" s="32">
        <v>1.28</v>
      </c>
      <c r="I2418" s="32">
        <v>65.66</v>
      </c>
      <c r="J2418" t="s">
        <v>239</v>
      </c>
      <c r="K2418" t="s">
        <v>245</v>
      </c>
      <c r="L2418" t="s">
        <v>235</v>
      </c>
      <c r="M2418" t="s">
        <v>236</v>
      </c>
      <c r="N2418" t="s">
        <v>237</v>
      </c>
      <c r="O2418" s="27">
        <v>46055</v>
      </c>
    </row>
    <row r="2419" spans="2:15" hidden="1" x14ac:dyDescent="0.3">
      <c r="B2419">
        <v>11593572</v>
      </c>
      <c r="C2419" t="s">
        <v>231</v>
      </c>
      <c r="D2419">
        <v>22674</v>
      </c>
      <c r="E2419" t="s">
        <v>150</v>
      </c>
      <c r="F2419" t="s">
        <v>413</v>
      </c>
      <c r="G2419" s="28">
        <v>5</v>
      </c>
      <c r="H2419" s="32">
        <v>1.28</v>
      </c>
      <c r="I2419" s="32">
        <v>804.38</v>
      </c>
      <c r="J2419" t="s">
        <v>267</v>
      </c>
      <c r="K2419" t="s">
        <v>245</v>
      </c>
      <c r="L2419" t="s">
        <v>235</v>
      </c>
      <c r="M2419" t="s">
        <v>236</v>
      </c>
      <c r="N2419" t="s">
        <v>240</v>
      </c>
      <c r="O2419" s="27">
        <v>46056</v>
      </c>
    </row>
    <row r="2420" spans="2:15" hidden="1" x14ac:dyDescent="0.3">
      <c r="B2420">
        <v>12429967</v>
      </c>
      <c r="C2420" t="s">
        <v>260</v>
      </c>
      <c r="D2420">
        <v>21468</v>
      </c>
      <c r="E2420" t="s">
        <v>150</v>
      </c>
      <c r="F2420" t="s">
        <v>274</v>
      </c>
      <c r="G2420" s="28">
        <v>6</v>
      </c>
      <c r="H2420" s="32">
        <v>1.28</v>
      </c>
      <c r="I2420" s="32">
        <v>88.12</v>
      </c>
      <c r="J2420" t="s">
        <v>239</v>
      </c>
      <c r="K2420" t="s">
        <v>245</v>
      </c>
      <c r="L2420" t="s">
        <v>235</v>
      </c>
      <c r="M2420" t="s">
        <v>236</v>
      </c>
      <c r="N2420" t="s">
        <v>237</v>
      </c>
      <c r="O2420" s="27">
        <v>46055</v>
      </c>
    </row>
    <row r="2421" spans="2:15" hidden="1" x14ac:dyDescent="0.3">
      <c r="B2421">
        <v>3270381</v>
      </c>
      <c r="C2421" t="s">
        <v>260</v>
      </c>
      <c r="D2421">
        <v>21559</v>
      </c>
      <c r="E2421" t="s">
        <v>150</v>
      </c>
      <c r="F2421" t="s">
        <v>413</v>
      </c>
      <c r="G2421" s="28">
        <v>1</v>
      </c>
      <c r="H2421" s="32">
        <v>1.28</v>
      </c>
      <c r="I2421" s="32">
        <v>162</v>
      </c>
      <c r="J2421" t="s">
        <v>267</v>
      </c>
      <c r="K2421" t="s">
        <v>245</v>
      </c>
      <c r="L2421" t="s">
        <v>235</v>
      </c>
      <c r="M2421" t="s">
        <v>236</v>
      </c>
      <c r="N2421" t="s">
        <v>237</v>
      </c>
      <c r="O2421" s="27">
        <v>46057</v>
      </c>
    </row>
    <row r="2422" spans="2:15" hidden="1" x14ac:dyDescent="0.3">
      <c r="B2422">
        <v>2496015</v>
      </c>
      <c r="C2422" t="s">
        <v>231</v>
      </c>
      <c r="D2422">
        <v>38517</v>
      </c>
      <c r="E2422" t="s">
        <v>150</v>
      </c>
      <c r="F2422" t="s">
        <v>271</v>
      </c>
      <c r="G2422" s="28">
        <v>9</v>
      </c>
      <c r="H2422" s="32">
        <v>1.27</v>
      </c>
      <c r="I2422" s="32">
        <v>166.16</v>
      </c>
      <c r="J2422" t="s">
        <v>239</v>
      </c>
      <c r="K2422" t="s">
        <v>245</v>
      </c>
      <c r="L2422" t="s">
        <v>235</v>
      </c>
      <c r="M2422" t="s">
        <v>236</v>
      </c>
      <c r="N2422" t="s">
        <v>237</v>
      </c>
      <c r="O2422" s="27">
        <v>46063</v>
      </c>
    </row>
    <row r="2423" spans="2:15" hidden="1" x14ac:dyDescent="0.3">
      <c r="B2423">
        <v>14471054</v>
      </c>
      <c r="C2423" t="s">
        <v>260</v>
      </c>
      <c r="D2423">
        <v>72444</v>
      </c>
      <c r="E2423" t="s">
        <v>150</v>
      </c>
      <c r="F2423" t="s">
        <v>287</v>
      </c>
      <c r="G2423" s="28">
        <v>3</v>
      </c>
      <c r="H2423" s="32">
        <v>1.27</v>
      </c>
      <c r="I2423" s="32">
        <v>93.64</v>
      </c>
      <c r="J2423" t="s">
        <v>239</v>
      </c>
      <c r="K2423" t="s">
        <v>245</v>
      </c>
      <c r="L2423" t="s">
        <v>235</v>
      </c>
      <c r="M2423" t="s">
        <v>236</v>
      </c>
      <c r="N2423" t="s">
        <v>237</v>
      </c>
      <c r="O2423" s="27">
        <v>46055</v>
      </c>
    </row>
    <row r="2424" spans="2:15" hidden="1" x14ac:dyDescent="0.3">
      <c r="B2424">
        <v>3687422</v>
      </c>
      <c r="C2424" t="s">
        <v>260</v>
      </c>
      <c r="D2424">
        <v>68542</v>
      </c>
      <c r="E2424" t="s">
        <v>150</v>
      </c>
      <c r="F2424" t="s">
        <v>324</v>
      </c>
      <c r="G2424" s="28">
        <v>3</v>
      </c>
      <c r="H2424" s="32">
        <v>1.27</v>
      </c>
      <c r="I2424" s="32">
        <v>287.08999999999997</v>
      </c>
      <c r="J2424" t="s">
        <v>267</v>
      </c>
      <c r="K2424" t="s">
        <v>245</v>
      </c>
      <c r="L2424" t="s">
        <v>235</v>
      </c>
      <c r="M2424" t="s">
        <v>236</v>
      </c>
      <c r="N2424" t="s">
        <v>237</v>
      </c>
      <c r="O2424" s="27">
        <v>46057</v>
      </c>
    </row>
    <row r="2425" spans="2:15" hidden="1" x14ac:dyDescent="0.3">
      <c r="B2425">
        <v>8810663</v>
      </c>
      <c r="C2425" t="s">
        <v>231</v>
      </c>
      <c r="D2425">
        <v>72444</v>
      </c>
      <c r="E2425" t="s">
        <v>150</v>
      </c>
      <c r="F2425" t="s">
        <v>274</v>
      </c>
      <c r="G2425" s="28">
        <v>11</v>
      </c>
      <c r="H2425" s="32">
        <v>1.26</v>
      </c>
      <c r="I2425" s="32">
        <v>161.44999999999999</v>
      </c>
      <c r="J2425" t="s">
        <v>239</v>
      </c>
      <c r="K2425" t="s">
        <v>245</v>
      </c>
      <c r="L2425" t="s">
        <v>235</v>
      </c>
      <c r="M2425" t="s">
        <v>236</v>
      </c>
      <c r="N2425" t="s">
        <v>240</v>
      </c>
      <c r="O2425" s="27">
        <v>46055</v>
      </c>
    </row>
    <row r="2426" spans="2:15" hidden="1" x14ac:dyDescent="0.3">
      <c r="B2426">
        <v>3413995</v>
      </c>
      <c r="C2426" t="s">
        <v>231</v>
      </c>
      <c r="D2426">
        <v>22674</v>
      </c>
      <c r="E2426" t="s">
        <v>150</v>
      </c>
      <c r="F2426" t="s">
        <v>164</v>
      </c>
      <c r="G2426" s="28">
        <v>2</v>
      </c>
      <c r="H2426" s="32">
        <v>1.26</v>
      </c>
      <c r="I2426" s="32">
        <v>91.66</v>
      </c>
      <c r="J2426" t="s">
        <v>239</v>
      </c>
      <c r="K2426" t="s">
        <v>245</v>
      </c>
      <c r="L2426" t="s">
        <v>235</v>
      </c>
      <c r="M2426" t="s">
        <v>236</v>
      </c>
      <c r="N2426" t="s">
        <v>240</v>
      </c>
      <c r="O2426" s="27">
        <v>46055</v>
      </c>
    </row>
    <row r="2427" spans="2:15" hidden="1" x14ac:dyDescent="0.3">
      <c r="B2427">
        <v>325473</v>
      </c>
      <c r="C2427" t="s">
        <v>231</v>
      </c>
      <c r="D2427">
        <v>22674</v>
      </c>
      <c r="E2427" t="s">
        <v>150</v>
      </c>
      <c r="F2427" t="s">
        <v>413</v>
      </c>
      <c r="G2427" s="28">
        <v>2</v>
      </c>
      <c r="H2427" s="32">
        <v>1.26</v>
      </c>
      <c r="I2427" s="32">
        <v>321.7</v>
      </c>
      <c r="J2427" t="s">
        <v>267</v>
      </c>
      <c r="K2427" t="s">
        <v>245</v>
      </c>
      <c r="L2427" t="s">
        <v>235</v>
      </c>
      <c r="M2427" t="s">
        <v>236</v>
      </c>
      <c r="N2427" t="s">
        <v>240</v>
      </c>
      <c r="O2427" s="27">
        <v>46056</v>
      </c>
    </row>
    <row r="2428" spans="2:15" x14ac:dyDescent="0.3">
      <c r="B2428">
        <v>3105908</v>
      </c>
      <c r="C2428" t="s">
        <v>231</v>
      </c>
      <c r="D2428">
        <v>22103</v>
      </c>
      <c r="E2428" t="s">
        <v>150</v>
      </c>
      <c r="F2428" t="s">
        <v>337</v>
      </c>
      <c r="G2428" s="28">
        <v>4</v>
      </c>
      <c r="H2428" s="32">
        <v>1.26</v>
      </c>
      <c r="I2428" s="32">
        <v>145.30000000000001</v>
      </c>
      <c r="J2428" t="s">
        <v>239</v>
      </c>
      <c r="K2428" t="s">
        <v>245</v>
      </c>
      <c r="L2428" t="s">
        <v>235</v>
      </c>
      <c r="M2428" t="s">
        <v>236</v>
      </c>
      <c r="N2428" t="s">
        <v>237</v>
      </c>
      <c r="O2428" s="27">
        <v>46063</v>
      </c>
    </row>
    <row r="2429" spans="2:15" hidden="1" x14ac:dyDescent="0.3">
      <c r="B2429">
        <v>3593981</v>
      </c>
      <c r="C2429" t="s">
        <v>260</v>
      </c>
      <c r="D2429">
        <v>23648</v>
      </c>
      <c r="E2429" t="s">
        <v>150</v>
      </c>
      <c r="F2429" t="s">
        <v>369</v>
      </c>
      <c r="G2429" s="28">
        <v>2</v>
      </c>
      <c r="H2429" s="32">
        <v>1.26</v>
      </c>
      <c r="I2429" s="32">
        <v>110.21</v>
      </c>
      <c r="J2429" t="s">
        <v>239</v>
      </c>
      <c r="K2429" t="s">
        <v>245</v>
      </c>
      <c r="L2429" t="s">
        <v>235</v>
      </c>
      <c r="M2429" t="s">
        <v>236</v>
      </c>
      <c r="N2429" t="s">
        <v>240</v>
      </c>
      <c r="O2429" s="27">
        <v>46063</v>
      </c>
    </row>
    <row r="2430" spans="2:15" hidden="1" x14ac:dyDescent="0.3">
      <c r="B2430">
        <v>4842372</v>
      </c>
      <c r="C2430" t="s">
        <v>260</v>
      </c>
      <c r="D2430">
        <v>23648</v>
      </c>
      <c r="E2430" t="s">
        <v>150</v>
      </c>
      <c r="F2430" t="s">
        <v>164</v>
      </c>
      <c r="G2430" s="28">
        <v>2</v>
      </c>
      <c r="H2430" s="32">
        <v>1.26</v>
      </c>
      <c r="I2430" s="32">
        <v>91.66</v>
      </c>
      <c r="J2430" t="s">
        <v>239</v>
      </c>
      <c r="K2430" t="s">
        <v>245</v>
      </c>
      <c r="L2430" t="s">
        <v>235</v>
      </c>
      <c r="M2430" t="s">
        <v>236</v>
      </c>
      <c r="N2430" t="s">
        <v>240</v>
      </c>
      <c r="O2430" s="27">
        <v>46055</v>
      </c>
    </row>
    <row r="2431" spans="2:15" hidden="1" x14ac:dyDescent="0.3">
      <c r="B2431">
        <v>15389148</v>
      </c>
      <c r="C2431" t="s">
        <v>260</v>
      </c>
      <c r="D2431">
        <v>40901</v>
      </c>
      <c r="E2431" t="s">
        <v>150</v>
      </c>
      <c r="F2431" t="s">
        <v>246</v>
      </c>
      <c r="G2431" s="28">
        <v>2</v>
      </c>
      <c r="H2431" s="32">
        <v>1.26</v>
      </c>
      <c r="I2431" s="32">
        <v>73.88</v>
      </c>
      <c r="J2431" t="s">
        <v>239</v>
      </c>
      <c r="K2431" t="s">
        <v>245</v>
      </c>
      <c r="L2431" t="s">
        <v>235</v>
      </c>
      <c r="M2431" t="s">
        <v>236</v>
      </c>
      <c r="N2431" t="s">
        <v>240</v>
      </c>
      <c r="O2431" s="27">
        <v>46055</v>
      </c>
    </row>
    <row r="2432" spans="2:15" hidden="1" x14ac:dyDescent="0.3">
      <c r="B2432">
        <v>3593981</v>
      </c>
      <c r="C2432" t="s">
        <v>260</v>
      </c>
      <c r="D2432">
        <v>23648</v>
      </c>
      <c r="E2432" t="s">
        <v>150</v>
      </c>
      <c r="F2432" t="s">
        <v>246</v>
      </c>
      <c r="G2432" s="28">
        <v>2</v>
      </c>
      <c r="H2432" s="32">
        <v>1.26</v>
      </c>
      <c r="I2432" s="32">
        <v>74.290000000000006</v>
      </c>
      <c r="J2432" t="s">
        <v>239</v>
      </c>
      <c r="K2432" t="s">
        <v>245</v>
      </c>
      <c r="L2432" t="s">
        <v>235</v>
      </c>
      <c r="M2432" t="s">
        <v>236</v>
      </c>
      <c r="N2432" t="s">
        <v>237</v>
      </c>
      <c r="O2432" s="27">
        <v>46063</v>
      </c>
    </row>
    <row r="2433" spans="2:15" hidden="1" x14ac:dyDescent="0.3">
      <c r="B2433">
        <v>9303108</v>
      </c>
      <c r="C2433" t="s">
        <v>260</v>
      </c>
      <c r="D2433">
        <v>69493</v>
      </c>
      <c r="E2433" t="s">
        <v>150</v>
      </c>
      <c r="F2433" t="s">
        <v>339</v>
      </c>
      <c r="G2433" s="28">
        <v>3</v>
      </c>
      <c r="H2433" s="32">
        <v>1.26</v>
      </c>
      <c r="I2433" s="32">
        <v>233.1</v>
      </c>
      <c r="J2433" t="s">
        <v>267</v>
      </c>
      <c r="K2433" t="s">
        <v>245</v>
      </c>
      <c r="L2433" t="s">
        <v>235</v>
      </c>
      <c r="M2433" t="s">
        <v>236</v>
      </c>
      <c r="N2433" t="s">
        <v>237</v>
      </c>
      <c r="O2433" s="27">
        <v>46057</v>
      </c>
    </row>
    <row r="2434" spans="2:15" hidden="1" x14ac:dyDescent="0.3">
      <c r="B2434">
        <v>325473</v>
      </c>
      <c r="C2434" t="s">
        <v>231</v>
      </c>
      <c r="D2434">
        <v>22674</v>
      </c>
      <c r="E2434" t="s">
        <v>150</v>
      </c>
      <c r="F2434" t="s">
        <v>328</v>
      </c>
      <c r="G2434" s="28">
        <v>4</v>
      </c>
      <c r="H2434" s="32">
        <v>1.25</v>
      </c>
      <c r="I2434" s="32">
        <v>277.08</v>
      </c>
      <c r="J2434" t="s">
        <v>267</v>
      </c>
      <c r="K2434" t="s">
        <v>245</v>
      </c>
      <c r="L2434" t="s">
        <v>235</v>
      </c>
      <c r="M2434" t="s">
        <v>236</v>
      </c>
      <c r="N2434" t="s">
        <v>237</v>
      </c>
      <c r="O2434" s="27">
        <v>46056</v>
      </c>
    </row>
    <row r="2435" spans="2:15" hidden="1" x14ac:dyDescent="0.3">
      <c r="B2435">
        <v>15389148</v>
      </c>
      <c r="C2435" t="s">
        <v>260</v>
      </c>
      <c r="D2435">
        <v>40901</v>
      </c>
      <c r="E2435" t="s">
        <v>150</v>
      </c>
      <c r="F2435" t="s">
        <v>274</v>
      </c>
      <c r="G2435" s="28">
        <v>5</v>
      </c>
      <c r="H2435" s="32">
        <v>1.25</v>
      </c>
      <c r="I2435" s="32">
        <v>73.430000000000007</v>
      </c>
      <c r="J2435" t="s">
        <v>239</v>
      </c>
      <c r="K2435" t="s">
        <v>245</v>
      </c>
      <c r="L2435" t="s">
        <v>235</v>
      </c>
      <c r="M2435" t="s">
        <v>236</v>
      </c>
      <c r="N2435" t="s">
        <v>237</v>
      </c>
      <c r="O2435" s="27">
        <v>46055</v>
      </c>
    </row>
    <row r="2436" spans="2:15" hidden="1" x14ac:dyDescent="0.3">
      <c r="B2436">
        <v>3593981</v>
      </c>
      <c r="C2436" t="s">
        <v>260</v>
      </c>
      <c r="D2436">
        <v>23648</v>
      </c>
      <c r="E2436" t="s">
        <v>150</v>
      </c>
      <c r="F2436" t="s">
        <v>400</v>
      </c>
      <c r="G2436" s="28">
        <v>5</v>
      </c>
      <c r="H2436" s="32">
        <v>1.25</v>
      </c>
      <c r="I2436" s="32">
        <v>46.73</v>
      </c>
      <c r="J2436" t="s">
        <v>267</v>
      </c>
      <c r="K2436" t="s">
        <v>245</v>
      </c>
      <c r="L2436" t="s">
        <v>235</v>
      </c>
      <c r="M2436" t="s">
        <v>236</v>
      </c>
      <c r="N2436" t="s">
        <v>240</v>
      </c>
      <c r="O2436" s="27">
        <v>46057</v>
      </c>
    </row>
    <row r="2437" spans="2:15" hidden="1" x14ac:dyDescent="0.3">
      <c r="B2437">
        <v>3593981</v>
      </c>
      <c r="C2437" t="s">
        <v>260</v>
      </c>
      <c r="D2437">
        <v>23648</v>
      </c>
      <c r="E2437" t="s">
        <v>150</v>
      </c>
      <c r="F2437" t="s">
        <v>323</v>
      </c>
      <c r="G2437" s="28">
        <v>7</v>
      </c>
      <c r="H2437" s="32">
        <v>1.25</v>
      </c>
      <c r="I2437" s="32">
        <v>47.99</v>
      </c>
      <c r="J2437" t="s">
        <v>267</v>
      </c>
      <c r="K2437" t="s">
        <v>245</v>
      </c>
      <c r="L2437" t="s">
        <v>235</v>
      </c>
      <c r="M2437" t="s">
        <v>236</v>
      </c>
      <c r="N2437" t="s">
        <v>240</v>
      </c>
      <c r="O2437" s="27">
        <v>46057</v>
      </c>
    </row>
    <row r="2438" spans="2:15" hidden="1" x14ac:dyDescent="0.3">
      <c r="B2438">
        <v>14471054</v>
      </c>
      <c r="C2438" t="s">
        <v>260</v>
      </c>
      <c r="D2438">
        <v>72444</v>
      </c>
      <c r="E2438" t="s">
        <v>150</v>
      </c>
      <c r="F2438" t="s">
        <v>164</v>
      </c>
      <c r="G2438" s="28">
        <v>2</v>
      </c>
      <c r="H2438" s="32">
        <v>1.25</v>
      </c>
      <c r="I2438" s="32">
        <v>91.66</v>
      </c>
      <c r="J2438" t="s">
        <v>239</v>
      </c>
      <c r="K2438" t="s">
        <v>245</v>
      </c>
      <c r="L2438" t="s">
        <v>235</v>
      </c>
      <c r="M2438" t="s">
        <v>236</v>
      </c>
      <c r="N2438" t="s">
        <v>240</v>
      </c>
      <c r="O2438" s="27">
        <v>46055</v>
      </c>
    </row>
    <row r="2439" spans="2:15" hidden="1" x14ac:dyDescent="0.3">
      <c r="B2439">
        <v>3436001</v>
      </c>
      <c r="C2439" t="s">
        <v>260</v>
      </c>
      <c r="D2439">
        <v>21468</v>
      </c>
      <c r="E2439" t="s">
        <v>150</v>
      </c>
      <c r="F2439" t="s">
        <v>164</v>
      </c>
      <c r="G2439" s="28">
        <v>3</v>
      </c>
      <c r="H2439" s="32">
        <v>1.25</v>
      </c>
      <c r="I2439" s="32">
        <v>137.49</v>
      </c>
      <c r="J2439" t="s">
        <v>239</v>
      </c>
      <c r="K2439" t="s">
        <v>245</v>
      </c>
      <c r="L2439" t="s">
        <v>235</v>
      </c>
      <c r="M2439" t="s">
        <v>236</v>
      </c>
      <c r="N2439" t="s">
        <v>240</v>
      </c>
      <c r="O2439" s="27">
        <v>46055</v>
      </c>
    </row>
    <row r="2440" spans="2:15" hidden="1" x14ac:dyDescent="0.3">
      <c r="B2440">
        <v>4358018</v>
      </c>
      <c r="C2440" t="s">
        <v>231</v>
      </c>
      <c r="D2440">
        <v>23410</v>
      </c>
      <c r="E2440" t="s">
        <v>150</v>
      </c>
      <c r="F2440" t="s">
        <v>164</v>
      </c>
      <c r="G2440" s="28">
        <v>2</v>
      </c>
      <c r="H2440" s="32">
        <v>1.24</v>
      </c>
      <c r="I2440" s="32">
        <v>97.22</v>
      </c>
      <c r="J2440" t="s">
        <v>239</v>
      </c>
      <c r="K2440" t="s">
        <v>245</v>
      </c>
      <c r="L2440" t="s">
        <v>235</v>
      </c>
      <c r="M2440" t="s">
        <v>236</v>
      </c>
      <c r="N2440" t="s">
        <v>240</v>
      </c>
      <c r="O2440" s="27">
        <v>46063</v>
      </c>
    </row>
    <row r="2441" spans="2:15" hidden="1" x14ac:dyDescent="0.3">
      <c r="B2441">
        <v>2410665</v>
      </c>
      <c r="C2441" t="s">
        <v>231</v>
      </c>
      <c r="D2441">
        <v>21559</v>
      </c>
      <c r="E2441" t="s">
        <v>150</v>
      </c>
      <c r="F2441" t="s">
        <v>160</v>
      </c>
      <c r="G2441" s="28">
        <v>4</v>
      </c>
      <c r="H2441" s="32">
        <v>1.24</v>
      </c>
      <c r="I2441" s="32">
        <v>348.48</v>
      </c>
      <c r="J2441" t="s">
        <v>239</v>
      </c>
      <c r="K2441" t="s">
        <v>245</v>
      </c>
      <c r="L2441" t="s">
        <v>235</v>
      </c>
      <c r="M2441" t="s">
        <v>236</v>
      </c>
      <c r="N2441" t="s">
        <v>237</v>
      </c>
      <c r="O2441" s="27">
        <v>46063</v>
      </c>
    </row>
    <row r="2442" spans="2:15" hidden="1" x14ac:dyDescent="0.3">
      <c r="B2442">
        <v>5555592</v>
      </c>
      <c r="C2442" t="s">
        <v>231</v>
      </c>
      <c r="D2442">
        <v>38517</v>
      </c>
      <c r="E2442" t="s">
        <v>150</v>
      </c>
      <c r="F2442" t="s">
        <v>287</v>
      </c>
      <c r="G2442" s="28">
        <v>4</v>
      </c>
      <c r="H2442" s="32">
        <v>1.23</v>
      </c>
      <c r="I2442" s="32">
        <v>124.85</v>
      </c>
      <c r="J2442" t="s">
        <v>239</v>
      </c>
      <c r="K2442" t="s">
        <v>245</v>
      </c>
      <c r="L2442" t="s">
        <v>235</v>
      </c>
      <c r="M2442" t="s">
        <v>236</v>
      </c>
      <c r="N2442" t="s">
        <v>237</v>
      </c>
      <c r="O2442" s="27">
        <v>46055</v>
      </c>
    </row>
    <row r="2443" spans="2:15" hidden="1" x14ac:dyDescent="0.3">
      <c r="B2443">
        <v>15947590</v>
      </c>
      <c r="C2443" t="s">
        <v>231</v>
      </c>
      <c r="D2443">
        <v>69519</v>
      </c>
      <c r="E2443" t="s">
        <v>150</v>
      </c>
      <c r="F2443" t="s">
        <v>271</v>
      </c>
      <c r="G2443" s="28">
        <v>7</v>
      </c>
      <c r="H2443" s="32">
        <v>1.23</v>
      </c>
      <c r="I2443" s="32">
        <v>129.24</v>
      </c>
      <c r="J2443" t="s">
        <v>239</v>
      </c>
      <c r="K2443" t="s">
        <v>245</v>
      </c>
      <c r="L2443" t="s">
        <v>235</v>
      </c>
      <c r="M2443" t="s">
        <v>236</v>
      </c>
      <c r="N2443" t="s">
        <v>237</v>
      </c>
      <c r="O2443" s="27">
        <v>46063</v>
      </c>
    </row>
    <row r="2444" spans="2:15" hidden="1" x14ac:dyDescent="0.3">
      <c r="B2444">
        <v>5664804</v>
      </c>
      <c r="C2444" t="s">
        <v>231</v>
      </c>
      <c r="D2444">
        <v>69493</v>
      </c>
      <c r="E2444" t="s">
        <v>150</v>
      </c>
      <c r="F2444" t="s">
        <v>271</v>
      </c>
      <c r="G2444" s="28">
        <v>7</v>
      </c>
      <c r="H2444" s="32">
        <v>1.23</v>
      </c>
      <c r="I2444" s="32">
        <v>123.59</v>
      </c>
      <c r="J2444" t="s">
        <v>239</v>
      </c>
      <c r="K2444" t="s">
        <v>245</v>
      </c>
      <c r="L2444" t="s">
        <v>235</v>
      </c>
      <c r="M2444" t="s">
        <v>236</v>
      </c>
      <c r="N2444" t="s">
        <v>237</v>
      </c>
      <c r="O2444" s="27">
        <v>46055</v>
      </c>
    </row>
    <row r="2445" spans="2:15" hidden="1" x14ac:dyDescent="0.3">
      <c r="B2445">
        <v>18533421</v>
      </c>
      <c r="C2445" t="s">
        <v>231</v>
      </c>
      <c r="D2445">
        <v>40901</v>
      </c>
      <c r="E2445" t="s">
        <v>150</v>
      </c>
      <c r="F2445" t="s">
        <v>164</v>
      </c>
      <c r="G2445" s="28">
        <v>2</v>
      </c>
      <c r="H2445" s="32">
        <v>1.23</v>
      </c>
      <c r="I2445" s="32">
        <v>91.66</v>
      </c>
      <c r="J2445" t="s">
        <v>239</v>
      </c>
      <c r="K2445" t="s">
        <v>245</v>
      </c>
      <c r="L2445" t="s">
        <v>235</v>
      </c>
      <c r="M2445" t="s">
        <v>236</v>
      </c>
      <c r="N2445" t="s">
        <v>240</v>
      </c>
      <c r="O2445" s="27">
        <v>46055</v>
      </c>
    </row>
    <row r="2446" spans="2:15" hidden="1" x14ac:dyDescent="0.3">
      <c r="B2446">
        <v>3255792</v>
      </c>
      <c r="C2446" t="s">
        <v>231</v>
      </c>
      <c r="D2446">
        <v>71881</v>
      </c>
      <c r="E2446" t="s">
        <v>150</v>
      </c>
      <c r="F2446" t="s">
        <v>164</v>
      </c>
      <c r="G2446" s="28">
        <v>2</v>
      </c>
      <c r="H2446" s="32">
        <v>1.23</v>
      </c>
      <c r="I2446" s="32">
        <v>91.66</v>
      </c>
      <c r="J2446" t="s">
        <v>239</v>
      </c>
      <c r="K2446" t="s">
        <v>245</v>
      </c>
      <c r="L2446" t="s">
        <v>235</v>
      </c>
      <c r="M2446" t="s">
        <v>236</v>
      </c>
      <c r="N2446" t="s">
        <v>240</v>
      </c>
      <c r="O2446" s="27">
        <v>46055</v>
      </c>
    </row>
    <row r="2447" spans="2:15" hidden="1" x14ac:dyDescent="0.3">
      <c r="B2447">
        <v>4868551</v>
      </c>
      <c r="C2447" t="s">
        <v>231</v>
      </c>
      <c r="D2447">
        <v>22674</v>
      </c>
      <c r="E2447" t="s">
        <v>150</v>
      </c>
      <c r="F2447" t="s">
        <v>337</v>
      </c>
      <c r="G2447" s="28">
        <v>3</v>
      </c>
      <c r="H2447" s="32">
        <v>1.23</v>
      </c>
      <c r="I2447" s="32">
        <v>109.03</v>
      </c>
      <c r="J2447" t="s">
        <v>239</v>
      </c>
      <c r="K2447" t="s">
        <v>245</v>
      </c>
      <c r="L2447" t="s">
        <v>235</v>
      </c>
      <c r="M2447" t="s">
        <v>236</v>
      </c>
      <c r="N2447" t="s">
        <v>237</v>
      </c>
      <c r="O2447" s="27">
        <v>46063</v>
      </c>
    </row>
    <row r="2448" spans="2:15" hidden="1" x14ac:dyDescent="0.3">
      <c r="B2448">
        <v>8218280</v>
      </c>
      <c r="C2448" t="s">
        <v>260</v>
      </c>
      <c r="D2448">
        <v>21559</v>
      </c>
      <c r="E2448" t="s">
        <v>150</v>
      </c>
      <c r="F2448" t="s">
        <v>266</v>
      </c>
      <c r="G2448" s="28">
        <v>2</v>
      </c>
      <c r="H2448" s="32">
        <v>1.23</v>
      </c>
      <c r="I2448" s="32">
        <v>212.93</v>
      </c>
      <c r="J2448" t="s">
        <v>267</v>
      </c>
      <c r="K2448" t="s">
        <v>245</v>
      </c>
      <c r="L2448" t="s">
        <v>235</v>
      </c>
      <c r="M2448" t="s">
        <v>236</v>
      </c>
      <c r="N2448" t="s">
        <v>237</v>
      </c>
      <c r="O2448" s="27">
        <v>46062</v>
      </c>
    </row>
    <row r="2449" spans="2:15" hidden="1" x14ac:dyDescent="0.3">
      <c r="B2449">
        <v>6905571</v>
      </c>
      <c r="C2449" t="s">
        <v>260</v>
      </c>
      <c r="D2449">
        <v>38517</v>
      </c>
      <c r="E2449" t="s">
        <v>150</v>
      </c>
      <c r="F2449" t="s">
        <v>271</v>
      </c>
      <c r="G2449" s="28">
        <v>8</v>
      </c>
      <c r="H2449" s="32">
        <v>1.23</v>
      </c>
      <c r="I2449" s="32">
        <v>141.25</v>
      </c>
      <c r="J2449" t="s">
        <v>239</v>
      </c>
      <c r="K2449" t="s">
        <v>245</v>
      </c>
      <c r="L2449" t="s">
        <v>235</v>
      </c>
      <c r="M2449" t="s">
        <v>236</v>
      </c>
      <c r="N2449" t="s">
        <v>237</v>
      </c>
      <c r="O2449" s="27">
        <v>46055</v>
      </c>
    </row>
    <row r="2450" spans="2:15" hidden="1" x14ac:dyDescent="0.3">
      <c r="B2450">
        <v>5370675</v>
      </c>
      <c r="C2450" t="s">
        <v>260</v>
      </c>
      <c r="D2450">
        <v>71881</v>
      </c>
      <c r="E2450" t="s">
        <v>150</v>
      </c>
      <c r="F2450" t="s">
        <v>337</v>
      </c>
      <c r="G2450" s="28">
        <v>3</v>
      </c>
      <c r="H2450" s="32">
        <v>1.23</v>
      </c>
      <c r="I2450" s="32">
        <v>109.03</v>
      </c>
      <c r="J2450" t="s">
        <v>239</v>
      </c>
      <c r="K2450" t="s">
        <v>245</v>
      </c>
      <c r="L2450" t="s">
        <v>235</v>
      </c>
      <c r="M2450" t="s">
        <v>236</v>
      </c>
      <c r="N2450" t="s">
        <v>237</v>
      </c>
      <c r="O2450" s="27">
        <v>46063</v>
      </c>
    </row>
    <row r="2451" spans="2:15" hidden="1" x14ac:dyDescent="0.3">
      <c r="B2451">
        <v>3413995</v>
      </c>
      <c r="C2451" t="s">
        <v>231</v>
      </c>
      <c r="D2451">
        <v>22674</v>
      </c>
      <c r="E2451" t="s">
        <v>150</v>
      </c>
      <c r="F2451" t="s">
        <v>271</v>
      </c>
      <c r="G2451" s="28">
        <v>5</v>
      </c>
      <c r="H2451" s="32">
        <v>1.22</v>
      </c>
      <c r="I2451" s="32">
        <v>88.28</v>
      </c>
      <c r="J2451" t="s">
        <v>239</v>
      </c>
      <c r="K2451" t="s">
        <v>245</v>
      </c>
      <c r="L2451" t="s">
        <v>235</v>
      </c>
      <c r="M2451" t="s">
        <v>236</v>
      </c>
      <c r="N2451" t="s">
        <v>237</v>
      </c>
      <c r="O2451" s="27">
        <v>46055</v>
      </c>
    </row>
    <row r="2452" spans="2:15" hidden="1" x14ac:dyDescent="0.3">
      <c r="B2452">
        <v>18533421</v>
      </c>
      <c r="C2452" t="s">
        <v>231</v>
      </c>
      <c r="D2452">
        <v>40901</v>
      </c>
      <c r="E2452" t="s">
        <v>150</v>
      </c>
      <c r="F2452" t="s">
        <v>276</v>
      </c>
      <c r="G2452" s="28">
        <v>3</v>
      </c>
      <c r="H2452" s="32">
        <v>1.22</v>
      </c>
      <c r="I2452" s="32">
        <v>90.81</v>
      </c>
      <c r="J2452" t="s">
        <v>239</v>
      </c>
      <c r="K2452" t="s">
        <v>245</v>
      </c>
      <c r="L2452" t="s">
        <v>235</v>
      </c>
      <c r="M2452" t="s">
        <v>236</v>
      </c>
      <c r="N2452" t="s">
        <v>240</v>
      </c>
      <c r="O2452" s="27">
        <v>46055</v>
      </c>
    </row>
    <row r="2453" spans="2:15" hidden="1" x14ac:dyDescent="0.3">
      <c r="B2453">
        <v>4842372</v>
      </c>
      <c r="C2453" t="s">
        <v>260</v>
      </c>
      <c r="D2453">
        <v>23648</v>
      </c>
      <c r="E2453" t="s">
        <v>150</v>
      </c>
      <c r="F2453" t="s">
        <v>271</v>
      </c>
      <c r="G2453" s="28">
        <v>5</v>
      </c>
      <c r="H2453" s="32">
        <v>1.22</v>
      </c>
      <c r="I2453" s="32">
        <v>88.28</v>
      </c>
      <c r="J2453" t="s">
        <v>239</v>
      </c>
      <c r="K2453" t="s">
        <v>245</v>
      </c>
      <c r="L2453" t="s">
        <v>235</v>
      </c>
      <c r="M2453" t="s">
        <v>236</v>
      </c>
      <c r="N2453" t="s">
        <v>237</v>
      </c>
      <c r="O2453" s="27">
        <v>46055</v>
      </c>
    </row>
    <row r="2454" spans="2:15" hidden="1" x14ac:dyDescent="0.3">
      <c r="B2454">
        <v>5740954</v>
      </c>
      <c r="C2454" t="s">
        <v>260</v>
      </c>
      <c r="D2454">
        <v>23648</v>
      </c>
      <c r="E2454" t="s">
        <v>150</v>
      </c>
      <c r="F2454" t="s">
        <v>164</v>
      </c>
      <c r="G2454" s="28">
        <v>3</v>
      </c>
      <c r="H2454" s="32">
        <v>1.22</v>
      </c>
      <c r="I2454" s="32">
        <v>137.49</v>
      </c>
      <c r="J2454" t="s">
        <v>239</v>
      </c>
      <c r="K2454" t="s">
        <v>245</v>
      </c>
      <c r="L2454" t="s">
        <v>235</v>
      </c>
      <c r="M2454" t="s">
        <v>236</v>
      </c>
      <c r="N2454" t="s">
        <v>240</v>
      </c>
      <c r="O2454" s="27">
        <v>46055</v>
      </c>
    </row>
    <row r="2455" spans="2:15" hidden="1" x14ac:dyDescent="0.3">
      <c r="B2455">
        <v>325473</v>
      </c>
      <c r="C2455" t="s">
        <v>231</v>
      </c>
      <c r="D2455">
        <v>22674</v>
      </c>
      <c r="E2455" t="s">
        <v>150</v>
      </c>
      <c r="F2455" t="s">
        <v>324</v>
      </c>
      <c r="G2455" s="28">
        <v>3</v>
      </c>
      <c r="H2455" s="32">
        <v>1.21</v>
      </c>
      <c r="I2455" s="32">
        <v>285.7</v>
      </c>
      <c r="J2455" t="s">
        <v>267</v>
      </c>
      <c r="K2455" t="s">
        <v>245</v>
      </c>
      <c r="L2455" t="s">
        <v>235</v>
      </c>
      <c r="M2455" t="s">
        <v>236</v>
      </c>
      <c r="N2455" t="s">
        <v>240</v>
      </c>
      <c r="O2455" s="27">
        <v>46056</v>
      </c>
    </row>
    <row r="2456" spans="2:15" hidden="1" x14ac:dyDescent="0.3">
      <c r="B2456">
        <v>4072213</v>
      </c>
      <c r="C2456" t="s">
        <v>231</v>
      </c>
      <c r="D2456">
        <v>22674</v>
      </c>
      <c r="E2456" t="s">
        <v>150</v>
      </c>
      <c r="F2456" t="s">
        <v>337</v>
      </c>
      <c r="G2456" s="28">
        <v>3</v>
      </c>
      <c r="H2456" s="32">
        <v>1.21</v>
      </c>
      <c r="I2456" s="32">
        <v>109.02</v>
      </c>
      <c r="J2456" t="s">
        <v>239</v>
      </c>
      <c r="K2456" t="s">
        <v>245</v>
      </c>
      <c r="L2456" t="s">
        <v>235</v>
      </c>
      <c r="M2456" t="s">
        <v>236</v>
      </c>
      <c r="N2456" t="s">
        <v>237</v>
      </c>
      <c r="O2456" s="27">
        <v>46063</v>
      </c>
    </row>
    <row r="2457" spans="2:15" hidden="1" x14ac:dyDescent="0.3">
      <c r="B2457">
        <v>2590120</v>
      </c>
      <c r="C2457" t="s">
        <v>231</v>
      </c>
      <c r="D2457">
        <v>96553</v>
      </c>
      <c r="E2457" t="s">
        <v>150</v>
      </c>
      <c r="F2457" t="s">
        <v>274</v>
      </c>
      <c r="G2457" s="28">
        <v>6</v>
      </c>
      <c r="H2457" s="32">
        <v>1.2</v>
      </c>
      <c r="I2457" s="32">
        <v>88.12</v>
      </c>
      <c r="J2457" t="s">
        <v>239</v>
      </c>
      <c r="K2457" t="s">
        <v>245</v>
      </c>
      <c r="L2457" t="s">
        <v>235</v>
      </c>
      <c r="M2457" t="s">
        <v>236</v>
      </c>
      <c r="N2457" t="s">
        <v>237</v>
      </c>
      <c r="O2457" s="27">
        <v>46055</v>
      </c>
    </row>
    <row r="2458" spans="2:15" hidden="1" x14ac:dyDescent="0.3">
      <c r="B2458">
        <v>15255517</v>
      </c>
      <c r="C2458" t="s">
        <v>231</v>
      </c>
      <c r="D2458">
        <v>23648</v>
      </c>
      <c r="E2458" t="s">
        <v>150</v>
      </c>
      <c r="F2458" t="s">
        <v>164</v>
      </c>
      <c r="G2458" s="28">
        <v>4</v>
      </c>
      <c r="H2458" s="32">
        <v>1.2</v>
      </c>
      <c r="I2458" s="32">
        <v>183.32</v>
      </c>
      <c r="J2458" t="s">
        <v>239</v>
      </c>
      <c r="K2458" t="s">
        <v>245</v>
      </c>
      <c r="L2458" t="s">
        <v>235</v>
      </c>
      <c r="M2458" t="s">
        <v>236</v>
      </c>
      <c r="N2458" t="s">
        <v>240</v>
      </c>
      <c r="O2458" s="27">
        <v>46055</v>
      </c>
    </row>
    <row r="2459" spans="2:15" hidden="1" x14ac:dyDescent="0.3">
      <c r="B2459">
        <v>4927477</v>
      </c>
      <c r="C2459" t="s">
        <v>231</v>
      </c>
      <c r="D2459">
        <v>21468</v>
      </c>
      <c r="E2459" t="s">
        <v>150</v>
      </c>
      <c r="F2459" t="s">
        <v>163</v>
      </c>
      <c r="G2459" s="28">
        <v>5</v>
      </c>
      <c r="H2459" s="32">
        <v>1.19</v>
      </c>
      <c r="I2459" s="32">
        <v>65.87</v>
      </c>
      <c r="J2459" t="s">
        <v>239</v>
      </c>
      <c r="K2459" t="s">
        <v>245</v>
      </c>
      <c r="L2459" t="s">
        <v>235</v>
      </c>
      <c r="M2459" t="s">
        <v>236</v>
      </c>
      <c r="N2459" t="s">
        <v>237</v>
      </c>
      <c r="O2459" s="27">
        <v>46055</v>
      </c>
    </row>
    <row r="2460" spans="2:15" hidden="1" x14ac:dyDescent="0.3">
      <c r="B2460">
        <v>18533421</v>
      </c>
      <c r="C2460" t="s">
        <v>231</v>
      </c>
      <c r="D2460">
        <v>40901</v>
      </c>
      <c r="E2460" t="s">
        <v>150</v>
      </c>
      <c r="F2460" t="s">
        <v>274</v>
      </c>
      <c r="G2460" s="28">
        <v>6</v>
      </c>
      <c r="H2460" s="32">
        <v>1.19</v>
      </c>
      <c r="I2460" s="32">
        <v>88.12</v>
      </c>
      <c r="J2460" t="s">
        <v>239</v>
      </c>
      <c r="K2460" t="s">
        <v>245</v>
      </c>
      <c r="L2460" t="s">
        <v>235</v>
      </c>
      <c r="M2460" t="s">
        <v>236</v>
      </c>
      <c r="N2460" t="s">
        <v>237</v>
      </c>
      <c r="O2460" s="27">
        <v>46055</v>
      </c>
    </row>
    <row r="2461" spans="2:15" hidden="1" x14ac:dyDescent="0.3">
      <c r="B2461">
        <v>325473</v>
      </c>
      <c r="C2461" t="s">
        <v>231</v>
      </c>
      <c r="D2461">
        <v>22674</v>
      </c>
      <c r="E2461" t="s">
        <v>150</v>
      </c>
      <c r="F2461" t="s">
        <v>323</v>
      </c>
      <c r="G2461" s="28">
        <v>12</v>
      </c>
      <c r="H2461" s="32">
        <v>1.19</v>
      </c>
      <c r="I2461" s="32">
        <v>83.07</v>
      </c>
      <c r="J2461" t="s">
        <v>267</v>
      </c>
      <c r="K2461" t="s">
        <v>245</v>
      </c>
      <c r="L2461" t="s">
        <v>235</v>
      </c>
      <c r="M2461" t="s">
        <v>236</v>
      </c>
      <c r="N2461" t="s">
        <v>237</v>
      </c>
      <c r="O2461" s="27">
        <v>46056</v>
      </c>
    </row>
    <row r="2462" spans="2:15" hidden="1" x14ac:dyDescent="0.3">
      <c r="B2462">
        <v>9260624</v>
      </c>
      <c r="C2462" t="s">
        <v>231</v>
      </c>
      <c r="D2462">
        <v>24415</v>
      </c>
      <c r="E2462" t="s">
        <v>150</v>
      </c>
      <c r="F2462" t="s">
        <v>164</v>
      </c>
      <c r="G2462" s="28">
        <v>3</v>
      </c>
      <c r="H2462" s="32">
        <v>1.19</v>
      </c>
      <c r="I2462" s="32">
        <v>137.49</v>
      </c>
      <c r="J2462" t="s">
        <v>239</v>
      </c>
      <c r="K2462" t="s">
        <v>245</v>
      </c>
      <c r="L2462" t="s">
        <v>235</v>
      </c>
      <c r="M2462" t="s">
        <v>236</v>
      </c>
      <c r="N2462" t="s">
        <v>240</v>
      </c>
      <c r="O2462" s="27">
        <v>46055</v>
      </c>
    </row>
    <row r="2463" spans="2:15" hidden="1" x14ac:dyDescent="0.3">
      <c r="B2463">
        <v>310157</v>
      </c>
      <c r="C2463" t="s">
        <v>231</v>
      </c>
      <c r="D2463">
        <v>68542</v>
      </c>
      <c r="E2463" t="s">
        <v>150</v>
      </c>
      <c r="F2463" t="s">
        <v>417</v>
      </c>
      <c r="G2463" s="28">
        <v>11</v>
      </c>
      <c r="H2463" s="32">
        <v>1.19</v>
      </c>
      <c r="I2463" s="32">
        <v>1007.16</v>
      </c>
      <c r="J2463" t="s">
        <v>267</v>
      </c>
      <c r="K2463" t="s">
        <v>245</v>
      </c>
      <c r="L2463" t="s">
        <v>235</v>
      </c>
      <c r="M2463" t="s">
        <v>236</v>
      </c>
      <c r="N2463" t="s">
        <v>240</v>
      </c>
      <c r="O2463" s="27">
        <v>46057</v>
      </c>
    </row>
    <row r="2464" spans="2:15" hidden="1" x14ac:dyDescent="0.3">
      <c r="B2464">
        <v>2470712</v>
      </c>
      <c r="C2464" t="s">
        <v>260</v>
      </c>
      <c r="D2464">
        <v>72444</v>
      </c>
      <c r="E2464" t="s">
        <v>150</v>
      </c>
      <c r="F2464" t="s">
        <v>337</v>
      </c>
      <c r="G2464" s="28">
        <v>3</v>
      </c>
      <c r="H2464" s="32">
        <v>1.19</v>
      </c>
      <c r="I2464" s="32">
        <v>110.25</v>
      </c>
      <c r="J2464" t="s">
        <v>239</v>
      </c>
      <c r="K2464" t="s">
        <v>245</v>
      </c>
      <c r="L2464" t="s">
        <v>235</v>
      </c>
      <c r="M2464" t="s">
        <v>236</v>
      </c>
      <c r="N2464" t="s">
        <v>237</v>
      </c>
      <c r="O2464" s="27">
        <v>46055</v>
      </c>
    </row>
    <row r="2465" spans="2:15" hidden="1" x14ac:dyDescent="0.3">
      <c r="B2465">
        <v>3666312</v>
      </c>
      <c r="C2465" t="s">
        <v>231</v>
      </c>
      <c r="D2465">
        <v>21468</v>
      </c>
      <c r="E2465" t="s">
        <v>150</v>
      </c>
      <c r="F2465" t="s">
        <v>246</v>
      </c>
      <c r="G2465" s="28">
        <v>2</v>
      </c>
      <c r="H2465" s="32">
        <v>1.18</v>
      </c>
      <c r="I2465" s="32">
        <v>73.88</v>
      </c>
      <c r="J2465" t="s">
        <v>239</v>
      </c>
      <c r="K2465" t="s">
        <v>245</v>
      </c>
      <c r="L2465" t="s">
        <v>235</v>
      </c>
      <c r="M2465" t="s">
        <v>236</v>
      </c>
      <c r="N2465" t="s">
        <v>240</v>
      </c>
      <c r="O2465" s="27">
        <v>46055</v>
      </c>
    </row>
    <row r="2466" spans="2:15" hidden="1" x14ac:dyDescent="0.3">
      <c r="B2466">
        <v>3663401</v>
      </c>
      <c r="C2466" t="s">
        <v>231</v>
      </c>
      <c r="D2466">
        <v>21468</v>
      </c>
      <c r="E2466" t="s">
        <v>150</v>
      </c>
      <c r="F2466" t="s">
        <v>271</v>
      </c>
      <c r="G2466" s="28">
        <v>8</v>
      </c>
      <c r="H2466" s="32">
        <v>1.17</v>
      </c>
      <c r="I2466" s="32">
        <v>141.25</v>
      </c>
      <c r="J2466" t="s">
        <v>239</v>
      </c>
      <c r="K2466" t="s">
        <v>245</v>
      </c>
      <c r="L2466" t="s">
        <v>235</v>
      </c>
      <c r="M2466" t="s">
        <v>236</v>
      </c>
      <c r="N2466" t="s">
        <v>237</v>
      </c>
      <c r="O2466" s="27">
        <v>46055</v>
      </c>
    </row>
    <row r="2467" spans="2:15" hidden="1" x14ac:dyDescent="0.3">
      <c r="B2467">
        <v>3413995</v>
      </c>
      <c r="C2467" t="s">
        <v>231</v>
      </c>
      <c r="D2467">
        <v>22674</v>
      </c>
      <c r="E2467" t="s">
        <v>150</v>
      </c>
      <c r="F2467" t="s">
        <v>160</v>
      </c>
      <c r="G2467" s="28">
        <v>1</v>
      </c>
      <c r="H2467" s="32">
        <v>1.17</v>
      </c>
      <c r="I2467" s="32">
        <v>84.85</v>
      </c>
      <c r="J2467" t="s">
        <v>239</v>
      </c>
      <c r="K2467" t="s">
        <v>245</v>
      </c>
      <c r="L2467" t="s">
        <v>235</v>
      </c>
      <c r="M2467" t="s">
        <v>236</v>
      </c>
      <c r="N2467" t="s">
        <v>240</v>
      </c>
      <c r="O2467" s="27">
        <v>46055</v>
      </c>
    </row>
    <row r="2468" spans="2:15" hidden="1" x14ac:dyDescent="0.3">
      <c r="B2468">
        <v>4842372</v>
      </c>
      <c r="C2468" t="s">
        <v>260</v>
      </c>
      <c r="D2468">
        <v>23648</v>
      </c>
      <c r="E2468" t="s">
        <v>150</v>
      </c>
      <c r="F2468" t="s">
        <v>160</v>
      </c>
      <c r="G2468" s="28">
        <v>1</v>
      </c>
      <c r="H2468" s="32">
        <v>1.17</v>
      </c>
      <c r="I2468" s="32">
        <v>84.85</v>
      </c>
      <c r="J2468" t="s">
        <v>239</v>
      </c>
      <c r="K2468" t="s">
        <v>245</v>
      </c>
      <c r="L2468" t="s">
        <v>235</v>
      </c>
      <c r="M2468" t="s">
        <v>236</v>
      </c>
      <c r="N2468" t="s">
        <v>240</v>
      </c>
      <c r="O2468" s="27">
        <v>46055</v>
      </c>
    </row>
    <row r="2469" spans="2:15" x14ac:dyDescent="0.3">
      <c r="B2469">
        <v>17711901</v>
      </c>
      <c r="C2469" t="s">
        <v>260</v>
      </c>
      <c r="D2469">
        <v>22103</v>
      </c>
      <c r="E2469" t="s">
        <v>150</v>
      </c>
      <c r="F2469" t="s">
        <v>319</v>
      </c>
      <c r="G2469" s="28">
        <v>3</v>
      </c>
      <c r="H2469" s="32">
        <v>1.17</v>
      </c>
      <c r="I2469" s="32">
        <v>121.16</v>
      </c>
      <c r="J2469" t="s">
        <v>239</v>
      </c>
      <c r="K2469" t="s">
        <v>245</v>
      </c>
      <c r="L2469" t="s">
        <v>235</v>
      </c>
      <c r="M2469" t="s">
        <v>236</v>
      </c>
      <c r="N2469" t="s">
        <v>240</v>
      </c>
      <c r="O2469" s="27">
        <v>46063</v>
      </c>
    </row>
    <row r="2470" spans="2:15" hidden="1" x14ac:dyDescent="0.3">
      <c r="B2470">
        <v>7296870</v>
      </c>
      <c r="C2470" t="s">
        <v>231</v>
      </c>
      <c r="D2470">
        <v>96553</v>
      </c>
      <c r="E2470" t="s">
        <v>150</v>
      </c>
      <c r="F2470" t="s">
        <v>246</v>
      </c>
      <c r="G2470" s="28">
        <v>2</v>
      </c>
      <c r="H2470" s="32">
        <v>1.1499999999999999</v>
      </c>
      <c r="I2470" s="32">
        <v>73.88</v>
      </c>
      <c r="J2470" t="s">
        <v>239</v>
      </c>
      <c r="K2470" t="s">
        <v>245</v>
      </c>
      <c r="L2470" t="s">
        <v>235</v>
      </c>
      <c r="M2470" t="s">
        <v>236</v>
      </c>
      <c r="N2470" t="s">
        <v>240</v>
      </c>
      <c r="O2470" s="27">
        <v>46055</v>
      </c>
    </row>
    <row r="2471" spans="2:15" hidden="1" x14ac:dyDescent="0.3">
      <c r="B2471">
        <v>325473</v>
      </c>
      <c r="C2471" t="s">
        <v>231</v>
      </c>
      <c r="D2471">
        <v>22674</v>
      </c>
      <c r="E2471" t="s">
        <v>150</v>
      </c>
      <c r="F2471" t="s">
        <v>295</v>
      </c>
      <c r="G2471" s="28">
        <v>3</v>
      </c>
      <c r="H2471" s="32">
        <v>1.1499999999999999</v>
      </c>
      <c r="I2471" s="32">
        <v>289.38</v>
      </c>
      <c r="J2471" t="s">
        <v>267</v>
      </c>
      <c r="K2471" t="s">
        <v>245</v>
      </c>
      <c r="L2471" t="s">
        <v>235</v>
      </c>
      <c r="M2471" t="s">
        <v>236</v>
      </c>
      <c r="N2471" t="s">
        <v>240</v>
      </c>
      <c r="O2471" s="27">
        <v>46056</v>
      </c>
    </row>
    <row r="2472" spans="2:15" hidden="1" x14ac:dyDescent="0.3">
      <c r="B2472">
        <v>245239</v>
      </c>
      <c r="C2472" t="s">
        <v>231</v>
      </c>
      <c r="D2472">
        <v>21468</v>
      </c>
      <c r="E2472" t="s">
        <v>150</v>
      </c>
      <c r="F2472" t="s">
        <v>337</v>
      </c>
      <c r="G2472" s="28">
        <v>3</v>
      </c>
      <c r="H2472" s="32">
        <v>1.1499999999999999</v>
      </c>
      <c r="I2472" s="32">
        <v>110.25</v>
      </c>
      <c r="J2472" t="s">
        <v>239</v>
      </c>
      <c r="K2472" t="s">
        <v>245</v>
      </c>
      <c r="L2472" t="s">
        <v>235</v>
      </c>
      <c r="M2472" t="s">
        <v>236</v>
      </c>
      <c r="N2472" t="s">
        <v>237</v>
      </c>
      <c r="O2472" s="27">
        <v>46055</v>
      </c>
    </row>
    <row r="2473" spans="2:15" hidden="1" x14ac:dyDescent="0.3">
      <c r="B2473">
        <v>4089266</v>
      </c>
      <c r="C2473" t="s">
        <v>260</v>
      </c>
      <c r="D2473">
        <v>22674</v>
      </c>
      <c r="E2473" t="s">
        <v>150</v>
      </c>
      <c r="F2473" t="s">
        <v>337</v>
      </c>
      <c r="G2473" s="28">
        <v>3</v>
      </c>
      <c r="H2473" s="32">
        <v>1.1499999999999999</v>
      </c>
      <c r="I2473" s="32">
        <v>109.03</v>
      </c>
      <c r="J2473" t="s">
        <v>239</v>
      </c>
      <c r="K2473" t="s">
        <v>245</v>
      </c>
      <c r="L2473" t="s">
        <v>235</v>
      </c>
      <c r="M2473" t="s">
        <v>236</v>
      </c>
      <c r="N2473" t="s">
        <v>237</v>
      </c>
      <c r="O2473" s="27">
        <v>46063</v>
      </c>
    </row>
    <row r="2474" spans="2:15" hidden="1" x14ac:dyDescent="0.3">
      <c r="B2474">
        <v>14471054</v>
      </c>
      <c r="C2474" t="s">
        <v>260</v>
      </c>
      <c r="D2474">
        <v>72444</v>
      </c>
      <c r="E2474" t="s">
        <v>150</v>
      </c>
      <c r="F2474" t="s">
        <v>160</v>
      </c>
      <c r="G2474" s="28">
        <v>1</v>
      </c>
      <c r="H2474" s="32">
        <v>1.1499999999999999</v>
      </c>
      <c r="I2474" s="32">
        <v>84.85</v>
      </c>
      <c r="J2474" t="s">
        <v>239</v>
      </c>
      <c r="K2474" t="s">
        <v>245</v>
      </c>
      <c r="L2474" t="s">
        <v>235</v>
      </c>
      <c r="M2474" t="s">
        <v>236</v>
      </c>
      <c r="N2474" t="s">
        <v>240</v>
      </c>
      <c r="O2474" s="27">
        <v>46055</v>
      </c>
    </row>
    <row r="2475" spans="2:15" hidden="1" x14ac:dyDescent="0.3">
      <c r="B2475">
        <v>4658833</v>
      </c>
      <c r="C2475" t="s">
        <v>260</v>
      </c>
      <c r="D2475">
        <v>38517</v>
      </c>
      <c r="E2475" t="s">
        <v>150</v>
      </c>
      <c r="F2475" t="s">
        <v>160</v>
      </c>
      <c r="G2475" s="28">
        <v>2</v>
      </c>
      <c r="H2475" s="32">
        <v>1.1499999999999999</v>
      </c>
      <c r="I2475" s="32">
        <v>174.27</v>
      </c>
      <c r="J2475" t="s">
        <v>239</v>
      </c>
      <c r="K2475" t="s">
        <v>245</v>
      </c>
      <c r="L2475" t="s">
        <v>235</v>
      </c>
      <c r="M2475" t="s">
        <v>236</v>
      </c>
      <c r="N2475" t="s">
        <v>237</v>
      </c>
      <c r="O2475" s="27">
        <v>46063</v>
      </c>
    </row>
    <row r="2476" spans="2:15" hidden="1" x14ac:dyDescent="0.3">
      <c r="B2476">
        <v>7296870</v>
      </c>
      <c r="C2476" t="s">
        <v>231</v>
      </c>
      <c r="D2476">
        <v>96553</v>
      </c>
      <c r="E2476" t="s">
        <v>150</v>
      </c>
      <c r="F2476" t="s">
        <v>274</v>
      </c>
      <c r="G2476" s="28">
        <v>5</v>
      </c>
      <c r="H2476" s="32">
        <v>1.1399999999999999</v>
      </c>
      <c r="I2476" s="32">
        <v>73.430000000000007</v>
      </c>
      <c r="J2476" t="s">
        <v>239</v>
      </c>
      <c r="K2476" t="s">
        <v>245</v>
      </c>
      <c r="L2476" t="s">
        <v>235</v>
      </c>
      <c r="M2476" t="s">
        <v>236</v>
      </c>
      <c r="N2476" t="s">
        <v>237</v>
      </c>
      <c r="O2476" s="27">
        <v>46055</v>
      </c>
    </row>
    <row r="2477" spans="2:15" hidden="1" x14ac:dyDescent="0.3">
      <c r="B2477">
        <v>3322497</v>
      </c>
      <c r="C2477" t="s">
        <v>231</v>
      </c>
      <c r="D2477">
        <v>40901</v>
      </c>
      <c r="E2477" t="s">
        <v>150</v>
      </c>
      <c r="F2477" t="s">
        <v>324</v>
      </c>
      <c r="G2477" s="28">
        <v>2</v>
      </c>
      <c r="H2477" s="32">
        <v>1.1399999999999999</v>
      </c>
      <c r="I2477" s="32">
        <v>191.8</v>
      </c>
      <c r="J2477" t="s">
        <v>267</v>
      </c>
      <c r="K2477" t="s">
        <v>245</v>
      </c>
      <c r="L2477" t="s">
        <v>235</v>
      </c>
      <c r="M2477" t="s">
        <v>236</v>
      </c>
      <c r="N2477" t="s">
        <v>237</v>
      </c>
      <c r="O2477" s="27">
        <v>46055</v>
      </c>
    </row>
    <row r="2478" spans="2:15" hidden="1" x14ac:dyDescent="0.3">
      <c r="B2478">
        <v>325473</v>
      </c>
      <c r="C2478" t="s">
        <v>231</v>
      </c>
      <c r="D2478">
        <v>22674</v>
      </c>
      <c r="E2478" t="s">
        <v>150</v>
      </c>
      <c r="F2478" t="s">
        <v>315</v>
      </c>
      <c r="G2478" s="28">
        <v>3</v>
      </c>
      <c r="H2478" s="32">
        <v>1.1399999999999999</v>
      </c>
      <c r="I2478" s="32">
        <v>265.39999999999998</v>
      </c>
      <c r="J2478" t="s">
        <v>267</v>
      </c>
      <c r="K2478" t="s">
        <v>245</v>
      </c>
      <c r="L2478" t="s">
        <v>235</v>
      </c>
      <c r="M2478" t="s">
        <v>236</v>
      </c>
      <c r="N2478" t="s">
        <v>237</v>
      </c>
      <c r="O2478" s="27">
        <v>46056</v>
      </c>
    </row>
    <row r="2479" spans="2:15" hidden="1" x14ac:dyDescent="0.3">
      <c r="B2479">
        <v>4535206</v>
      </c>
      <c r="C2479" t="s">
        <v>231</v>
      </c>
      <c r="D2479">
        <v>68542</v>
      </c>
      <c r="E2479" t="s">
        <v>150</v>
      </c>
      <c r="F2479" t="s">
        <v>295</v>
      </c>
      <c r="G2479" s="28">
        <v>10</v>
      </c>
      <c r="H2479" s="32">
        <v>1.1399999999999999</v>
      </c>
      <c r="I2479" s="32">
        <v>970.64</v>
      </c>
      <c r="J2479" t="s">
        <v>267</v>
      </c>
      <c r="K2479" t="s">
        <v>245</v>
      </c>
      <c r="L2479" t="s">
        <v>235</v>
      </c>
      <c r="M2479" t="s">
        <v>236</v>
      </c>
      <c r="N2479" t="s">
        <v>237</v>
      </c>
      <c r="O2479" s="27">
        <v>46057</v>
      </c>
    </row>
    <row r="2480" spans="2:15" hidden="1" x14ac:dyDescent="0.3">
      <c r="B2480">
        <v>3255792</v>
      </c>
      <c r="C2480" t="s">
        <v>231</v>
      </c>
      <c r="D2480">
        <v>71881</v>
      </c>
      <c r="E2480" t="s">
        <v>150</v>
      </c>
      <c r="F2480" t="s">
        <v>160</v>
      </c>
      <c r="G2480" s="28">
        <v>1</v>
      </c>
      <c r="H2480" s="32">
        <v>1.1399999999999999</v>
      </c>
      <c r="I2480" s="32">
        <v>84.85</v>
      </c>
      <c r="J2480" t="s">
        <v>239</v>
      </c>
      <c r="K2480" t="s">
        <v>245</v>
      </c>
      <c r="L2480" t="s">
        <v>235</v>
      </c>
      <c r="M2480" t="s">
        <v>236</v>
      </c>
      <c r="N2480" t="s">
        <v>240</v>
      </c>
      <c r="O2480" s="27">
        <v>46055</v>
      </c>
    </row>
    <row r="2481" spans="2:15" hidden="1" x14ac:dyDescent="0.3">
      <c r="B2481">
        <v>11593572</v>
      </c>
      <c r="C2481" t="s">
        <v>231</v>
      </c>
      <c r="D2481">
        <v>22674</v>
      </c>
      <c r="E2481" t="s">
        <v>150</v>
      </c>
      <c r="F2481" t="s">
        <v>311</v>
      </c>
      <c r="G2481" s="28">
        <v>6</v>
      </c>
      <c r="H2481" s="32">
        <v>1.1399999999999999</v>
      </c>
      <c r="I2481" s="32">
        <v>605.79</v>
      </c>
      <c r="J2481" t="s">
        <v>267</v>
      </c>
      <c r="K2481" t="s">
        <v>245</v>
      </c>
      <c r="L2481" t="s">
        <v>235</v>
      </c>
      <c r="M2481" t="s">
        <v>236</v>
      </c>
      <c r="N2481" t="s">
        <v>237</v>
      </c>
      <c r="O2481" s="27">
        <v>46056</v>
      </c>
    </row>
    <row r="2482" spans="2:15" hidden="1" x14ac:dyDescent="0.3">
      <c r="B2482">
        <v>9796204</v>
      </c>
      <c r="C2482" t="s">
        <v>260</v>
      </c>
      <c r="D2482">
        <v>21468</v>
      </c>
      <c r="E2482" t="s">
        <v>150</v>
      </c>
      <c r="F2482" t="s">
        <v>161</v>
      </c>
      <c r="G2482" s="28">
        <v>2</v>
      </c>
      <c r="H2482" s="32">
        <v>1.1399999999999999</v>
      </c>
      <c r="I2482" s="32">
        <v>54.37</v>
      </c>
      <c r="J2482" t="s">
        <v>239</v>
      </c>
      <c r="K2482" t="s">
        <v>245</v>
      </c>
      <c r="L2482" t="s">
        <v>235</v>
      </c>
      <c r="M2482" t="s">
        <v>236</v>
      </c>
      <c r="N2482" t="s">
        <v>237</v>
      </c>
      <c r="O2482" s="27">
        <v>46072</v>
      </c>
    </row>
    <row r="2483" spans="2:15" hidden="1" x14ac:dyDescent="0.3">
      <c r="B2483">
        <v>3666312</v>
      </c>
      <c r="C2483" t="s">
        <v>231</v>
      </c>
      <c r="D2483">
        <v>21468</v>
      </c>
      <c r="E2483" t="s">
        <v>150</v>
      </c>
      <c r="F2483" t="s">
        <v>271</v>
      </c>
      <c r="G2483" s="28">
        <v>4</v>
      </c>
      <c r="H2483" s="32">
        <v>1.1299999999999999</v>
      </c>
      <c r="I2483" s="32">
        <v>70.62</v>
      </c>
      <c r="J2483" t="s">
        <v>239</v>
      </c>
      <c r="K2483" t="s">
        <v>245</v>
      </c>
      <c r="L2483" t="s">
        <v>235</v>
      </c>
      <c r="M2483" t="s">
        <v>236</v>
      </c>
      <c r="N2483" t="s">
        <v>237</v>
      </c>
      <c r="O2483" s="27">
        <v>46055</v>
      </c>
    </row>
    <row r="2484" spans="2:15" hidden="1" x14ac:dyDescent="0.3">
      <c r="B2484">
        <v>8581688</v>
      </c>
      <c r="C2484" t="s">
        <v>231</v>
      </c>
      <c r="D2484">
        <v>23648</v>
      </c>
      <c r="E2484" t="s">
        <v>150</v>
      </c>
      <c r="F2484" t="s">
        <v>271</v>
      </c>
      <c r="G2484" s="28">
        <v>4</v>
      </c>
      <c r="H2484" s="32">
        <v>1.1299999999999999</v>
      </c>
      <c r="I2484" s="32">
        <v>70.62</v>
      </c>
      <c r="J2484" t="s">
        <v>239</v>
      </c>
      <c r="K2484" t="s">
        <v>245</v>
      </c>
      <c r="L2484" t="s">
        <v>235</v>
      </c>
      <c r="M2484" t="s">
        <v>236</v>
      </c>
      <c r="N2484" t="s">
        <v>237</v>
      </c>
      <c r="O2484" s="27">
        <v>46055</v>
      </c>
    </row>
    <row r="2485" spans="2:15" hidden="1" x14ac:dyDescent="0.3">
      <c r="B2485">
        <v>440722</v>
      </c>
      <c r="C2485" t="s">
        <v>231</v>
      </c>
      <c r="D2485">
        <v>21468</v>
      </c>
      <c r="E2485" t="s">
        <v>150</v>
      </c>
      <c r="F2485" t="s">
        <v>274</v>
      </c>
      <c r="G2485" s="28">
        <v>11</v>
      </c>
      <c r="H2485" s="32">
        <v>1.1299999999999999</v>
      </c>
      <c r="I2485" s="32">
        <v>161.55000000000001</v>
      </c>
      <c r="J2485" t="s">
        <v>239</v>
      </c>
      <c r="K2485" t="s">
        <v>245</v>
      </c>
      <c r="L2485" t="s">
        <v>235</v>
      </c>
      <c r="M2485" t="s">
        <v>236</v>
      </c>
      <c r="N2485" t="s">
        <v>237</v>
      </c>
      <c r="O2485" s="27">
        <v>46055</v>
      </c>
    </row>
    <row r="2486" spans="2:15" hidden="1" x14ac:dyDescent="0.3">
      <c r="B2486">
        <v>3055824</v>
      </c>
      <c r="C2486" t="s">
        <v>231</v>
      </c>
      <c r="D2486">
        <v>96553</v>
      </c>
      <c r="E2486" t="s">
        <v>150</v>
      </c>
      <c r="F2486" t="s">
        <v>337</v>
      </c>
      <c r="G2486" s="28">
        <v>3</v>
      </c>
      <c r="H2486" s="32">
        <v>1.1299999999999999</v>
      </c>
      <c r="I2486" s="32">
        <v>109.02</v>
      </c>
      <c r="J2486" t="s">
        <v>239</v>
      </c>
      <c r="K2486" t="s">
        <v>245</v>
      </c>
      <c r="L2486" t="s">
        <v>235</v>
      </c>
      <c r="M2486" t="s">
        <v>236</v>
      </c>
      <c r="N2486" t="s">
        <v>237</v>
      </c>
      <c r="O2486" s="27">
        <v>46063</v>
      </c>
    </row>
    <row r="2487" spans="2:15" hidden="1" x14ac:dyDescent="0.3">
      <c r="B2487">
        <v>11593572</v>
      </c>
      <c r="C2487" t="s">
        <v>231</v>
      </c>
      <c r="D2487">
        <v>22674</v>
      </c>
      <c r="E2487" t="s">
        <v>150</v>
      </c>
      <c r="F2487" t="s">
        <v>419</v>
      </c>
      <c r="G2487" s="28">
        <v>31</v>
      </c>
      <c r="H2487" s="32">
        <v>1.1200000000000001</v>
      </c>
      <c r="I2487" s="32">
        <v>249.83</v>
      </c>
      <c r="J2487" t="s">
        <v>267</v>
      </c>
      <c r="K2487" t="s">
        <v>245</v>
      </c>
      <c r="L2487" t="s">
        <v>235</v>
      </c>
      <c r="M2487" t="s">
        <v>236</v>
      </c>
      <c r="N2487" t="s">
        <v>237</v>
      </c>
      <c r="O2487" s="27">
        <v>46056</v>
      </c>
    </row>
    <row r="2488" spans="2:15" hidden="1" x14ac:dyDescent="0.3">
      <c r="B2488">
        <v>11593572</v>
      </c>
      <c r="C2488" t="s">
        <v>231</v>
      </c>
      <c r="D2488">
        <v>22674</v>
      </c>
      <c r="E2488" t="s">
        <v>150</v>
      </c>
      <c r="F2488" t="s">
        <v>310</v>
      </c>
      <c r="G2488" s="28">
        <v>6</v>
      </c>
      <c r="H2488" s="32">
        <v>1.1100000000000001</v>
      </c>
      <c r="I2488" s="32">
        <v>593.45000000000005</v>
      </c>
      <c r="J2488" t="s">
        <v>267</v>
      </c>
      <c r="K2488" t="s">
        <v>245</v>
      </c>
      <c r="L2488" t="s">
        <v>235</v>
      </c>
      <c r="M2488" t="s">
        <v>236</v>
      </c>
      <c r="N2488" t="s">
        <v>240</v>
      </c>
      <c r="O2488" s="27">
        <v>46056</v>
      </c>
    </row>
    <row r="2489" spans="2:15" hidden="1" x14ac:dyDescent="0.3">
      <c r="B2489">
        <v>15255517</v>
      </c>
      <c r="C2489" t="s">
        <v>231</v>
      </c>
      <c r="D2489">
        <v>23648</v>
      </c>
      <c r="E2489" t="s">
        <v>150</v>
      </c>
      <c r="F2489" t="s">
        <v>160</v>
      </c>
      <c r="G2489" s="28">
        <v>2</v>
      </c>
      <c r="H2489" s="32">
        <v>1.1100000000000001</v>
      </c>
      <c r="I2489" s="32">
        <v>169.7</v>
      </c>
      <c r="J2489" t="s">
        <v>239</v>
      </c>
      <c r="K2489" t="s">
        <v>245</v>
      </c>
      <c r="L2489" t="s">
        <v>235</v>
      </c>
      <c r="M2489" t="s">
        <v>236</v>
      </c>
      <c r="N2489" t="s">
        <v>237</v>
      </c>
      <c r="O2489" s="27">
        <v>46055</v>
      </c>
    </row>
    <row r="2490" spans="2:15" hidden="1" x14ac:dyDescent="0.3">
      <c r="B2490">
        <v>3496979</v>
      </c>
      <c r="C2490" t="s">
        <v>231</v>
      </c>
      <c r="D2490">
        <v>21468</v>
      </c>
      <c r="E2490" t="s">
        <v>150</v>
      </c>
      <c r="F2490" t="s">
        <v>163</v>
      </c>
      <c r="G2490" s="28">
        <v>5</v>
      </c>
      <c r="H2490" s="32">
        <v>1.1000000000000001</v>
      </c>
      <c r="I2490" s="32">
        <v>65.87</v>
      </c>
      <c r="J2490" t="s">
        <v>239</v>
      </c>
      <c r="K2490" t="s">
        <v>245</v>
      </c>
      <c r="L2490" t="s">
        <v>235</v>
      </c>
      <c r="M2490" t="s">
        <v>236</v>
      </c>
      <c r="N2490" t="s">
        <v>237</v>
      </c>
      <c r="O2490" s="27">
        <v>46055</v>
      </c>
    </row>
    <row r="2491" spans="2:15" hidden="1" x14ac:dyDescent="0.3">
      <c r="B2491">
        <v>2411460</v>
      </c>
      <c r="C2491" t="s">
        <v>231</v>
      </c>
      <c r="D2491">
        <v>72444</v>
      </c>
      <c r="E2491" t="s">
        <v>150</v>
      </c>
      <c r="F2491" t="s">
        <v>271</v>
      </c>
      <c r="G2491" s="28">
        <v>8</v>
      </c>
      <c r="H2491" s="32">
        <v>1.1000000000000001</v>
      </c>
      <c r="I2491" s="32">
        <v>141.25</v>
      </c>
      <c r="J2491" t="s">
        <v>239</v>
      </c>
      <c r="K2491" t="s">
        <v>245</v>
      </c>
      <c r="L2491" t="s">
        <v>235</v>
      </c>
      <c r="M2491" t="s">
        <v>236</v>
      </c>
      <c r="N2491" t="s">
        <v>237</v>
      </c>
      <c r="O2491" s="27">
        <v>46055</v>
      </c>
    </row>
    <row r="2492" spans="2:15" hidden="1" x14ac:dyDescent="0.3">
      <c r="B2492">
        <v>4381878</v>
      </c>
      <c r="C2492" t="s">
        <v>231</v>
      </c>
      <c r="D2492">
        <v>74304</v>
      </c>
      <c r="E2492" t="s">
        <v>150</v>
      </c>
      <c r="F2492" t="s">
        <v>161</v>
      </c>
      <c r="G2492" s="28">
        <v>4</v>
      </c>
      <c r="H2492" s="32">
        <v>1.1000000000000001</v>
      </c>
      <c r="I2492" s="32">
        <v>108.74</v>
      </c>
      <c r="J2492" t="s">
        <v>239</v>
      </c>
      <c r="K2492" t="s">
        <v>245</v>
      </c>
      <c r="L2492" t="s">
        <v>235</v>
      </c>
      <c r="M2492" t="s">
        <v>236</v>
      </c>
      <c r="N2492" t="s">
        <v>237</v>
      </c>
      <c r="O2492" s="27">
        <v>46072</v>
      </c>
    </row>
    <row r="2493" spans="2:15" hidden="1" x14ac:dyDescent="0.3">
      <c r="B2493">
        <v>11593572</v>
      </c>
      <c r="C2493" t="s">
        <v>231</v>
      </c>
      <c r="D2493">
        <v>22674</v>
      </c>
      <c r="E2493" t="s">
        <v>150</v>
      </c>
      <c r="F2493" t="s">
        <v>304</v>
      </c>
      <c r="G2493" s="28">
        <v>6</v>
      </c>
      <c r="H2493" s="32">
        <v>1.1000000000000001</v>
      </c>
      <c r="I2493" s="32">
        <v>584.54999999999995</v>
      </c>
      <c r="J2493" t="s">
        <v>267</v>
      </c>
      <c r="K2493" t="s">
        <v>245</v>
      </c>
      <c r="L2493" t="s">
        <v>235</v>
      </c>
      <c r="M2493" t="s">
        <v>236</v>
      </c>
      <c r="N2493" t="s">
        <v>237</v>
      </c>
      <c r="O2493" s="27">
        <v>46056</v>
      </c>
    </row>
    <row r="2494" spans="2:15" hidden="1" x14ac:dyDescent="0.3">
      <c r="B2494">
        <v>5555592</v>
      </c>
      <c r="C2494" t="s">
        <v>231</v>
      </c>
      <c r="D2494">
        <v>38517</v>
      </c>
      <c r="E2494" t="s">
        <v>150</v>
      </c>
      <c r="F2494" t="s">
        <v>164</v>
      </c>
      <c r="G2494" s="28">
        <v>2</v>
      </c>
      <c r="H2494" s="32">
        <v>1.1000000000000001</v>
      </c>
      <c r="I2494" s="32">
        <v>97.22</v>
      </c>
      <c r="J2494" t="s">
        <v>239</v>
      </c>
      <c r="K2494" t="s">
        <v>245</v>
      </c>
      <c r="L2494" t="s">
        <v>235</v>
      </c>
      <c r="M2494" t="s">
        <v>236</v>
      </c>
      <c r="N2494" t="s">
        <v>240</v>
      </c>
      <c r="O2494" s="27">
        <v>46063</v>
      </c>
    </row>
    <row r="2495" spans="2:15" hidden="1" x14ac:dyDescent="0.3">
      <c r="B2495">
        <v>8841219</v>
      </c>
      <c r="C2495" t="s">
        <v>231</v>
      </c>
      <c r="D2495">
        <v>21468</v>
      </c>
      <c r="E2495" t="s">
        <v>150</v>
      </c>
      <c r="F2495" t="s">
        <v>319</v>
      </c>
      <c r="G2495" s="28">
        <v>2</v>
      </c>
      <c r="H2495" s="32">
        <v>1.1000000000000001</v>
      </c>
      <c r="I2495" s="32">
        <v>80.64</v>
      </c>
      <c r="J2495" t="s">
        <v>239</v>
      </c>
      <c r="K2495" t="s">
        <v>245</v>
      </c>
      <c r="L2495" t="s">
        <v>235</v>
      </c>
      <c r="M2495" t="s">
        <v>236</v>
      </c>
      <c r="N2495" t="s">
        <v>240</v>
      </c>
      <c r="O2495" s="27">
        <v>46063</v>
      </c>
    </row>
    <row r="2496" spans="2:15" hidden="1" x14ac:dyDescent="0.3">
      <c r="B2496">
        <v>18702217</v>
      </c>
      <c r="C2496" t="s">
        <v>260</v>
      </c>
      <c r="D2496">
        <v>74304</v>
      </c>
      <c r="E2496" t="s">
        <v>150</v>
      </c>
      <c r="F2496" t="s">
        <v>395</v>
      </c>
      <c r="G2496" s="28">
        <v>32</v>
      </c>
      <c r="H2496" s="32">
        <v>1.1000000000000001</v>
      </c>
      <c r="I2496" s="32">
        <v>208.64</v>
      </c>
      <c r="J2496" t="s">
        <v>330</v>
      </c>
      <c r="K2496" t="s">
        <v>234</v>
      </c>
      <c r="L2496" t="s">
        <v>235</v>
      </c>
      <c r="M2496" t="s">
        <v>236</v>
      </c>
      <c r="N2496" t="s">
        <v>237</v>
      </c>
      <c r="O2496" s="27">
        <v>46072</v>
      </c>
    </row>
    <row r="2497" spans="2:15" x14ac:dyDescent="0.3">
      <c r="B2497">
        <v>17711901</v>
      </c>
      <c r="C2497" t="s">
        <v>260</v>
      </c>
      <c r="D2497">
        <v>22103</v>
      </c>
      <c r="E2497" t="s">
        <v>150</v>
      </c>
      <c r="F2497" t="s">
        <v>337</v>
      </c>
      <c r="G2497" s="28">
        <v>3</v>
      </c>
      <c r="H2497" s="32">
        <v>1.1000000000000001</v>
      </c>
      <c r="I2497" s="32">
        <v>109.03</v>
      </c>
      <c r="J2497" t="s">
        <v>239</v>
      </c>
      <c r="K2497" t="s">
        <v>245</v>
      </c>
      <c r="L2497" t="s">
        <v>235</v>
      </c>
      <c r="M2497" t="s">
        <v>236</v>
      </c>
      <c r="N2497" t="s">
        <v>237</v>
      </c>
      <c r="O2497" s="27">
        <v>46063</v>
      </c>
    </row>
    <row r="2498" spans="2:15" hidden="1" x14ac:dyDescent="0.3">
      <c r="B2498">
        <v>3731792</v>
      </c>
      <c r="C2498" t="s">
        <v>260</v>
      </c>
      <c r="D2498">
        <v>69579</v>
      </c>
      <c r="E2498" t="s">
        <v>150</v>
      </c>
      <c r="F2498" t="s">
        <v>319</v>
      </c>
      <c r="G2498" s="28">
        <v>2</v>
      </c>
      <c r="H2498" s="32">
        <v>1.1000000000000001</v>
      </c>
      <c r="I2498" s="32">
        <v>80.7</v>
      </c>
      <c r="J2498" t="s">
        <v>239</v>
      </c>
      <c r="K2498" t="s">
        <v>245</v>
      </c>
      <c r="L2498" t="s">
        <v>235</v>
      </c>
      <c r="M2498" t="s">
        <v>236</v>
      </c>
      <c r="N2498" t="s">
        <v>240</v>
      </c>
      <c r="O2498" s="27">
        <v>46063</v>
      </c>
    </row>
    <row r="2499" spans="2:15" hidden="1" x14ac:dyDescent="0.3">
      <c r="B2499">
        <v>575946</v>
      </c>
      <c r="C2499" t="s">
        <v>231</v>
      </c>
      <c r="D2499">
        <v>25619</v>
      </c>
      <c r="E2499" t="s">
        <v>150</v>
      </c>
      <c r="F2499" t="s">
        <v>277</v>
      </c>
      <c r="G2499" s="28">
        <v>5</v>
      </c>
      <c r="H2499" s="32">
        <v>1.0900000000000001</v>
      </c>
      <c r="I2499" s="32">
        <v>181.42</v>
      </c>
      <c r="J2499" t="s">
        <v>239</v>
      </c>
      <c r="K2499" t="s">
        <v>245</v>
      </c>
      <c r="L2499" t="s">
        <v>235</v>
      </c>
      <c r="M2499" t="s">
        <v>236</v>
      </c>
      <c r="N2499" t="s">
        <v>237</v>
      </c>
      <c r="O2499" s="27">
        <v>46055</v>
      </c>
    </row>
    <row r="2500" spans="2:15" hidden="1" x14ac:dyDescent="0.3">
      <c r="B2500">
        <v>4358018</v>
      </c>
      <c r="C2500" t="s">
        <v>231</v>
      </c>
      <c r="D2500">
        <v>23410</v>
      </c>
      <c r="E2500" t="s">
        <v>150</v>
      </c>
      <c r="F2500" t="s">
        <v>337</v>
      </c>
      <c r="G2500" s="28">
        <v>2</v>
      </c>
      <c r="H2500" s="32">
        <v>1.0900000000000001</v>
      </c>
      <c r="I2500" s="32">
        <v>72.67</v>
      </c>
      <c r="J2500" t="s">
        <v>239</v>
      </c>
      <c r="K2500" t="s">
        <v>245</v>
      </c>
      <c r="L2500" t="s">
        <v>235</v>
      </c>
      <c r="M2500" t="s">
        <v>236</v>
      </c>
      <c r="N2500" t="s">
        <v>237</v>
      </c>
      <c r="O2500" s="27">
        <v>46063</v>
      </c>
    </row>
    <row r="2501" spans="2:15" hidden="1" x14ac:dyDescent="0.3">
      <c r="B2501">
        <v>2496015</v>
      </c>
      <c r="C2501" t="s">
        <v>231</v>
      </c>
      <c r="D2501">
        <v>38517</v>
      </c>
      <c r="E2501" t="s">
        <v>150</v>
      </c>
      <c r="F2501" t="s">
        <v>319</v>
      </c>
      <c r="G2501" s="28">
        <v>7</v>
      </c>
      <c r="H2501" s="32">
        <v>1.0900000000000001</v>
      </c>
      <c r="I2501" s="32">
        <v>282.43</v>
      </c>
      <c r="J2501" t="s">
        <v>239</v>
      </c>
      <c r="K2501" t="s">
        <v>245</v>
      </c>
      <c r="L2501" t="s">
        <v>235</v>
      </c>
      <c r="M2501" t="s">
        <v>236</v>
      </c>
      <c r="N2501" t="s">
        <v>240</v>
      </c>
      <c r="O2501" s="27">
        <v>46063</v>
      </c>
    </row>
    <row r="2502" spans="2:15" hidden="1" x14ac:dyDescent="0.3">
      <c r="B2502">
        <v>11593572</v>
      </c>
      <c r="C2502" t="s">
        <v>231</v>
      </c>
      <c r="D2502">
        <v>22674</v>
      </c>
      <c r="E2502" t="s">
        <v>150</v>
      </c>
      <c r="F2502" t="s">
        <v>394</v>
      </c>
      <c r="G2502" s="28">
        <v>78</v>
      </c>
      <c r="H2502" s="32">
        <v>1.08</v>
      </c>
      <c r="I2502" s="32">
        <v>847.38</v>
      </c>
      <c r="J2502" t="s">
        <v>267</v>
      </c>
      <c r="K2502" t="s">
        <v>245</v>
      </c>
      <c r="L2502" t="s">
        <v>235</v>
      </c>
      <c r="M2502" t="s">
        <v>236</v>
      </c>
      <c r="N2502" t="s">
        <v>240</v>
      </c>
      <c r="O2502" s="27">
        <v>46056</v>
      </c>
    </row>
    <row r="2503" spans="2:15" hidden="1" x14ac:dyDescent="0.3">
      <c r="B2503">
        <v>4658833</v>
      </c>
      <c r="C2503" t="s">
        <v>260</v>
      </c>
      <c r="D2503">
        <v>38517</v>
      </c>
      <c r="E2503" t="s">
        <v>150</v>
      </c>
      <c r="F2503" t="s">
        <v>369</v>
      </c>
      <c r="G2503" s="28">
        <v>4</v>
      </c>
      <c r="H2503" s="32">
        <v>1.08</v>
      </c>
      <c r="I2503" s="32">
        <v>206.6</v>
      </c>
      <c r="J2503" t="s">
        <v>239</v>
      </c>
      <c r="K2503" t="s">
        <v>245</v>
      </c>
      <c r="L2503" t="s">
        <v>235</v>
      </c>
      <c r="M2503" t="s">
        <v>236</v>
      </c>
      <c r="N2503" t="s">
        <v>237</v>
      </c>
      <c r="O2503" s="27">
        <v>46055</v>
      </c>
    </row>
    <row r="2504" spans="2:15" hidden="1" x14ac:dyDescent="0.3">
      <c r="B2504">
        <v>8218280</v>
      </c>
      <c r="C2504" t="s">
        <v>260</v>
      </c>
      <c r="D2504">
        <v>21559</v>
      </c>
      <c r="E2504" t="s">
        <v>150</v>
      </c>
      <c r="F2504" t="s">
        <v>415</v>
      </c>
      <c r="G2504" s="28">
        <v>1</v>
      </c>
      <c r="H2504" s="32">
        <v>1.08</v>
      </c>
      <c r="I2504" s="32">
        <v>68.739999999999995</v>
      </c>
      <c r="J2504" t="s">
        <v>267</v>
      </c>
      <c r="K2504" t="s">
        <v>245</v>
      </c>
      <c r="L2504" t="s">
        <v>235</v>
      </c>
      <c r="M2504" t="s">
        <v>236</v>
      </c>
      <c r="N2504" t="s">
        <v>240</v>
      </c>
      <c r="O2504" s="27">
        <v>46062</v>
      </c>
    </row>
    <row r="2505" spans="2:15" hidden="1" x14ac:dyDescent="0.3">
      <c r="B2505">
        <v>357627</v>
      </c>
      <c r="C2505" t="s">
        <v>231</v>
      </c>
      <c r="D2505">
        <v>72444</v>
      </c>
      <c r="E2505" t="s">
        <v>150</v>
      </c>
      <c r="F2505" t="s">
        <v>277</v>
      </c>
      <c r="G2505" s="28">
        <v>5</v>
      </c>
      <c r="H2505" s="32">
        <v>1.07</v>
      </c>
      <c r="I2505" s="32">
        <v>181.42</v>
      </c>
      <c r="J2505" t="s">
        <v>239</v>
      </c>
      <c r="K2505" t="s">
        <v>245</v>
      </c>
      <c r="L2505" t="s">
        <v>235</v>
      </c>
      <c r="M2505" t="s">
        <v>236</v>
      </c>
      <c r="N2505" t="s">
        <v>237</v>
      </c>
      <c r="O2505" s="27">
        <v>46055</v>
      </c>
    </row>
    <row r="2506" spans="2:15" hidden="1" x14ac:dyDescent="0.3">
      <c r="B2506">
        <v>15974810</v>
      </c>
      <c r="C2506" t="s">
        <v>231</v>
      </c>
      <c r="D2506">
        <v>49894</v>
      </c>
      <c r="E2506" t="s">
        <v>150</v>
      </c>
      <c r="F2506" t="s">
        <v>271</v>
      </c>
      <c r="G2506" s="28">
        <v>6</v>
      </c>
      <c r="H2506" s="32">
        <v>1.07</v>
      </c>
      <c r="I2506" s="32">
        <v>110.75</v>
      </c>
      <c r="J2506" t="s">
        <v>239</v>
      </c>
      <c r="K2506" t="s">
        <v>245</v>
      </c>
      <c r="L2506" t="s">
        <v>235</v>
      </c>
      <c r="M2506" t="s">
        <v>236</v>
      </c>
      <c r="N2506" t="s">
        <v>237</v>
      </c>
      <c r="O2506" s="27">
        <v>46063</v>
      </c>
    </row>
    <row r="2507" spans="2:15" hidden="1" x14ac:dyDescent="0.3">
      <c r="B2507">
        <v>8218280</v>
      </c>
      <c r="C2507" t="s">
        <v>260</v>
      </c>
      <c r="D2507">
        <v>21559</v>
      </c>
      <c r="E2507" t="s">
        <v>150</v>
      </c>
      <c r="F2507" t="s">
        <v>164</v>
      </c>
      <c r="G2507" s="28">
        <v>2</v>
      </c>
      <c r="H2507" s="32">
        <v>1.07</v>
      </c>
      <c r="I2507" s="32">
        <v>97.22</v>
      </c>
      <c r="J2507" t="s">
        <v>239</v>
      </c>
      <c r="K2507" t="s">
        <v>245</v>
      </c>
      <c r="L2507" t="s">
        <v>235</v>
      </c>
      <c r="M2507" t="s">
        <v>236</v>
      </c>
      <c r="N2507" t="s">
        <v>240</v>
      </c>
      <c r="O2507" s="27">
        <v>46063</v>
      </c>
    </row>
    <row r="2508" spans="2:15" hidden="1" x14ac:dyDescent="0.3">
      <c r="B2508">
        <v>12429967</v>
      </c>
      <c r="C2508" t="s">
        <v>260</v>
      </c>
      <c r="D2508">
        <v>21468</v>
      </c>
      <c r="E2508" t="s">
        <v>150</v>
      </c>
      <c r="F2508" t="s">
        <v>246</v>
      </c>
      <c r="G2508" s="28">
        <v>2</v>
      </c>
      <c r="H2508" s="32">
        <v>1.07</v>
      </c>
      <c r="I2508" s="32">
        <v>73.88</v>
      </c>
      <c r="J2508" t="s">
        <v>239</v>
      </c>
      <c r="K2508" t="s">
        <v>245</v>
      </c>
      <c r="L2508" t="s">
        <v>235</v>
      </c>
      <c r="M2508" t="s">
        <v>236</v>
      </c>
      <c r="N2508" t="s">
        <v>240</v>
      </c>
      <c r="O2508" s="27">
        <v>46055</v>
      </c>
    </row>
    <row r="2509" spans="2:15" hidden="1" x14ac:dyDescent="0.3">
      <c r="B2509">
        <v>2051406</v>
      </c>
      <c r="C2509" t="s">
        <v>231</v>
      </c>
      <c r="D2509">
        <v>25104</v>
      </c>
      <c r="E2509" t="s">
        <v>150</v>
      </c>
      <c r="F2509" t="s">
        <v>287</v>
      </c>
      <c r="G2509" s="28">
        <v>3</v>
      </c>
      <c r="H2509" s="32">
        <v>1.06</v>
      </c>
      <c r="I2509" s="32">
        <v>93.64</v>
      </c>
      <c r="J2509" t="s">
        <v>239</v>
      </c>
      <c r="K2509" t="s">
        <v>245</v>
      </c>
      <c r="L2509" t="s">
        <v>235</v>
      </c>
      <c r="M2509" t="s">
        <v>236</v>
      </c>
      <c r="N2509" t="s">
        <v>237</v>
      </c>
      <c r="O2509" s="27">
        <v>46055</v>
      </c>
    </row>
    <row r="2510" spans="2:15" hidden="1" x14ac:dyDescent="0.3">
      <c r="B2510">
        <v>3907511</v>
      </c>
      <c r="C2510" t="s">
        <v>231</v>
      </c>
      <c r="D2510">
        <v>23648</v>
      </c>
      <c r="E2510" t="s">
        <v>150</v>
      </c>
      <c r="F2510" t="s">
        <v>164</v>
      </c>
      <c r="G2510" s="28">
        <v>3</v>
      </c>
      <c r="H2510" s="32">
        <v>1.06</v>
      </c>
      <c r="I2510" s="32">
        <v>137.49</v>
      </c>
      <c r="J2510" t="s">
        <v>239</v>
      </c>
      <c r="K2510" t="s">
        <v>245</v>
      </c>
      <c r="L2510" t="s">
        <v>235</v>
      </c>
      <c r="M2510" t="s">
        <v>236</v>
      </c>
      <c r="N2510" t="s">
        <v>240</v>
      </c>
      <c r="O2510" s="27">
        <v>46055</v>
      </c>
    </row>
    <row r="2511" spans="2:15" hidden="1" x14ac:dyDescent="0.3">
      <c r="B2511">
        <v>3528854</v>
      </c>
      <c r="C2511" t="s">
        <v>231</v>
      </c>
      <c r="D2511">
        <v>71881</v>
      </c>
      <c r="E2511" t="s">
        <v>150</v>
      </c>
      <c r="F2511" t="s">
        <v>319</v>
      </c>
      <c r="G2511" s="28">
        <v>2</v>
      </c>
      <c r="H2511" s="32">
        <v>1.06</v>
      </c>
      <c r="I2511" s="32">
        <v>80.709999999999994</v>
      </c>
      <c r="J2511" t="s">
        <v>239</v>
      </c>
      <c r="K2511" t="s">
        <v>245</v>
      </c>
      <c r="L2511" t="s">
        <v>235</v>
      </c>
      <c r="M2511" t="s">
        <v>236</v>
      </c>
      <c r="N2511" t="s">
        <v>240</v>
      </c>
      <c r="O2511" s="27">
        <v>46063</v>
      </c>
    </row>
    <row r="2512" spans="2:15" hidden="1" x14ac:dyDescent="0.3">
      <c r="B2512">
        <v>5555592</v>
      </c>
      <c r="C2512" t="s">
        <v>231</v>
      </c>
      <c r="D2512">
        <v>38517</v>
      </c>
      <c r="E2512" t="s">
        <v>150</v>
      </c>
      <c r="F2512" t="s">
        <v>319</v>
      </c>
      <c r="G2512" s="28">
        <v>2</v>
      </c>
      <c r="H2512" s="32">
        <v>1.06</v>
      </c>
      <c r="I2512" s="32">
        <v>80.650000000000006</v>
      </c>
      <c r="J2512" t="s">
        <v>239</v>
      </c>
      <c r="K2512" t="s">
        <v>245</v>
      </c>
      <c r="L2512" t="s">
        <v>235</v>
      </c>
      <c r="M2512" t="s">
        <v>236</v>
      </c>
      <c r="N2512" t="s">
        <v>240</v>
      </c>
      <c r="O2512" s="27">
        <v>46063</v>
      </c>
    </row>
    <row r="2513" spans="2:15" hidden="1" x14ac:dyDescent="0.3">
      <c r="B2513">
        <v>8218280</v>
      </c>
      <c r="C2513" t="s">
        <v>260</v>
      </c>
      <c r="D2513">
        <v>21559</v>
      </c>
      <c r="E2513" t="s">
        <v>150</v>
      </c>
      <c r="F2513" t="s">
        <v>319</v>
      </c>
      <c r="G2513" s="28">
        <v>2</v>
      </c>
      <c r="H2513" s="32">
        <v>1.06</v>
      </c>
      <c r="I2513" s="32">
        <v>80.64</v>
      </c>
      <c r="J2513" t="s">
        <v>239</v>
      </c>
      <c r="K2513" t="s">
        <v>245</v>
      </c>
      <c r="L2513" t="s">
        <v>235</v>
      </c>
      <c r="M2513" t="s">
        <v>236</v>
      </c>
      <c r="N2513" t="s">
        <v>240</v>
      </c>
      <c r="O2513" s="27">
        <v>46063</v>
      </c>
    </row>
    <row r="2514" spans="2:15" hidden="1" x14ac:dyDescent="0.3">
      <c r="B2514">
        <v>250134</v>
      </c>
      <c r="C2514" t="s">
        <v>231</v>
      </c>
      <c r="D2514">
        <v>22674</v>
      </c>
      <c r="E2514" t="s">
        <v>150</v>
      </c>
      <c r="F2514" t="s">
        <v>271</v>
      </c>
      <c r="G2514" s="28">
        <v>6</v>
      </c>
      <c r="H2514" s="32">
        <v>1.05</v>
      </c>
      <c r="I2514" s="32">
        <v>110.74</v>
      </c>
      <c r="J2514" t="s">
        <v>239</v>
      </c>
      <c r="K2514" t="s">
        <v>245</v>
      </c>
      <c r="L2514" t="s">
        <v>235</v>
      </c>
      <c r="M2514" t="s">
        <v>236</v>
      </c>
      <c r="N2514" t="s">
        <v>237</v>
      </c>
      <c r="O2514" s="27">
        <v>46063</v>
      </c>
    </row>
    <row r="2515" spans="2:15" hidden="1" x14ac:dyDescent="0.3">
      <c r="B2515">
        <v>2190399</v>
      </c>
      <c r="C2515" t="s">
        <v>231</v>
      </c>
      <c r="D2515">
        <v>68542</v>
      </c>
      <c r="E2515" t="s">
        <v>150</v>
      </c>
      <c r="F2515" t="s">
        <v>276</v>
      </c>
      <c r="G2515" s="28">
        <v>2</v>
      </c>
      <c r="H2515" s="32">
        <v>1.05</v>
      </c>
      <c r="I2515" s="32">
        <v>60.54</v>
      </c>
      <c r="J2515" t="s">
        <v>239</v>
      </c>
      <c r="K2515" t="s">
        <v>245</v>
      </c>
      <c r="L2515" t="s">
        <v>235</v>
      </c>
      <c r="M2515" t="s">
        <v>236</v>
      </c>
      <c r="N2515" t="s">
        <v>240</v>
      </c>
      <c r="O2515" s="27">
        <v>46055</v>
      </c>
    </row>
    <row r="2516" spans="2:15" hidden="1" x14ac:dyDescent="0.3">
      <c r="B2516">
        <v>4535206</v>
      </c>
      <c r="C2516" t="s">
        <v>231</v>
      </c>
      <c r="D2516">
        <v>68542</v>
      </c>
      <c r="E2516" t="s">
        <v>150</v>
      </c>
      <c r="F2516" t="s">
        <v>164</v>
      </c>
      <c r="G2516" s="28">
        <v>3</v>
      </c>
      <c r="H2516" s="32">
        <v>1.05</v>
      </c>
      <c r="I2516" s="32">
        <v>137.49</v>
      </c>
      <c r="J2516" t="s">
        <v>239</v>
      </c>
      <c r="K2516" t="s">
        <v>245</v>
      </c>
      <c r="L2516" t="s">
        <v>235</v>
      </c>
      <c r="M2516" t="s">
        <v>236</v>
      </c>
      <c r="N2516" t="s">
        <v>240</v>
      </c>
      <c r="O2516" s="27">
        <v>46055</v>
      </c>
    </row>
    <row r="2517" spans="2:15" hidden="1" x14ac:dyDescent="0.3">
      <c r="B2517">
        <v>8841219</v>
      </c>
      <c r="C2517" t="s">
        <v>231</v>
      </c>
      <c r="D2517">
        <v>21468</v>
      </c>
      <c r="E2517" t="s">
        <v>150</v>
      </c>
      <c r="F2517" t="s">
        <v>337</v>
      </c>
      <c r="G2517" s="28">
        <v>2</v>
      </c>
      <c r="H2517" s="32">
        <v>1.05</v>
      </c>
      <c r="I2517" s="32">
        <v>72.66</v>
      </c>
      <c r="J2517" t="s">
        <v>239</v>
      </c>
      <c r="K2517" t="s">
        <v>245</v>
      </c>
      <c r="L2517" t="s">
        <v>235</v>
      </c>
      <c r="M2517" t="s">
        <v>236</v>
      </c>
      <c r="N2517" t="s">
        <v>237</v>
      </c>
      <c r="O2517" s="27">
        <v>46063</v>
      </c>
    </row>
    <row r="2518" spans="2:15" x14ac:dyDescent="0.3">
      <c r="B2518">
        <v>79379</v>
      </c>
      <c r="C2518" t="s">
        <v>260</v>
      </c>
      <c r="D2518">
        <v>22103</v>
      </c>
      <c r="E2518" t="s">
        <v>150</v>
      </c>
      <c r="F2518" t="s">
        <v>319</v>
      </c>
      <c r="G2518" s="28">
        <v>2</v>
      </c>
      <c r="H2518" s="32">
        <v>1.05</v>
      </c>
      <c r="I2518" s="32">
        <v>80.72</v>
      </c>
      <c r="J2518" t="s">
        <v>239</v>
      </c>
      <c r="K2518" t="s">
        <v>245</v>
      </c>
      <c r="L2518" t="s">
        <v>235</v>
      </c>
      <c r="M2518" t="s">
        <v>236</v>
      </c>
      <c r="N2518" t="s">
        <v>240</v>
      </c>
      <c r="O2518" s="27">
        <v>46063</v>
      </c>
    </row>
    <row r="2519" spans="2:15" hidden="1" x14ac:dyDescent="0.3">
      <c r="B2519">
        <v>325473</v>
      </c>
      <c r="C2519" t="s">
        <v>231</v>
      </c>
      <c r="D2519">
        <v>22674</v>
      </c>
      <c r="E2519" t="s">
        <v>150</v>
      </c>
      <c r="F2519" t="s">
        <v>394</v>
      </c>
      <c r="G2519" s="28">
        <v>26</v>
      </c>
      <c r="H2519" s="32">
        <v>1.04</v>
      </c>
      <c r="I2519" s="32">
        <v>282.45999999999998</v>
      </c>
      <c r="J2519" t="s">
        <v>267</v>
      </c>
      <c r="K2519" t="s">
        <v>245</v>
      </c>
      <c r="L2519" t="s">
        <v>235</v>
      </c>
      <c r="M2519" t="s">
        <v>236</v>
      </c>
      <c r="N2519" t="s">
        <v>240</v>
      </c>
      <c r="O2519" s="27">
        <v>46056</v>
      </c>
    </row>
    <row r="2520" spans="2:15" hidden="1" x14ac:dyDescent="0.3">
      <c r="B2520">
        <v>3528854</v>
      </c>
      <c r="C2520" t="s">
        <v>231</v>
      </c>
      <c r="D2520">
        <v>71881</v>
      </c>
      <c r="E2520" t="s">
        <v>150</v>
      </c>
      <c r="F2520" t="s">
        <v>337</v>
      </c>
      <c r="G2520" s="28">
        <v>2</v>
      </c>
      <c r="H2520" s="32">
        <v>1.04</v>
      </c>
      <c r="I2520" s="32">
        <v>72.63</v>
      </c>
      <c r="J2520" t="s">
        <v>239</v>
      </c>
      <c r="K2520" t="s">
        <v>245</v>
      </c>
      <c r="L2520" t="s">
        <v>235</v>
      </c>
      <c r="M2520" t="s">
        <v>236</v>
      </c>
      <c r="N2520" t="s">
        <v>237</v>
      </c>
      <c r="O2520" s="27">
        <v>46063</v>
      </c>
    </row>
    <row r="2521" spans="2:15" hidden="1" x14ac:dyDescent="0.3">
      <c r="B2521">
        <v>2051406</v>
      </c>
      <c r="C2521" t="s">
        <v>231</v>
      </c>
      <c r="D2521">
        <v>25104</v>
      </c>
      <c r="E2521" t="s">
        <v>150</v>
      </c>
      <c r="F2521" t="s">
        <v>276</v>
      </c>
      <c r="G2521" s="28">
        <v>3</v>
      </c>
      <c r="H2521" s="32">
        <v>1.03</v>
      </c>
      <c r="I2521" s="32">
        <v>90.81</v>
      </c>
      <c r="J2521" t="s">
        <v>239</v>
      </c>
      <c r="K2521" t="s">
        <v>245</v>
      </c>
      <c r="L2521" t="s">
        <v>235</v>
      </c>
      <c r="M2521" t="s">
        <v>236</v>
      </c>
      <c r="N2521" t="s">
        <v>240</v>
      </c>
      <c r="O2521" s="27">
        <v>46055</v>
      </c>
    </row>
    <row r="2522" spans="2:15" hidden="1" x14ac:dyDescent="0.3">
      <c r="B2522">
        <v>5979107</v>
      </c>
      <c r="C2522" t="s">
        <v>231</v>
      </c>
      <c r="D2522">
        <v>35984</v>
      </c>
      <c r="E2522" t="s">
        <v>150</v>
      </c>
      <c r="F2522" t="s">
        <v>420</v>
      </c>
      <c r="G2522" s="28">
        <v>1</v>
      </c>
      <c r="H2522" s="32">
        <v>1.03</v>
      </c>
      <c r="I2522" s="32">
        <v>96.57</v>
      </c>
      <c r="J2522" t="s">
        <v>330</v>
      </c>
      <c r="K2522" t="s">
        <v>245</v>
      </c>
      <c r="L2522" t="s">
        <v>235</v>
      </c>
      <c r="M2522" t="s">
        <v>236</v>
      </c>
      <c r="N2522" t="s">
        <v>240</v>
      </c>
      <c r="O2522" s="27">
        <v>46055</v>
      </c>
    </row>
    <row r="2523" spans="2:15" hidden="1" x14ac:dyDescent="0.3">
      <c r="B2523">
        <v>4535206</v>
      </c>
      <c r="C2523" t="s">
        <v>231</v>
      </c>
      <c r="D2523">
        <v>68542</v>
      </c>
      <c r="E2523" t="s">
        <v>150</v>
      </c>
      <c r="F2523" t="s">
        <v>392</v>
      </c>
      <c r="G2523" s="28">
        <v>9</v>
      </c>
      <c r="H2523" s="32">
        <v>1.03</v>
      </c>
      <c r="I2523" s="32">
        <v>883.15</v>
      </c>
      <c r="J2523" t="s">
        <v>267</v>
      </c>
      <c r="K2523" t="s">
        <v>245</v>
      </c>
      <c r="L2523" t="s">
        <v>235</v>
      </c>
      <c r="M2523" t="s">
        <v>236</v>
      </c>
      <c r="N2523" t="s">
        <v>240</v>
      </c>
      <c r="O2523" s="27">
        <v>46057</v>
      </c>
    </row>
    <row r="2524" spans="2:15" hidden="1" x14ac:dyDescent="0.3">
      <c r="B2524">
        <v>366105</v>
      </c>
      <c r="C2524" t="s">
        <v>231</v>
      </c>
      <c r="D2524">
        <v>69519</v>
      </c>
      <c r="E2524" t="s">
        <v>150</v>
      </c>
      <c r="F2524" t="s">
        <v>426</v>
      </c>
      <c r="G2524" s="28">
        <v>11</v>
      </c>
      <c r="H2524" s="32">
        <v>1.03</v>
      </c>
      <c r="I2524" s="32">
        <v>908.19</v>
      </c>
      <c r="J2524" t="s">
        <v>267</v>
      </c>
      <c r="K2524" t="s">
        <v>245</v>
      </c>
      <c r="L2524" t="s">
        <v>235</v>
      </c>
      <c r="M2524" t="s">
        <v>236</v>
      </c>
      <c r="N2524" t="s">
        <v>240</v>
      </c>
      <c r="O2524" s="27">
        <v>46063</v>
      </c>
    </row>
    <row r="2525" spans="2:15" hidden="1" x14ac:dyDescent="0.3">
      <c r="B2525">
        <v>17920388</v>
      </c>
      <c r="C2525" t="s">
        <v>231</v>
      </c>
      <c r="D2525">
        <v>40901</v>
      </c>
      <c r="E2525" t="s">
        <v>150</v>
      </c>
      <c r="F2525" t="s">
        <v>319</v>
      </c>
      <c r="G2525" s="28">
        <v>2</v>
      </c>
      <c r="H2525" s="32">
        <v>1.03</v>
      </c>
      <c r="I2525" s="32">
        <v>80.72</v>
      </c>
      <c r="J2525" t="s">
        <v>239</v>
      </c>
      <c r="K2525" t="s">
        <v>245</v>
      </c>
      <c r="L2525" t="s">
        <v>235</v>
      </c>
      <c r="M2525" t="s">
        <v>236</v>
      </c>
      <c r="N2525" t="s">
        <v>240</v>
      </c>
      <c r="O2525" s="27">
        <v>46063</v>
      </c>
    </row>
    <row r="2526" spans="2:15" hidden="1" x14ac:dyDescent="0.3">
      <c r="B2526">
        <v>8218280</v>
      </c>
      <c r="C2526" t="s">
        <v>260</v>
      </c>
      <c r="D2526">
        <v>21559</v>
      </c>
      <c r="E2526" t="s">
        <v>150</v>
      </c>
      <c r="F2526" t="s">
        <v>287</v>
      </c>
      <c r="G2526" s="28">
        <v>2</v>
      </c>
      <c r="H2526" s="32">
        <v>1.03</v>
      </c>
      <c r="I2526" s="32">
        <v>62.75</v>
      </c>
      <c r="J2526" t="s">
        <v>239</v>
      </c>
      <c r="K2526" t="s">
        <v>245</v>
      </c>
      <c r="L2526" t="s">
        <v>235</v>
      </c>
      <c r="M2526" t="s">
        <v>236</v>
      </c>
      <c r="N2526" t="s">
        <v>237</v>
      </c>
      <c r="O2526" s="27">
        <v>46063</v>
      </c>
    </row>
    <row r="2527" spans="2:15" hidden="1" x14ac:dyDescent="0.3">
      <c r="B2527">
        <v>3845505</v>
      </c>
      <c r="C2527" t="s">
        <v>260</v>
      </c>
      <c r="D2527">
        <v>22674</v>
      </c>
      <c r="E2527" t="s">
        <v>150</v>
      </c>
      <c r="F2527" t="s">
        <v>380</v>
      </c>
      <c r="G2527" s="28">
        <v>9</v>
      </c>
      <c r="H2527" s="32">
        <v>1.03</v>
      </c>
      <c r="I2527" s="32">
        <v>164.5</v>
      </c>
      <c r="J2527" t="s">
        <v>330</v>
      </c>
      <c r="K2527" t="s">
        <v>234</v>
      </c>
      <c r="L2527" t="s">
        <v>235</v>
      </c>
      <c r="M2527" t="s">
        <v>236</v>
      </c>
      <c r="N2527" t="s">
        <v>237</v>
      </c>
      <c r="O2527" s="27">
        <v>46056</v>
      </c>
    </row>
    <row r="2528" spans="2:15" hidden="1" x14ac:dyDescent="0.3">
      <c r="B2528">
        <v>15389148</v>
      </c>
      <c r="C2528" t="s">
        <v>260</v>
      </c>
      <c r="D2528">
        <v>40901</v>
      </c>
      <c r="E2528" t="s">
        <v>150</v>
      </c>
      <c r="F2528" t="s">
        <v>276</v>
      </c>
      <c r="G2528" s="28">
        <v>2</v>
      </c>
      <c r="H2528" s="32">
        <v>1.03</v>
      </c>
      <c r="I2528" s="32">
        <v>60.54</v>
      </c>
      <c r="J2528" t="s">
        <v>239</v>
      </c>
      <c r="K2528" t="s">
        <v>245</v>
      </c>
      <c r="L2528" t="s">
        <v>235</v>
      </c>
      <c r="M2528" t="s">
        <v>236</v>
      </c>
      <c r="N2528" t="s">
        <v>240</v>
      </c>
      <c r="O2528" s="27">
        <v>46055</v>
      </c>
    </row>
    <row r="2529" spans="2:15" hidden="1" x14ac:dyDescent="0.3">
      <c r="B2529">
        <v>4358018</v>
      </c>
      <c r="C2529" t="s">
        <v>231</v>
      </c>
      <c r="D2529">
        <v>23410</v>
      </c>
      <c r="E2529" t="s">
        <v>150</v>
      </c>
      <c r="F2529" t="s">
        <v>287</v>
      </c>
      <c r="G2529" s="28">
        <v>2</v>
      </c>
      <c r="H2529" s="32">
        <v>1.02</v>
      </c>
      <c r="I2529" s="32">
        <v>62.71</v>
      </c>
      <c r="J2529" t="s">
        <v>239</v>
      </c>
      <c r="K2529" t="s">
        <v>245</v>
      </c>
      <c r="L2529" t="s">
        <v>235</v>
      </c>
      <c r="M2529" t="s">
        <v>236</v>
      </c>
      <c r="N2529" t="s">
        <v>237</v>
      </c>
      <c r="O2529" s="27">
        <v>46063</v>
      </c>
    </row>
    <row r="2530" spans="2:15" hidden="1" x14ac:dyDescent="0.3">
      <c r="B2530">
        <v>2923617</v>
      </c>
      <c r="C2530" t="s">
        <v>231</v>
      </c>
      <c r="D2530">
        <v>37111</v>
      </c>
      <c r="E2530" t="s">
        <v>150</v>
      </c>
      <c r="F2530" t="s">
        <v>163</v>
      </c>
      <c r="G2530" s="28">
        <v>4</v>
      </c>
      <c r="H2530" s="32">
        <v>1.02</v>
      </c>
      <c r="I2530" s="32">
        <v>52.69</v>
      </c>
      <c r="J2530" t="s">
        <v>239</v>
      </c>
      <c r="K2530" t="s">
        <v>245</v>
      </c>
      <c r="L2530" t="s">
        <v>235</v>
      </c>
      <c r="M2530" t="s">
        <v>236</v>
      </c>
      <c r="N2530" t="s">
        <v>237</v>
      </c>
      <c r="O2530" s="27">
        <v>46055</v>
      </c>
    </row>
    <row r="2531" spans="2:15" hidden="1" x14ac:dyDescent="0.3">
      <c r="B2531">
        <v>2403987</v>
      </c>
      <c r="C2531" t="s">
        <v>231</v>
      </c>
      <c r="D2531">
        <v>23648</v>
      </c>
      <c r="E2531" t="s">
        <v>150</v>
      </c>
      <c r="F2531" t="s">
        <v>271</v>
      </c>
      <c r="G2531" s="28">
        <v>5</v>
      </c>
      <c r="H2531" s="32">
        <v>1.02</v>
      </c>
      <c r="I2531" s="32">
        <v>92.3</v>
      </c>
      <c r="J2531" t="s">
        <v>239</v>
      </c>
      <c r="K2531" t="s">
        <v>245</v>
      </c>
      <c r="L2531" t="s">
        <v>235</v>
      </c>
      <c r="M2531" t="s">
        <v>236</v>
      </c>
      <c r="N2531" t="s">
        <v>240</v>
      </c>
      <c r="O2531" s="27">
        <v>46063</v>
      </c>
    </row>
    <row r="2532" spans="2:15" hidden="1" x14ac:dyDescent="0.3">
      <c r="B2532">
        <v>2190399</v>
      </c>
      <c r="C2532" t="s">
        <v>231</v>
      </c>
      <c r="D2532">
        <v>68542</v>
      </c>
      <c r="E2532" t="s">
        <v>150</v>
      </c>
      <c r="F2532" t="s">
        <v>274</v>
      </c>
      <c r="G2532" s="28">
        <v>4</v>
      </c>
      <c r="H2532" s="32">
        <v>1.02</v>
      </c>
      <c r="I2532" s="32">
        <v>58.74</v>
      </c>
      <c r="J2532" t="s">
        <v>239</v>
      </c>
      <c r="K2532" t="s">
        <v>245</v>
      </c>
      <c r="L2532" t="s">
        <v>235</v>
      </c>
      <c r="M2532" t="s">
        <v>236</v>
      </c>
      <c r="N2532" t="s">
        <v>237</v>
      </c>
      <c r="O2532" s="27">
        <v>46055</v>
      </c>
    </row>
    <row r="2533" spans="2:15" hidden="1" x14ac:dyDescent="0.3">
      <c r="B2533">
        <v>3907511</v>
      </c>
      <c r="C2533" t="s">
        <v>231</v>
      </c>
      <c r="D2533">
        <v>23648</v>
      </c>
      <c r="E2533" t="s">
        <v>150</v>
      </c>
      <c r="F2533" t="s">
        <v>274</v>
      </c>
      <c r="G2533" s="28">
        <v>9</v>
      </c>
      <c r="H2533" s="32">
        <v>1.02</v>
      </c>
      <c r="I2533" s="32">
        <v>132.18</v>
      </c>
      <c r="J2533" t="s">
        <v>239</v>
      </c>
      <c r="K2533" t="s">
        <v>245</v>
      </c>
      <c r="L2533" t="s">
        <v>235</v>
      </c>
      <c r="M2533" t="s">
        <v>236</v>
      </c>
      <c r="N2533" t="s">
        <v>237</v>
      </c>
      <c r="O2533" s="27">
        <v>46055</v>
      </c>
    </row>
    <row r="2534" spans="2:15" hidden="1" x14ac:dyDescent="0.3">
      <c r="B2534">
        <v>4535206</v>
      </c>
      <c r="C2534" t="s">
        <v>231</v>
      </c>
      <c r="D2534">
        <v>68542</v>
      </c>
      <c r="E2534" t="s">
        <v>150</v>
      </c>
      <c r="F2534" t="s">
        <v>355</v>
      </c>
      <c r="G2534" s="28">
        <v>11</v>
      </c>
      <c r="H2534" s="32">
        <v>1.02</v>
      </c>
      <c r="I2534" s="32">
        <v>109.67</v>
      </c>
      <c r="J2534" t="s">
        <v>267</v>
      </c>
      <c r="K2534" t="s">
        <v>245</v>
      </c>
      <c r="L2534" t="s">
        <v>235</v>
      </c>
      <c r="M2534" t="s">
        <v>236</v>
      </c>
      <c r="N2534" t="s">
        <v>240</v>
      </c>
      <c r="O2534" s="27">
        <v>46057</v>
      </c>
    </row>
    <row r="2535" spans="2:15" hidden="1" x14ac:dyDescent="0.3">
      <c r="B2535">
        <v>4535206</v>
      </c>
      <c r="C2535" t="s">
        <v>231</v>
      </c>
      <c r="D2535">
        <v>68542</v>
      </c>
      <c r="E2535" t="s">
        <v>150</v>
      </c>
      <c r="F2535" t="s">
        <v>417</v>
      </c>
      <c r="G2535" s="28">
        <v>9</v>
      </c>
      <c r="H2535" s="32">
        <v>1.02</v>
      </c>
      <c r="I2535" s="32">
        <v>824.2</v>
      </c>
      <c r="J2535" t="s">
        <v>267</v>
      </c>
      <c r="K2535" t="s">
        <v>245</v>
      </c>
      <c r="L2535" t="s">
        <v>235</v>
      </c>
      <c r="M2535" t="s">
        <v>236</v>
      </c>
      <c r="N2535" t="s">
        <v>240</v>
      </c>
      <c r="O2535" s="27">
        <v>46057</v>
      </c>
    </row>
    <row r="2536" spans="2:15" hidden="1" x14ac:dyDescent="0.3">
      <c r="B2536">
        <v>3413995</v>
      </c>
      <c r="C2536" t="s">
        <v>231</v>
      </c>
      <c r="D2536">
        <v>22674</v>
      </c>
      <c r="E2536" t="s">
        <v>150</v>
      </c>
      <c r="F2536" t="s">
        <v>337</v>
      </c>
      <c r="G2536" s="28">
        <v>2</v>
      </c>
      <c r="H2536" s="32">
        <v>1.01</v>
      </c>
      <c r="I2536" s="32">
        <v>73.5</v>
      </c>
      <c r="J2536" t="s">
        <v>239</v>
      </c>
      <c r="K2536" t="s">
        <v>245</v>
      </c>
      <c r="L2536" t="s">
        <v>235</v>
      </c>
      <c r="M2536" t="s">
        <v>236</v>
      </c>
      <c r="N2536" t="s">
        <v>237</v>
      </c>
      <c r="O2536" s="27">
        <v>46055</v>
      </c>
    </row>
    <row r="2537" spans="2:15" hidden="1" x14ac:dyDescent="0.3">
      <c r="B2537">
        <v>2412490</v>
      </c>
      <c r="C2537" t="s">
        <v>231</v>
      </c>
      <c r="D2537">
        <v>71881</v>
      </c>
      <c r="E2537" t="s">
        <v>150</v>
      </c>
      <c r="F2537" t="s">
        <v>360</v>
      </c>
      <c r="G2537" s="28">
        <v>3</v>
      </c>
      <c r="H2537" s="32">
        <v>1.01</v>
      </c>
      <c r="I2537" s="32">
        <v>114.36</v>
      </c>
      <c r="J2537" t="s">
        <v>330</v>
      </c>
      <c r="K2537" t="s">
        <v>234</v>
      </c>
      <c r="L2537" t="s">
        <v>235</v>
      </c>
      <c r="M2537" t="s">
        <v>236</v>
      </c>
      <c r="N2537" t="s">
        <v>240</v>
      </c>
      <c r="O2537" s="27">
        <v>46057</v>
      </c>
    </row>
    <row r="2538" spans="2:15" hidden="1" x14ac:dyDescent="0.3">
      <c r="B2538">
        <v>2229229</v>
      </c>
      <c r="C2538" t="s">
        <v>260</v>
      </c>
      <c r="D2538">
        <v>40901</v>
      </c>
      <c r="E2538" t="s">
        <v>150</v>
      </c>
      <c r="F2538" t="s">
        <v>277</v>
      </c>
      <c r="G2538" s="28">
        <v>4</v>
      </c>
      <c r="H2538" s="32">
        <v>1.01</v>
      </c>
      <c r="I2538" s="32">
        <v>145.13999999999999</v>
      </c>
      <c r="J2538" t="s">
        <v>239</v>
      </c>
      <c r="K2538" t="s">
        <v>245</v>
      </c>
      <c r="L2538" t="s">
        <v>235</v>
      </c>
      <c r="M2538" t="s">
        <v>236</v>
      </c>
      <c r="N2538" t="s">
        <v>237</v>
      </c>
      <c r="O2538" s="27">
        <v>46055</v>
      </c>
    </row>
    <row r="2539" spans="2:15" hidden="1" x14ac:dyDescent="0.3">
      <c r="B2539">
        <v>18702217</v>
      </c>
      <c r="C2539" t="s">
        <v>260</v>
      </c>
      <c r="D2539">
        <v>74304</v>
      </c>
      <c r="E2539" t="s">
        <v>150</v>
      </c>
      <c r="F2539" t="s">
        <v>263</v>
      </c>
      <c r="G2539" s="28">
        <v>11</v>
      </c>
      <c r="H2539" s="32">
        <v>1.01</v>
      </c>
      <c r="I2539" s="32">
        <v>152.01</v>
      </c>
      <c r="J2539" t="s">
        <v>239</v>
      </c>
      <c r="K2539" t="s">
        <v>245</v>
      </c>
      <c r="L2539" t="s">
        <v>235</v>
      </c>
      <c r="M2539" t="s">
        <v>236</v>
      </c>
      <c r="N2539" t="s">
        <v>237</v>
      </c>
      <c r="O2539" s="27">
        <v>46055</v>
      </c>
    </row>
    <row r="2540" spans="2:15" hidden="1" x14ac:dyDescent="0.3">
      <c r="B2540">
        <v>4842372</v>
      </c>
      <c r="C2540" t="s">
        <v>260</v>
      </c>
      <c r="D2540">
        <v>23648</v>
      </c>
      <c r="E2540" t="s">
        <v>150</v>
      </c>
      <c r="F2540" t="s">
        <v>337</v>
      </c>
      <c r="G2540" s="28">
        <v>2</v>
      </c>
      <c r="H2540" s="32">
        <v>1.01</v>
      </c>
      <c r="I2540" s="32">
        <v>73.5</v>
      </c>
      <c r="J2540" t="s">
        <v>239</v>
      </c>
      <c r="K2540" t="s">
        <v>245</v>
      </c>
      <c r="L2540" t="s">
        <v>235</v>
      </c>
      <c r="M2540" t="s">
        <v>236</v>
      </c>
      <c r="N2540" t="s">
        <v>237</v>
      </c>
      <c r="O2540" s="27">
        <v>46055</v>
      </c>
    </row>
    <row r="2541" spans="2:15" hidden="1" x14ac:dyDescent="0.3">
      <c r="B2541">
        <v>4535206</v>
      </c>
      <c r="C2541" t="s">
        <v>231</v>
      </c>
      <c r="D2541">
        <v>68542</v>
      </c>
      <c r="E2541" t="s">
        <v>150</v>
      </c>
      <c r="F2541" t="s">
        <v>285</v>
      </c>
      <c r="G2541" s="28">
        <v>3</v>
      </c>
      <c r="H2541" s="32">
        <v>1</v>
      </c>
      <c r="I2541" s="32">
        <v>182.03</v>
      </c>
      <c r="J2541" t="s">
        <v>239</v>
      </c>
      <c r="K2541" t="s">
        <v>245</v>
      </c>
      <c r="L2541" t="s">
        <v>235</v>
      </c>
      <c r="M2541" t="s">
        <v>236</v>
      </c>
      <c r="N2541" t="s">
        <v>240</v>
      </c>
      <c r="O2541" s="27">
        <v>46055</v>
      </c>
    </row>
    <row r="2542" spans="2:15" hidden="1" x14ac:dyDescent="0.3">
      <c r="B2542">
        <v>14471054</v>
      </c>
      <c r="C2542" t="s">
        <v>260</v>
      </c>
      <c r="D2542">
        <v>72444</v>
      </c>
      <c r="E2542" t="s">
        <v>150</v>
      </c>
      <c r="F2542" t="s">
        <v>337</v>
      </c>
      <c r="G2542" s="28">
        <v>2</v>
      </c>
      <c r="H2542" s="32">
        <v>1</v>
      </c>
      <c r="I2542" s="32">
        <v>73.5</v>
      </c>
      <c r="J2542" t="s">
        <v>239</v>
      </c>
      <c r="K2542" t="s">
        <v>245</v>
      </c>
      <c r="L2542" t="s">
        <v>235</v>
      </c>
      <c r="M2542" t="s">
        <v>236</v>
      </c>
      <c r="N2542" t="s">
        <v>237</v>
      </c>
      <c r="O2542" s="27">
        <v>46055</v>
      </c>
    </row>
    <row r="2543" spans="2:15" hidden="1" x14ac:dyDescent="0.3">
      <c r="B2543">
        <v>17920388</v>
      </c>
      <c r="C2543" t="s">
        <v>231</v>
      </c>
      <c r="D2543">
        <v>40901</v>
      </c>
      <c r="E2543" t="s">
        <v>150</v>
      </c>
      <c r="F2543" t="s">
        <v>337</v>
      </c>
      <c r="G2543" s="28">
        <v>2</v>
      </c>
      <c r="H2543" s="32">
        <v>0.99</v>
      </c>
      <c r="I2543" s="32">
        <v>72.66</v>
      </c>
      <c r="J2543" t="s">
        <v>239</v>
      </c>
      <c r="K2543" t="s">
        <v>245</v>
      </c>
      <c r="L2543" t="s">
        <v>235</v>
      </c>
      <c r="M2543" t="s">
        <v>236</v>
      </c>
      <c r="N2543" t="s">
        <v>237</v>
      </c>
      <c r="O2543" s="27">
        <v>46063</v>
      </c>
    </row>
    <row r="2544" spans="2:15" hidden="1" x14ac:dyDescent="0.3">
      <c r="B2544">
        <v>3255792</v>
      </c>
      <c r="C2544" t="s">
        <v>231</v>
      </c>
      <c r="D2544">
        <v>71881</v>
      </c>
      <c r="E2544" t="s">
        <v>150</v>
      </c>
      <c r="F2544" t="s">
        <v>337</v>
      </c>
      <c r="G2544" s="28">
        <v>2</v>
      </c>
      <c r="H2544" s="32">
        <v>0.99</v>
      </c>
      <c r="I2544" s="32">
        <v>73.5</v>
      </c>
      <c r="J2544" t="s">
        <v>239</v>
      </c>
      <c r="K2544" t="s">
        <v>245</v>
      </c>
      <c r="L2544" t="s">
        <v>235</v>
      </c>
      <c r="M2544" t="s">
        <v>236</v>
      </c>
      <c r="N2544" t="s">
        <v>237</v>
      </c>
      <c r="O2544" s="27">
        <v>46055</v>
      </c>
    </row>
    <row r="2545" spans="2:15" hidden="1" x14ac:dyDescent="0.3">
      <c r="B2545">
        <v>3906862</v>
      </c>
      <c r="C2545" t="s">
        <v>231</v>
      </c>
      <c r="D2545">
        <v>71881</v>
      </c>
      <c r="E2545" t="s">
        <v>150</v>
      </c>
      <c r="F2545" t="s">
        <v>337</v>
      </c>
      <c r="G2545" s="28">
        <v>2</v>
      </c>
      <c r="H2545" s="32">
        <v>0.99</v>
      </c>
      <c r="I2545" s="32">
        <v>72.63</v>
      </c>
      <c r="J2545" t="s">
        <v>239</v>
      </c>
      <c r="K2545" t="s">
        <v>245</v>
      </c>
      <c r="L2545" t="s">
        <v>235</v>
      </c>
      <c r="M2545" t="s">
        <v>236</v>
      </c>
      <c r="N2545" t="s">
        <v>237</v>
      </c>
      <c r="O2545" s="27">
        <v>46063</v>
      </c>
    </row>
    <row r="2546" spans="2:15" hidden="1" x14ac:dyDescent="0.3">
      <c r="B2546">
        <v>3731792</v>
      </c>
      <c r="C2546" t="s">
        <v>260</v>
      </c>
      <c r="D2546">
        <v>69579</v>
      </c>
      <c r="E2546" t="s">
        <v>150</v>
      </c>
      <c r="F2546" t="s">
        <v>287</v>
      </c>
      <c r="G2546" s="28">
        <v>2</v>
      </c>
      <c r="H2546" s="32">
        <v>0.99</v>
      </c>
      <c r="I2546" s="32">
        <v>62.75</v>
      </c>
      <c r="J2546" t="s">
        <v>239</v>
      </c>
      <c r="K2546" t="s">
        <v>245</v>
      </c>
      <c r="L2546" t="s">
        <v>235</v>
      </c>
      <c r="M2546" t="s">
        <v>236</v>
      </c>
      <c r="N2546" t="s">
        <v>237</v>
      </c>
      <c r="O2546" s="27">
        <v>46063</v>
      </c>
    </row>
    <row r="2547" spans="2:15" hidden="1" x14ac:dyDescent="0.3">
      <c r="B2547">
        <v>590816</v>
      </c>
      <c r="C2547" t="s">
        <v>231</v>
      </c>
      <c r="D2547">
        <v>38517</v>
      </c>
      <c r="E2547" t="s">
        <v>150</v>
      </c>
      <c r="F2547" t="s">
        <v>246</v>
      </c>
      <c r="G2547" s="28">
        <v>3</v>
      </c>
      <c r="H2547" s="32">
        <v>0.98</v>
      </c>
      <c r="I2547" s="32">
        <v>110.83</v>
      </c>
      <c r="J2547" t="s">
        <v>239</v>
      </c>
      <c r="K2547" t="s">
        <v>245</v>
      </c>
      <c r="L2547" t="s">
        <v>235</v>
      </c>
      <c r="M2547" t="s">
        <v>236</v>
      </c>
      <c r="N2547" t="s">
        <v>240</v>
      </c>
      <c r="O2547" s="27">
        <v>46055</v>
      </c>
    </row>
    <row r="2548" spans="2:15" hidden="1" x14ac:dyDescent="0.3">
      <c r="B2548">
        <v>4216928</v>
      </c>
      <c r="C2548" t="s">
        <v>231</v>
      </c>
      <c r="D2548">
        <v>69519</v>
      </c>
      <c r="E2548" t="s">
        <v>150</v>
      </c>
      <c r="F2548" t="s">
        <v>319</v>
      </c>
      <c r="G2548" s="28">
        <v>2</v>
      </c>
      <c r="H2548" s="32">
        <v>0.98</v>
      </c>
      <c r="I2548" s="32">
        <v>80.7</v>
      </c>
      <c r="J2548" t="s">
        <v>239</v>
      </c>
      <c r="K2548" t="s">
        <v>245</v>
      </c>
      <c r="L2548" t="s">
        <v>235</v>
      </c>
      <c r="M2548" t="s">
        <v>236</v>
      </c>
      <c r="N2548" t="s">
        <v>240</v>
      </c>
      <c r="O2548" s="27">
        <v>46063</v>
      </c>
    </row>
    <row r="2549" spans="2:15" hidden="1" x14ac:dyDescent="0.3">
      <c r="B2549">
        <v>2411460</v>
      </c>
      <c r="C2549" t="s">
        <v>231</v>
      </c>
      <c r="D2549">
        <v>72444</v>
      </c>
      <c r="E2549" t="s">
        <v>150</v>
      </c>
      <c r="F2549" t="s">
        <v>287</v>
      </c>
      <c r="G2549" s="28">
        <v>4</v>
      </c>
      <c r="H2549" s="32">
        <v>0.97</v>
      </c>
      <c r="I2549" s="32">
        <v>124.85</v>
      </c>
      <c r="J2549" t="s">
        <v>239</v>
      </c>
      <c r="K2549" t="s">
        <v>245</v>
      </c>
      <c r="L2549" t="s">
        <v>235</v>
      </c>
      <c r="M2549" t="s">
        <v>236</v>
      </c>
      <c r="N2549" t="s">
        <v>237</v>
      </c>
      <c r="O2549" s="27">
        <v>46055</v>
      </c>
    </row>
    <row r="2550" spans="2:15" hidden="1" x14ac:dyDescent="0.3">
      <c r="B2550">
        <v>4333412</v>
      </c>
      <c r="C2550" t="s">
        <v>231</v>
      </c>
      <c r="D2550">
        <v>69579</v>
      </c>
      <c r="E2550" t="s">
        <v>150</v>
      </c>
      <c r="F2550" t="s">
        <v>287</v>
      </c>
      <c r="G2550" s="28">
        <v>2</v>
      </c>
      <c r="H2550" s="32">
        <v>0.97</v>
      </c>
      <c r="I2550" s="32">
        <v>62.75</v>
      </c>
      <c r="J2550" t="s">
        <v>239</v>
      </c>
      <c r="K2550" t="s">
        <v>245</v>
      </c>
      <c r="L2550" t="s">
        <v>235</v>
      </c>
      <c r="M2550" t="s">
        <v>236</v>
      </c>
      <c r="N2550" t="s">
        <v>237</v>
      </c>
      <c r="O2550" s="27">
        <v>46063</v>
      </c>
    </row>
    <row r="2551" spans="2:15" hidden="1" x14ac:dyDescent="0.3">
      <c r="B2551">
        <v>325473</v>
      </c>
      <c r="C2551" t="s">
        <v>231</v>
      </c>
      <c r="D2551">
        <v>22674</v>
      </c>
      <c r="E2551" t="s">
        <v>150</v>
      </c>
      <c r="F2551" t="s">
        <v>321</v>
      </c>
      <c r="G2551" s="28">
        <v>2</v>
      </c>
      <c r="H2551" s="32">
        <v>0.97</v>
      </c>
      <c r="I2551" s="32">
        <v>237.89</v>
      </c>
      <c r="J2551" t="s">
        <v>267</v>
      </c>
      <c r="K2551" t="s">
        <v>245</v>
      </c>
      <c r="L2551" t="s">
        <v>235</v>
      </c>
      <c r="M2551" t="s">
        <v>236</v>
      </c>
      <c r="N2551" t="s">
        <v>237</v>
      </c>
      <c r="O2551" s="27">
        <v>46056</v>
      </c>
    </row>
    <row r="2552" spans="2:15" hidden="1" x14ac:dyDescent="0.3">
      <c r="B2552">
        <v>284340</v>
      </c>
      <c r="C2552" t="s">
        <v>260</v>
      </c>
      <c r="D2552">
        <v>23410</v>
      </c>
      <c r="E2552" t="s">
        <v>150</v>
      </c>
      <c r="F2552" t="s">
        <v>276</v>
      </c>
      <c r="G2552" s="28">
        <v>3</v>
      </c>
      <c r="H2552" s="32">
        <v>0.97</v>
      </c>
      <c r="I2552" s="32">
        <v>90.81</v>
      </c>
      <c r="J2552" t="s">
        <v>239</v>
      </c>
      <c r="K2552" t="s">
        <v>245</v>
      </c>
      <c r="L2552" t="s">
        <v>235</v>
      </c>
      <c r="M2552" t="s">
        <v>236</v>
      </c>
      <c r="N2552" t="s">
        <v>240</v>
      </c>
      <c r="O2552" s="27">
        <v>46055</v>
      </c>
    </row>
    <row r="2553" spans="2:15" hidden="1" x14ac:dyDescent="0.3">
      <c r="B2553">
        <v>560966</v>
      </c>
      <c r="C2553" t="s">
        <v>231</v>
      </c>
      <c r="D2553">
        <v>21468</v>
      </c>
      <c r="E2553" t="s">
        <v>150</v>
      </c>
      <c r="F2553" t="s">
        <v>246</v>
      </c>
      <c r="G2553" s="28">
        <v>2</v>
      </c>
      <c r="H2553" s="32">
        <v>0.96</v>
      </c>
      <c r="I2553" s="32">
        <v>73.88</v>
      </c>
      <c r="J2553" t="s">
        <v>239</v>
      </c>
      <c r="K2553" t="s">
        <v>245</v>
      </c>
      <c r="L2553" t="s">
        <v>235</v>
      </c>
      <c r="M2553" t="s">
        <v>236</v>
      </c>
      <c r="N2553" t="s">
        <v>240</v>
      </c>
      <c r="O2553" s="27">
        <v>46055</v>
      </c>
    </row>
    <row r="2554" spans="2:15" hidden="1" x14ac:dyDescent="0.3">
      <c r="B2554">
        <v>5979107</v>
      </c>
      <c r="C2554" t="s">
        <v>231</v>
      </c>
      <c r="D2554">
        <v>35984</v>
      </c>
      <c r="E2554" t="s">
        <v>150</v>
      </c>
      <c r="F2554" t="s">
        <v>329</v>
      </c>
      <c r="G2554" s="28">
        <v>1</v>
      </c>
      <c r="H2554" s="32">
        <v>0.96</v>
      </c>
      <c r="I2554" s="32">
        <v>85</v>
      </c>
      <c r="J2554" t="s">
        <v>330</v>
      </c>
      <c r="K2554" t="s">
        <v>245</v>
      </c>
      <c r="L2554" t="s">
        <v>235</v>
      </c>
      <c r="M2554" t="s">
        <v>236</v>
      </c>
      <c r="N2554" t="s">
        <v>240</v>
      </c>
      <c r="O2554" s="27">
        <v>46055</v>
      </c>
    </row>
    <row r="2555" spans="2:15" hidden="1" x14ac:dyDescent="0.3">
      <c r="B2555">
        <v>14471054</v>
      </c>
      <c r="C2555" t="s">
        <v>260</v>
      </c>
      <c r="D2555">
        <v>72444</v>
      </c>
      <c r="E2555" t="s">
        <v>150</v>
      </c>
      <c r="F2555" t="s">
        <v>271</v>
      </c>
      <c r="G2555" s="28">
        <v>4</v>
      </c>
      <c r="H2555" s="32">
        <v>0.96</v>
      </c>
      <c r="I2555" s="32">
        <v>70.62</v>
      </c>
      <c r="J2555" t="s">
        <v>239</v>
      </c>
      <c r="K2555" t="s">
        <v>245</v>
      </c>
      <c r="L2555" t="s">
        <v>235</v>
      </c>
      <c r="M2555" t="s">
        <v>236</v>
      </c>
      <c r="N2555" t="s">
        <v>237</v>
      </c>
      <c r="O2555" s="27">
        <v>46055</v>
      </c>
    </row>
    <row r="2556" spans="2:15" hidden="1" x14ac:dyDescent="0.3">
      <c r="B2556">
        <v>8218280</v>
      </c>
      <c r="C2556" t="s">
        <v>260</v>
      </c>
      <c r="D2556">
        <v>21559</v>
      </c>
      <c r="E2556" t="s">
        <v>150</v>
      </c>
      <c r="F2556" t="s">
        <v>364</v>
      </c>
      <c r="G2556" s="28">
        <v>7</v>
      </c>
      <c r="H2556" s="32">
        <v>0.96</v>
      </c>
      <c r="I2556" s="32">
        <v>60.74</v>
      </c>
      <c r="J2556" t="s">
        <v>267</v>
      </c>
      <c r="K2556" t="s">
        <v>245</v>
      </c>
      <c r="L2556" t="s">
        <v>235</v>
      </c>
      <c r="M2556" t="s">
        <v>236</v>
      </c>
      <c r="N2556" t="s">
        <v>237</v>
      </c>
      <c r="O2556" s="27">
        <v>46062</v>
      </c>
    </row>
    <row r="2557" spans="2:15" hidden="1" x14ac:dyDescent="0.3">
      <c r="B2557">
        <v>293951</v>
      </c>
      <c r="C2557" t="s">
        <v>231</v>
      </c>
      <c r="D2557">
        <v>25619</v>
      </c>
      <c r="E2557" t="s">
        <v>150</v>
      </c>
      <c r="F2557" t="s">
        <v>340</v>
      </c>
      <c r="G2557" s="28">
        <v>3</v>
      </c>
      <c r="H2557" s="32">
        <v>0.95</v>
      </c>
      <c r="I2557" s="32">
        <v>176.67</v>
      </c>
      <c r="J2557" t="s">
        <v>330</v>
      </c>
      <c r="K2557" t="s">
        <v>234</v>
      </c>
      <c r="L2557" t="s">
        <v>235</v>
      </c>
      <c r="M2557" t="s">
        <v>236</v>
      </c>
      <c r="N2557" t="s">
        <v>237</v>
      </c>
      <c r="O2557" s="27">
        <v>46064</v>
      </c>
    </row>
    <row r="2558" spans="2:15" hidden="1" x14ac:dyDescent="0.3">
      <c r="B2558">
        <v>3065087</v>
      </c>
      <c r="C2558" t="s">
        <v>231</v>
      </c>
      <c r="D2558">
        <v>22674</v>
      </c>
      <c r="E2558" t="s">
        <v>150</v>
      </c>
      <c r="F2558" t="s">
        <v>340</v>
      </c>
      <c r="G2558" s="28">
        <v>3</v>
      </c>
      <c r="H2558" s="32">
        <v>0.95</v>
      </c>
      <c r="I2558" s="32">
        <v>176.85</v>
      </c>
      <c r="J2558" t="s">
        <v>330</v>
      </c>
      <c r="K2558" t="s">
        <v>234</v>
      </c>
      <c r="L2558" t="s">
        <v>235</v>
      </c>
      <c r="M2558" t="s">
        <v>236</v>
      </c>
      <c r="N2558" t="s">
        <v>237</v>
      </c>
      <c r="O2558" s="27">
        <v>46064</v>
      </c>
    </row>
    <row r="2559" spans="2:15" hidden="1" x14ac:dyDescent="0.3">
      <c r="B2559">
        <v>4051319</v>
      </c>
      <c r="C2559" t="s">
        <v>231</v>
      </c>
      <c r="D2559">
        <v>22674</v>
      </c>
      <c r="E2559" t="s">
        <v>150</v>
      </c>
      <c r="F2559" t="s">
        <v>340</v>
      </c>
      <c r="G2559" s="28">
        <v>3</v>
      </c>
      <c r="H2559" s="32">
        <v>0.95</v>
      </c>
      <c r="I2559" s="32">
        <v>176.61</v>
      </c>
      <c r="J2559" t="s">
        <v>330</v>
      </c>
      <c r="K2559" t="s">
        <v>234</v>
      </c>
      <c r="L2559" t="s">
        <v>235</v>
      </c>
      <c r="M2559" t="s">
        <v>236</v>
      </c>
      <c r="N2559" t="s">
        <v>237</v>
      </c>
      <c r="O2559" s="27">
        <v>46065</v>
      </c>
    </row>
    <row r="2560" spans="2:15" hidden="1" x14ac:dyDescent="0.3">
      <c r="B2560">
        <v>15255517</v>
      </c>
      <c r="C2560" t="s">
        <v>231</v>
      </c>
      <c r="D2560">
        <v>23648</v>
      </c>
      <c r="E2560" t="s">
        <v>150</v>
      </c>
      <c r="F2560" t="s">
        <v>277</v>
      </c>
      <c r="G2560" s="28">
        <v>4</v>
      </c>
      <c r="H2560" s="32">
        <v>0.95</v>
      </c>
      <c r="I2560" s="32">
        <v>145.13999999999999</v>
      </c>
      <c r="J2560" t="s">
        <v>239</v>
      </c>
      <c r="K2560" t="s">
        <v>245</v>
      </c>
      <c r="L2560" t="s">
        <v>235</v>
      </c>
      <c r="M2560" t="s">
        <v>236</v>
      </c>
      <c r="N2560" t="s">
        <v>237</v>
      </c>
      <c r="O2560" s="27">
        <v>46055</v>
      </c>
    </row>
    <row r="2561" spans="2:15" hidden="1" x14ac:dyDescent="0.3">
      <c r="B2561">
        <v>18533421</v>
      </c>
      <c r="C2561" t="s">
        <v>231</v>
      </c>
      <c r="D2561">
        <v>40901</v>
      </c>
      <c r="E2561" t="s">
        <v>150</v>
      </c>
      <c r="F2561" t="s">
        <v>271</v>
      </c>
      <c r="G2561" s="28">
        <v>4</v>
      </c>
      <c r="H2561" s="32">
        <v>0.95</v>
      </c>
      <c r="I2561" s="32">
        <v>70.62</v>
      </c>
      <c r="J2561" t="s">
        <v>239</v>
      </c>
      <c r="K2561" t="s">
        <v>245</v>
      </c>
      <c r="L2561" t="s">
        <v>235</v>
      </c>
      <c r="M2561" t="s">
        <v>236</v>
      </c>
      <c r="N2561" t="s">
        <v>237</v>
      </c>
      <c r="O2561" s="27">
        <v>46055</v>
      </c>
    </row>
    <row r="2562" spans="2:15" hidden="1" x14ac:dyDescent="0.3">
      <c r="B2562">
        <v>3255792</v>
      </c>
      <c r="C2562" t="s">
        <v>231</v>
      </c>
      <c r="D2562">
        <v>71881</v>
      </c>
      <c r="E2562" t="s">
        <v>150</v>
      </c>
      <c r="F2562" t="s">
        <v>271</v>
      </c>
      <c r="G2562" s="28">
        <v>4</v>
      </c>
      <c r="H2562" s="32">
        <v>0.95</v>
      </c>
      <c r="I2562" s="32">
        <v>70.62</v>
      </c>
      <c r="J2562" t="s">
        <v>239</v>
      </c>
      <c r="K2562" t="s">
        <v>245</v>
      </c>
      <c r="L2562" t="s">
        <v>235</v>
      </c>
      <c r="M2562" t="s">
        <v>236</v>
      </c>
      <c r="N2562" t="s">
        <v>237</v>
      </c>
      <c r="O2562" s="27">
        <v>46055</v>
      </c>
    </row>
    <row r="2563" spans="2:15" hidden="1" x14ac:dyDescent="0.3">
      <c r="B2563">
        <v>14690888</v>
      </c>
      <c r="C2563" t="s">
        <v>231</v>
      </c>
      <c r="D2563">
        <v>21468</v>
      </c>
      <c r="E2563" t="s">
        <v>150</v>
      </c>
      <c r="F2563" t="s">
        <v>164</v>
      </c>
      <c r="G2563" s="28">
        <v>2</v>
      </c>
      <c r="H2563" s="32">
        <v>0.95</v>
      </c>
      <c r="I2563" s="32">
        <v>91.66</v>
      </c>
      <c r="J2563" t="s">
        <v>239</v>
      </c>
      <c r="K2563" t="s">
        <v>245</v>
      </c>
      <c r="L2563" t="s">
        <v>235</v>
      </c>
      <c r="M2563" t="s">
        <v>236</v>
      </c>
      <c r="N2563" t="s">
        <v>240</v>
      </c>
      <c r="O2563" s="27">
        <v>46055</v>
      </c>
    </row>
    <row r="2564" spans="2:15" x14ac:dyDescent="0.3">
      <c r="B2564">
        <v>79379</v>
      </c>
      <c r="C2564" t="s">
        <v>260</v>
      </c>
      <c r="D2564">
        <v>22103</v>
      </c>
      <c r="E2564" t="s">
        <v>150</v>
      </c>
      <c r="F2564" t="s">
        <v>287</v>
      </c>
      <c r="G2564" s="28">
        <v>2</v>
      </c>
      <c r="H2564" s="32">
        <v>0.95</v>
      </c>
      <c r="I2564" s="32">
        <v>62.75</v>
      </c>
      <c r="J2564" t="s">
        <v>239</v>
      </c>
      <c r="K2564" t="s">
        <v>245</v>
      </c>
      <c r="L2564" t="s">
        <v>235</v>
      </c>
      <c r="M2564" t="s">
        <v>236</v>
      </c>
      <c r="N2564" t="s">
        <v>237</v>
      </c>
      <c r="O2564" s="27">
        <v>46063</v>
      </c>
    </row>
    <row r="2565" spans="2:15" hidden="1" x14ac:dyDescent="0.3">
      <c r="B2565">
        <v>6905571</v>
      </c>
      <c r="C2565" t="s">
        <v>260</v>
      </c>
      <c r="D2565">
        <v>38517</v>
      </c>
      <c r="E2565" t="s">
        <v>150</v>
      </c>
      <c r="F2565" t="s">
        <v>277</v>
      </c>
      <c r="G2565" s="28">
        <v>3</v>
      </c>
      <c r="H2565" s="32">
        <v>0.95</v>
      </c>
      <c r="I2565" s="32">
        <v>108.85</v>
      </c>
      <c r="J2565" t="s">
        <v>239</v>
      </c>
      <c r="K2565" t="s">
        <v>245</v>
      </c>
      <c r="L2565" t="s">
        <v>235</v>
      </c>
      <c r="M2565" t="s">
        <v>236</v>
      </c>
      <c r="N2565" t="s">
        <v>237</v>
      </c>
      <c r="O2565" s="27">
        <v>46055</v>
      </c>
    </row>
    <row r="2566" spans="2:15" hidden="1" x14ac:dyDescent="0.3">
      <c r="B2566">
        <v>74468</v>
      </c>
      <c r="C2566" t="s">
        <v>260</v>
      </c>
      <c r="D2566">
        <v>69519</v>
      </c>
      <c r="E2566" t="s">
        <v>150</v>
      </c>
      <c r="F2566" t="s">
        <v>319</v>
      </c>
      <c r="G2566" s="28">
        <v>5</v>
      </c>
      <c r="H2566" s="32">
        <v>0.95</v>
      </c>
      <c r="I2566" s="32">
        <v>201.75</v>
      </c>
      <c r="J2566" t="s">
        <v>239</v>
      </c>
      <c r="K2566" t="s">
        <v>245</v>
      </c>
      <c r="L2566" t="s">
        <v>235</v>
      </c>
      <c r="M2566" t="s">
        <v>236</v>
      </c>
      <c r="N2566" t="s">
        <v>240</v>
      </c>
      <c r="O2566" s="27">
        <v>46063</v>
      </c>
    </row>
    <row r="2567" spans="2:15" hidden="1" x14ac:dyDescent="0.3">
      <c r="B2567">
        <v>560966</v>
      </c>
      <c r="C2567" t="s">
        <v>231</v>
      </c>
      <c r="D2567">
        <v>21468</v>
      </c>
      <c r="E2567" t="s">
        <v>150</v>
      </c>
      <c r="F2567" t="s">
        <v>277</v>
      </c>
      <c r="G2567" s="28">
        <v>2</v>
      </c>
      <c r="H2567" s="32">
        <v>0.94</v>
      </c>
      <c r="I2567" s="32">
        <v>72.569999999999993</v>
      </c>
      <c r="J2567" t="s">
        <v>239</v>
      </c>
      <c r="K2567" t="s">
        <v>245</v>
      </c>
      <c r="L2567" t="s">
        <v>235</v>
      </c>
      <c r="M2567" t="s">
        <v>236</v>
      </c>
      <c r="N2567" t="s">
        <v>237</v>
      </c>
      <c r="O2567" s="27">
        <v>46055</v>
      </c>
    </row>
    <row r="2568" spans="2:15" hidden="1" x14ac:dyDescent="0.3">
      <c r="B2568">
        <v>3666312</v>
      </c>
      <c r="C2568" t="s">
        <v>231</v>
      </c>
      <c r="D2568">
        <v>21468</v>
      </c>
      <c r="E2568" t="s">
        <v>150</v>
      </c>
      <c r="F2568" t="s">
        <v>274</v>
      </c>
      <c r="G2568" s="28">
        <v>4</v>
      </c>
      <c r="H2568" s="32">
        <v>0.94</v>
      </c>
      <c r="I2568" s="32">
        <v>58.74</v>
      </c>
      <c r="J2568" t="s">
        <v>239</v>
      </c>
      <c r="K2568" t="s">
        <v>245</v>
      </c>
      <c r="L2568" t="s">
        <v>235</v>
      </c>
      <c r="M2568" t="s">
        <v>236</v>
      </c>
      <c r="N2568" t="s">
        <v>237</v>
      </c>
      <c r="O2568" s="27">
        <v>46055</v>
      </c>
    </row>
    <row r="2569" spans="2:15" hidden="1" x14ac:dyDescent="0.3">
      <c r="B2569">
        <v>4216928</v>
      </c>
      <c r="C2569" t="s">
        <v>231</v>
      </c>
      <c r="D2569">
        <v>69519</v>
      </c>
      <c r="E2569" t="s">
        <v>150</v>
      </c>
      <c r="F2569" t="s">
        <v>337</v>
      </c>
      <c r="G2569" s="28">
        <v>2</v>
      </c>
      <c r="H2569" s="32">
        <v>0.94</v>
      </c>
      <c r="I2569" s="32">
        <v>72.67</v>
      </c>
      <c r="J2569" t="s">
        <v>239</v>
      </c>
      <c r="K2569" t="s">
        <v>245</v>
      </c>
      <c r="L2569" t="s">
        <v>235</v>
      </c>
      <c r="M2569" t="s">
        <v>236</v>
      </c>
      <c r="N2569" t="s">
        <v>237</v>
      </c>
      <c r="O2569" s="27">
        <v>46063</v>
      </c>
    </row>
    <row r="2570" spans="2:15" hidden="1" x14ac:dyDescent="0.3">
      <c r="B2570">
        <v>3255792</v>
      </c>
      <c r="C2570" t="s">
        <v>231</v>
      </c>
      <c r="D2570">
        <v>71881</v>
      </c>
      <c r="E2570" t="s">
        <v>150</v>
      </c>
      <c r="F2570" t="s">
        <v>319</v>
      </c>
      <c r="G2570" s="28">
        <v>2</v>
      </c>
      <c r="H2570" s="32">
        <v>0.94</v>
      </c>
      <c r="I2570" s="32">
        <v>80.73</v>
      </c>
      <c r="J2570" t="s">
        <v>239</v>
      </c>
      <c r="K2570" t="s">
        <v>245</v>
      </c>
      <c r="L2570" t="s">
        <v>235</v>
      </c>
      <c r="M2570" t="s">
        <v>236</v>
      </c>
      <c r="N2570" t="s">
        <v>240</v>
      </c>
      <c r="O2570" s="27">
        <v>46063</v>
      </c>
    </row>
    <row r="2571" spans="2:15" hidden="1" x14ac:dyDescent="0.3">
      <c r="B2571">
        <v>17920388</v>
      </c>
      <c r="C2571" t="s">
        <v>231</v>
      </c>
      <c r="D2571">
        <v>40901</v>
      </c>
      <c r="E2571" t="s">
        <v>150</v>
      </c>
      <c r="F2571" t="s">
        <v>287</v>
      </c>
      <c r="G2571" s="28">
        <v>2</v>
      </c>
      <c r="H2571" s="32">
        <v>0.93</v>
      </c>
      <c r="I2571" s="32">
        <v>62.75</v>
      </c>
      <c r="J2571" t="s">
        <v>239</v>
      </c>
      <c r="K2571" t="s">
        <v>245</v>
      </c>
      <c r="L2571" t="s">
        <v>235</v>
      </c>
      <c r="M2571" t="s">
        <v>236</v>
      </c>
      <c r="N2571" t="s">
        <v>237</v>
      </c>
      <c r="O2571" s="27">
        <v>46063</v>
      </c>
    </row>
    <row r="2572" spans="2:15" hidden="1" x14ac:dyDescent="0.3">
      <c r="B2572">
        <v>4535206</v>
      </c>
      <c r="C2572" t="s">
        <v>231</v>
      </c>
      <c r="D2572">
        <v>68542</v>
      </c>
      <c r="E2572" t="s">
        <v>150</v>
      </c>
      <c r="F2572" t="s">
        <v>279</v>
      </c>
      <c r="G2572" s="28">
        <v>3</v>
      </c>
      <c r="H2572" s="32">
        <v>0.93</v>
      </c>
      <c r="I2572" s="32">
        <v>154.41999999999999</v>
      </c>
      <c r="J2572" t="s">
        <v>239</v>
      </c>
      <c r="K2572" t="s">
        <v>245</v>
      </c>
      <c r="L2572" t="s">
        <v>235</v>
      </c>
      <c r="M2572" t="s">
        <v>236</v>
      </c>
      <c r="N2572" t="s">
        <v>237</v>
      </c>
      <c r="O2572" s="27">
        <v>46055</v>
      </c>
    </row>
    <row r="2573" spans="2:15" hidden="1" x14ac:dyDescent="0.3">
      <c r="B2573">
        <v>3310896</v>
      </c>
      <c r="C2573" t="s">
        <v>260</v>
      </c>
      <c r="D2573">
        <v>21559</v>
      </c>
      <c r="E2573" t="s">
        <v>150</v>
      </c>
      <c r="F2573" t="s">
        <v>271</v>
      </c>
      <c r="G2573" s="28">
        <v>4</v>
      </c>
      <c r="H2573" s="32">
        <v>0.93</v>
      </c>
      <c r="I2573" s="32">
        <v>73.84</v>
      </c>
      <c r="J2573" t="s">
        <v>239</v>
      </c>
      <c r="K2573" t="s">
        <v>245</v>
      </c>
      <c r="L2573" t="s">
        <v>235</v>
      </c>
      <c r="M2573" t="s">
        <v>236</v>
      </c>
      <c r="N2573" t="s">
        <v>237</v>
      </c>
      <c r="O2573" s="27">
        <v>46063</v>
      </c>
    </row>
    <row r="2574" spans="2:15" hidden="1" x14ac:dyDescent="0.3">
      <c r="B2574">
        <v>74468</v>
      </c>
      <c r="C2574" t="s">
        <v>260</v>
      </c>
      <c r="D2574">
        <v>69519</v>
      </c>
      <c r="E2574" t="s">
        <v>150</v>
      </c>
      <c r="F2574" t="s">
        <v>337</v>
      </c>
      <c r="G2574" s="28">
        <v>5</v>
      </c>
      <c r="H2574" s="32">
        <v>0.93</v>
      </c>
      <c r="I2574" s="32">
        <v>181.52</v>
      </c>
      <c r="J2574" t="s">
        <v>239</v>
      </c>
      <c r="K2574" t="s">
        <v>245</v>
      </c>
      <c r="L2574" t="s">
        <v>235</v>
      </c>
      <c r="M2574" t="s">
        <v>236</v>
      </c>
      <c r="N2574" t="s">
        <v>237</v>
      </c>
      <c r="O2574" s="27">
        <v>46063</v>
      </c>
    </row>
    <row r="2575" spans="2:15" hidden="1" x14ac:dyDescent="0.3">
      <c r="B2575">
        <v>16469589</v>
      </c>
      <c r="C2575" t="s">
        <v>231</v>
      </c>
      <c r="D2575">
        <v>41072</v>
      </c>
      <c r="E2575" t="s">
        <v>150</v>
      </c>
      <c r="F2575" t="s">
        <v>340</v>
      </c>
      <c r="G2575" s="28">
        <v>3</v>
      </c>
      <c r="H2575" s="32">
        <v>0.92</v>
      </c>
      <c r="I2575" s="32">
        <v>181.5</v>
      </c>
      <c r="J2575" t="s">
        <v>330</v>
      </c>
      <c r="K2575" t="s">
        <v>234</v>
      </c>
      <c r="L2575" t="s">
        <v>235</v>
      </c>
      <c r="M2575" t="s">
        <v>236</v>
      </c>
      <c r="N2575" t="s">
        <v>237</v>
      </c>
      <c r="O2575" s="27">
        <v>46063</v>
      </c>
    </row>
    <row r="2576" spans="2:15" hidden="1" x14ac:dyDescent="0.3">
      <c r="B2576">
        <v>14690888</v>
      </c>
      <c r="C2576" t="s">
        <v>231</v>
      </c>
      <c r="D2576">
        <v>21468</v>
      </c>
      <c r="E2576" t="s">
        <v>150</v>
      </c>
      <c r="F2576" t="s">
        <v>271</v>
      </c>
      <c r="G2576" s="28">
        <v>5</v>
      </c>
      <c r="H2576" s="32">
        <v>0.92</v>
      </c>
      <c r="I2576" s="32">
        <v>88.28</v>
      </c>
      <c r="J2576" t="s">
        <v>239</v>
      </c>
      <c r="K2576" t="s">
        <v>245</v>
      </c>
      <c r="L2576" t="s">
        <v>235</v>
      </c>
      <c r="M2576" t="s">
        <v>236</v>
      </c>
      <c r="N2576" t="s">
        <v>237</v>
      </c>
      <c r="O2576" s="27">
        <v>46055</v>
      </c>
    </row>
    <row r="2577" spans="2:15" hidden="1" x14ac:dyDescent="0.3">
      <c r="B2577">
        <v>1579</v>
      </c>
      <c r="C2577" t="s">
        <v>231</v>
      </c>
      <c r="D2577">
        <v>21468</v>
      </c>
      <c r="E2577" t="s">
        <v>150</v>
      </c>
      <c r="F2577" t="s">
        <v>263</v>
      </c>
      <c r="G2577" s="28">
        <v>5</v>
      </c>
      <c r="H2577" s="32">
        <v>0.92</v>
      </c>
      <c r="I2577" s="32">
        <v>69.08</v>
      </c>
      <c r="J2577" t="s">
        <v>239</v>
      </c>
      <c r="K2577" t="s">
        <v>245</v>
      </c>
      <c r="L2577" t="s">
        <v>235</v>
      </c>
      <c r="M2577" t="s">
        <v>236</v>
      </c>
      <c r="N2577" t="s">
        <v>240</v>
      </c>
      <c r="O2577" s="27">
        <v>46055</v>
      </c>
    </row>
    <row r="2578" spans="2:15" hidden="1" x14ac:dyDescent="0.3">
      <c r="B2578">
        <v>6468519</v>
      </c>
      <c r="C2578" t="s">
        <v>231</v>
      </c>
      <c r="D2578">
        <v>72444</v>
      </c>
      <c r="E2578" t="s">
        <v>150</v>
      </c>
      <c r="F2578" t="s">
        <v>164</v>
      </c>
      <c r="G2578" s="28">
        <v>3</v>
      </c>
      <c r="H2578" s="32">
        <v>0.92</v>
      </c>
      <c r="I2578" s="32">
        <v>137.49</v>
      </c>
      <c r="J2578" t="s">
        <v>239</v>
      </c>
      <c r="K2578" t="s">
        <v>245</v>
      </c>
      <c r="L2578" t="s">
        <v>235</v>
      </c>
      <c r="M2578" t="s">
        <v>236</v>
      </c>
      <c r="N2578" t="s">
        <v>240</v>
      </c>
      <c r="O2578" s="27">
        <v>46055</v>
      </c>
    </row>
    <row r="2579" spans="2:15" hidden="1" x14ac:dyDescent="0.3">
      <c r="B2579">
        <v>2143207</v>
      </c>
      <c r="C2579" t="s">
        <v>231</v>
      </c>
      <c r="D2579">
        <v>21468</v>
      </c>
      <c r="E2579" t="s">
        <v>150</v>
      </c>
      <c r="F2579" t="s">
        <v>379</v>
      </c>
      <c r="G2579" s="28">
        <v>10</v>
      </c>
      <c r="H2579" s="32">
        <v>0.91</v>
      </c>
      <c r="I2579" s="32">
        <v>135</v>
      </c>
      <c r="J2579" t="s">
        <v>330</v>
      </c>
      <c r="K2579" t="s">
        <v>234</v>
      </c>
      <c r="L2579" t="s">
        <v>235</v>
      </c>
      <c r="M2579" t="s">
        <v>236</v>
      </c>
      <c r="N2579" t="s">
        <v>237</v>
      </c>
      <c r="O2579" s="27">
        <v>46057</v>
      </c>
    </row>
    <row r="2580" spans="2:15" hidden="1" x14ac:dyDescent="0.3">
      <c r="B2580">
        <v>4381878</v>
      </c>
      <c r="C2580" t="s">
        <v>231</v>
      </c>
      <c r="D2580">
        <v>74304</v>
      </c>
      <c r="E2580" t="s">
        <v>150</v>
      </c>
      <c r="F2580" t="s">
        <v>164</v>
      </c>
      <c r="G2580" s="28">
        <v>1</v>
      </c>
      <c r="H2580" s="32">
        <v>0.91</v>
      </c>
      <c r="I2580" s="32">
        <v>45.83</v>
      </c>
      <c r="J2580" t="s">
        <v>239</v>
      </c>
      <c r="K2580" t="s">
        <v>245</v>
      </c>
      <c r="L2580" t="s">
        <v>235</v>
      </c>
      <c r="M2580" t="s">
        <v>236</v>
      </c>
      <c r="N2580" t="s">
        <v>240</v>
      </c>
      <c r="O2580" s="27">
        <v>46055</v>
      </c>
    </row>
    <row r="2581" spans="2:15" hidden="1" x14ac:dyDescent="0.3">
      <c r="B2581">
        <v>4535206</v>
      </c>
      <c r="C2581" t="s">
        <v>231</v>
      </c>
      <c r="D2581">
        <v>68542</v>
      </c>
      <c r="E2581" t="s">
        <v>150</v>
      </c>
      <c r="F2581" t="s">
        <v>409</v>
      </c>
      <c r="G2581" s="28">
        <v>3</v>
      </c>
      <c r="H2581" s="32">
        <v>0.91</v>
      </c>
      <c r="I2581" s="32">
        <v>146.56</v>
      </c>
      <c r="J2581" t="s">
        <v>239</v>
      </c>
      <c r="K2581" t="s">
        <v>245</v>
      </c>
      <c r="L2581" t="s">
        <v>235</v>
      </c>
      <c r="M2581" t="s">
        <v>236</v>
      </c>
      <c r="N2581" t="s">
        <v>237</v>
      </c>
      <c r="O2581" s="27">
        <v>46055</v>
      </c>
    </row>
    <row r="2582" spans="2:15" hidden="1" x14ac:dyDescent="0.3">
      <c r="B2582">
        <v>284340</v>
      </c>
      <c r="C2582" t="s">
        <v>260</v>
      </c>
      <c r="D2582">
        <v>23410</v>
      </c>
      <c r="E2582" t="s">
        <v>150</v>
      </c>
      <c r="F2582" t="s">
        <v>160</v>
      </c>
      <c r="G2582" s="28">
        <v>1</v>
      </c>
      <c r="H2582" s="32">
        <v>0.91</v>
      </c>
      <c r="I2582" s="32">
        <v>84.85</v>
      </c>
      <c r="J2582" t="s">
        <v>239</v>
      </c>
      <c r="K2582" t="s">
        <v>245</v>
      </c>
      <c r="L2582" t="s">
        <v>235</v>
      </c>
      <c r="M2582" t="s">
        <v>236</v>
      </c>
      <c r="N2582" t="s">
        <v>237</v>
      </c>
      <c r="O2582" s="27">
        <v>46055</v>
      </c>
    </row>
    <row r="2583" spans="2:15" hidden="1" x14ac:dyDescent="0.3">
      <c r="B2583">
        <v>8668372</v>
      </c>
      <c r="C2583" t="s">
        <v>231</v>
      </c>
      <c r="D2583">
        <v>25619</v>
      </c>
      <c r="E2583" t="s">
        <v>150</v>
      </c>
      <c r="F2583" t="s">
        <v>164</v>
      </c>
      <c r="G2583" s="28">
        <v>2</v>
      </c>
      <c r="H2583" s="32">
        <v>0.9</v>
      </c>
      <c r="I2583" s="32">
        <v>91.66</v>
      </c>
      <c r="J2583" t="s">
        <v>239</v>
      </c>
      <c r="K2583" t="s">
        <v>245</v>
      </c>
      <c r="L2583" t="s">
        <v>235</v>
      </c>
      <c r="M2583" t="s">
        <v>236</v>
      </c>
      <c r="N2583" t="s">
        <v>240</v>
      </c>
      <c r="O2583" s="27">
        <v>46055</v>
      </c>
    </row>
    <row r="2584" spans="2:15" hidden="1" x14ac:dyDescent="0.3">
      <c r="B2584">
        <v>6468519</v>
      </c>
      <c r="C2584" t="s">
        <v>231</v>
      </c>
      <c r="D2584">
        <v>72444</v>
      </c>
      <c r="E2584" t="s">
        <v>150</v>
      </c>
      <c r="F2584" t="s">
        <v>411</v>
      </c>
      <c r="G2584" s="28">
        <v>21</v>
      </c>
      <c r="H2584" s="32">
        <v>0.9</v>
      </c>
      <c r="I2584" s="32">
        <v>135.66</v>
      </c>
      <c r="J2584" t="s">
        <v>239</v>
      </c>
      <c r="K2584" t="s">
        <v>245</v>
      </c>
      <c r="L2584" t="s">
        <v>235</v>
      </c>
      <c r="M2584" t="s">
        <v>236</v>
      </c>
      <c r="N2584" t="s">
        <v>240</v>
      </c>
      <c r="O2584" s="27">
        <v>46055</v>
      </c>
    </row>
    <row r="2585" spans="2:15" hidden="1" x14ac:dyDescent="0.3">
      <c r="B2585">
        <v>3255792</v>
      </c>
      <c r="C2585" t="s">
        <v>231</v>
      </c>
      <c r="D2585">
        <v>71881</v>
      </c>
      <c r="E2585" t="s">
        <v>150</v>
      </c>
      <c r="F2585" t="s">
        <v>337</v>
      </c>
      <c r="G2585" s="28">
        <v>2</v>
      </c>
      <c r="H2585" s="32">
        <v>0.9</v>
      </c>
      <c r="I2585" s="32">
        <v>72.66</v>
      </c>
      <c r="J2585" t="s">
        <v>239</v>
      </c>
      <c r="K2585" t="s">
        <v>245</v>
      </c>
      <c r="L2585" t="s">
        <v>235</v>
      </c>
      <c r="M2585" t="s">
        <v>236</v>
      </c>
      <c r="N2585" t="s">
        <v>237</v>
      </c>
      <c r="O2585" s="27">
        <v>46063</v>
      </c>
    </row>
    <row r="2586" spans="2:15" hidden="1" x14ac:dyDescent="0.3">
      <c r="B2586">
        <v>2973255</v>
      </c>
      <c r="C2586" t="s">
        <v>260</v>
      </c>
      <c r="D2586">
        <v>69519</v>
      </c>
      <c r="E2586" t="s">
        <v>150</v>
      </c>
      <c r="F2586" t="s">
        <v>426</v>
      </c>
      <c r="G2586" s="28">
        <v>10</v>
      </c>
      <c r="H2586" s="32">
        <v>0.9</v>
      </c>
      <c r="I2586" s="32">
        <v>825.83</v>
      </c>
      <c r="J2586" t="s">
        <v>267</v>
      </c>
      <c r="K2586" t="s">
        <v>245</v>
      </c>
      <c r="L2586" t="s">
        <v>235</v>
      </c>
      <c r="M2586" t="s">
        <v>236</v>
      </c>
      <c r="N2586" t="s">
        <v>240</v>
      </c>
      <c r="O2586" s="27">
        <v>46063</v>
      </c>
    </row>
    <row r="2587" spans="2:15" hidden="1" x14ac:dyDescent="0.3">
      <c r="B2587">
        <v>9673848</v>
      </c>
      <c r="C2587" t="s">
        <v>231</v>
      </c>
      <c r="D2587">
        <v>22674</v>
      </c>
      <c r="E2587" t="s">
        <v>150</v>
      </c>
      <c r="F2587" t="s">
        <v>337</v>
      </c>
      <c r="G2587" s="28">
        <v>2</v>
      </c>
      <c r="H2587" s="32">
        <v>0.89</v>
      </c>
      <c r="I2587" s="32">
        <v>72.66</v>
      </c>
      <c r="J2587" t="s">
        <v>239</v>
      </c>
      <c r="K2587" t="s">
        <v>245</v>
      </c>
      <c r="L2587" t="s">
        <v>235</v>
      </c>
      <c r="M2587" t="s">
        <v>236</v>
      </c>
      <c r="N2587" t="s">
        <v>237</v>
      </c>
      <c r="O2587" s="27">
        <v>46063</v>
      </c>
    </row>
    <row r="2588" spans="2:15" hidden="1" x14ac:dyDescent="0.3">
      <c r="B2588">
        <v>3496979</v>
      </c>
      <c r="C2588" t="s">
        <v>231</v>
      </c>
      <c r="D2588">
        <v>21468</v>
      </c>
      <c r="E2588" t="s">
        <v>150</v>
      </c>
      <c r="F2588" t="s">
        <v>271</v>
      </c>
      <c r="G2588" s="28">
        <v>3</v>
      </c>
      <c r="H2588" s="32">
        <v>0.88</v>
      </c>
      <c r="I2588" s="32">
        <v>52.97</v>
      </c>
      <c r="J2588" t="s">
        <v>239</v>
      </c>
      <c r="K2588" t="s">
        <v>245</v>
      </c>
      <c r="L2588" t="s">
        <v>235</v>
      </c>
      <c r="M2588" t="s">
        <v>236</v>
      </c>
      <c r="N2588" t="s">
        <v>237</v>
      </c>
      <c r="O2588" s="27">
        <v>46055</v>
      </c>
    </row>
    <row r="2589" spans="2:15" hidden="1" x14ac:dyDescent="0.3">
      <c r="B2589">
        <v>14690888</v>
      </c>
      <c r="C2589" t="s">
        <v>231</v>
      </c>
      <c r="D2589">
        <v>21468</v>
      </c>
      <c r="E2589" t="s">
        <v>150</v>
      </c>
      <c r="F2589" t="s">
        <v>160</v>
      </c>
      <c r="G2589" s="28">
        <v>1</v>
      </c>
      <c r="H2589" s="32">
        <v>0.88</v>
      </c>
      <c r="I2589" s="32">
        <v>84.85</v>
      </c>
      <c r="J2589" t="s">
        <v>239</v>
      </c>
      <c r="K2589" t="s">
        <v>245</v>
      </c>
      <c r="L2589" t="s">
        <v>235</v>
      </c>
      <c r="M2589" t="s">
        <v>236</v>
      </c>
      <c r="N2589" t="s">
        <v>240</v>
      </c>
      <c r="O2589" s="27">
        <v>46055</v>
      </c>
    </row>
    <row r="2590" spans="2:15" hidden="1" x14ac:dyDescent="0.3">
      <c r="B2590">
        <v>6468519</v>
      </c>
      <c r="C2590" t="s">
        <v>231</v>
      </c>
      <c r="D2590">
        <v>72444</v>
      </c>
      <c r="E2590" t="s">
        <v>150</v>
      </c>
      <c r="F2590" t="s">
        <v>307</v>
      </c>
      <c r="G2590" s="28">
        <v>27</v>
      </c>
      <c r="H2590" s="32">
        <v>0.87</v>
      </c>
      <c r="I2590" s="32">
        <v>130.74</v>
      </c>
      <c r="J2590" t="s">
        <v>239</v>
      </c>
      <c r="K2590" t="s">
        <v>245</v>
      </c>
      <c r="L2590" t="s">
        <v>235</v>
      </c>
      <c r="M2590" t="s">
        <v>236</v>
      </c>
      <c r="N2590" t="s">
        <v>240</v>
      </c>
      <c r="O2590" s="27">
        <v>46055</v>
      </c>
    </row>
    <row r="2591" spans="2:15" hidden="1" x14ac:dyDescent="0.3">
      <c r="B2591">
        <v>3413995</v>
      </c>
      <c r="C2591" t="s">
        <v>231</v>
      </c>
      <c r="D2591">
        <v>22674</v>
      </c>
      <c r="E2591" t="s">
        <v>150</v>
      </c>
      <c r="F2591" t="s">
        <v>287</v>
      </c>
      <c r="G2591" s="28">
        <v>2</v>
      </c>
      <c r="H2591" s="32">
        <v>0.86</v>
      </c>
      <c r="I2591" s="32">
        <v>62.42</v>
      </c>
      <c r="J2591" t="s">
        <v>239</v>
      </c>
      <c r="K2591" t="s">
        <v>245</v>
      </c>
      <c r="L2591" t="s">
        <v>235</v>
      </c>
      <c r="M2591" t="s">
        <v>236</v>
      </c>
      <c r="N2591" t="s">
        <v>237</v>
      </c>
      <c r="O2591" s="27">
        <v>46055</v>
      </c>
    </row>
    <row r="2592" spans="2:15" hidden="1" x14ac:dyDescent="0.3">
      <c r="B2592">
        <v>2041860</v>
      </c>
      <c r="C2592" t="s">
        <v>231</v>
      </c>
      <c r="D2592">
        <v>40901</v>
      </c>
      <c r="E2592" t="s">
        <v>150</v>
      </c>
      <c r="F2592" t="s">
        <v>321</v>
      </c>
      <c r="G2592" s="28">
        <v>1</v>
      </c>
      <c r="H2592" s="32">
        <v>0.86</v>
      </c>
      <c r="I2592" s="32">
        <v>118.18</v>
      </c>
      <c r="J2592" t="s">
        <v>267</v>
      </c>
      <c r="K2592" t="s">
        <v>245</v>
      </c>
      <c r="L2592" t="s">
        <v>235</v>
      </c>
      <c r="M2592" t="s">
        <v>236</v>
      </c>
      <c r="N2592" t="s">
        <v>240</v>
      </c>
      <c r="O2592" s="27">
        <v>46055</v>
      </c>
    </row>
    <row r="2593" spans="2:15" hidden="1" x14ac:dyDescent="0.3">
      <c r="B2593">
        <v>325473</v>
      </c>
      <c r="C2593" t="s">
        <v>231</v>
      </c>
      <c r="D2593">
        <v>22674</v>
      </c>
      <c r="E2593" t="s">
        <v>150</v>
      </c>
      <c r="F2593" t="s">
        <v>322</v>
      </c>
      <c r="G2593" s="28">
        <v>2</v>
      </c>
      <c r="H2593" s="32">
        <v>0.86</v>
      </c>
      <c r="I2593" s="32">
        <v>205.51</v>
      </c>
      <c r="J2593" t="s">
        <v>267</v>
      </c>
      <c r="K2593" t="s">
        <v>245</v>
      </c>
      <c r="L2593" t="s">
        <v>235</v>
      </c>
      <c r="M2593" t="s">
        <v>236</v>
      </c>
      <c r="N2593" t="s">
        <v>237</v>
      </c>
      <c r="O2593" s="27">
        <v>46056</v>
      </c>
    </row>
    <row r="2594" spans="2:15" hidden="1" x14ac:dyDescent="0.3">
      <c r="B2594">
        <v>14690888</v>
      </c>
      <c r="C2594" t="s">
        <v>231</v>
      </c>
      <c r="D2594">
        <v>21468</v>
      </c>
      <c r="E2594" t="s">
        <v>150</v>
      </c>
      <c r="F2594" t="s">
        <v>263</v>
      </c>
      <c r="G2594" s="28">
        <v>6</v>
      </c>
      <c r="H2594" s="32">
        <v>0.86</v>
      </c>
      <c r="I2594" s="32">
        <v>82.9</v>
      </c>
      <c r="J2594" t="s">
        <v>239</v>
      </c>
      <c r="K2594" t="s">
        <v>245</v>
      </c>
      <c r="L2594" t="s">
        <v>235</v>
      </c>
      <c r="M2594" t="s">
        <v>236</v>
      </c>
      <c r="N2594" t="s">
        <v>240</v>
      </c>
      <c r="O2594" s="27">
        <v>46055</v>
      </c>
    </row>
    <row r="2595" spans="2:15" hidden="1" x14ac:dyDescent="0.3">
      <c r="B2595">
        <v>6304689</v>
      </c>
      <c r="C2595" t="s">
        <v>231</v>
      </c>
      <c r="D2595">
        <v>25619</v>
      </c>
      <c r="E2595" t="s">
        <v>150</v>
      </c>
      <c r="F2595" t="s">
        <v>337</v>
      </c>
      <c r="G2595" s="28">
        <v>2</v>
      </c>
      <c r="H2595" s="32">
        <v>0.86</v>
      </c>
      <c r="I2595" s="32">
        <v>72.63</v>
      </c>
      <c r="J2595" t="s">
        <v>239</v>
      </c>
      <c r="K2595" t="s">
        <v>245</v>
      </c>
      <c r="L2595" t="s">
        <v>235</v>
      </c>
      <c r="M2595" t="s">
        <v>236</v>
      </c>
      <c r="N2595" t="s">
        <v>237</v>
      </c>
      <c r="O2595" s="27">
        <v>46063</v>
      </c>
    </row>
    <row r="2596" spans="2:15" hidden="1" x14ac:dyDescent="0.3">
      <c r="B2596">
        <v>4842372</v>
      </c>
      <c r="C2596" t="s">
        <v>260</v>
      </c>
      <c r="D2596">
        <v>23648</v>
      </c>
      <c r="E2596" t="s">
        <v>150</v>
      </c>
      <c r="F2596" t="s">
        <v>287</v>
      </c>
      <c r="G2596" s="28">
        <v>2</v>
      </c>
      <c r="H2596" s="32">
        <v>0.86</v>
      </c>
      <c r="I2596" s="32">
        <v>62.42</v>
      </c>
      <c r="J2596" t="s">
        <v>239</v>
      </c>
      <c r="K2596" t="s">
        <v>245</v>
      </c>
      <c r="L2596" t="s">
        <v>235</v>
      </c>
      <c r="M2596" t="s">
        <v>236</v>
      </c>
      <c r="N2596" t="s">
        <v>237</v>
      </c>
      <c r="O2596" s="27">
        <v>46055</v>
      </c>
    </row>
    <row r="2597" spans="2:15" hidden="1" x14ac:dyDescent="0.3">
      <c r="B2597">
        <v>7768707</v>
      </c>
      <c r="C2597" t="s">
        <v>260</v>
      </c>
      <c r="D2597">
        <v>21559</v>
      </c>
      <c r="E2597" t="s">
        <v>150</v>
      </c>
      <c r="F2597" t="s">
        <v>337</v>
      </c>
      <c r="G2597" s="28">
        <v>2</v>
      </c>
      <c r="H2597" s="32">
        <v>0.86</v>
      </c>
      <c r="I2597" s="32">
        <v>72.63</v>
      </c>
      <c r="J2597" t="s">
        <v>239</v>
      </c>
      <c r="K2597" t="s">
        <v>245</v>
      </c>
      <c r="L2597" t="s">
        <v>235</v>
      </c>
      <c r="M2597" t="s">
        <v>236</v>
      </c>
      <c r="N2597" t="s">
        <v>237</v>
      </c>
      <c r="O2597" s="27">
        <v>46063</v>
      </c>
    </row>
    <row r="2598" spans="2:15" hidden="1" x14ac:dyDescent="0.3">
      <c r="B2598">
        <v>2411460</v>
      </c>
      <c r="C2598" t="s">
        <v>231</v>
      </c>
      <c r="D2598">
        <v>72444</v>
      </c>
      <c r="E2598" t="s">
        <v>150</v>
      </c>
      <c r="F2598" t="s">
        <v>337</v>
      </c>
      <c r="G2598" s="28">
        <v>3</v>
      </c>
      <c r="H2598" s="32">
        <v>0.85</v>
      </c>
      <c r="I2598" s="32">
        <v>110.25</v>
      </c>
      <c r="J2598" t="s">
        <v>239</v>
      </c>
      <c r="K2598" t="s">
        <v>245</v>
      </c>
      <c r="L2598" t="s">
        <v>235</v>
      </c>
      <c r="M2598" t="s">
        <v>236</v>
      </c>
      <c r="N2598" t="s">
        <v>237</v>
      </c>
      <c r="O2598" s="27">
        <v>46055</v>
      </c>
    </row>
    <row r="2599" spans="2:15" hidden="1" x14ac:dyDescent="0.3">
      <c r="B2599">
        <v>325473</v>
      </c>
      <c r="C2599" t="s">
        <v>231</v>
      </c>
      <c r="D2599">
        <v>22674</v>
      </c>
      <c r="E2599" t="s">
        <v>150</v>
      </c>
      <c r="F2599" t="s">
        <v>311</v>
      </c>
      <c r="G2599" s="28">
        <v>2</v>
      </c>
      <c r="H2599" s="32">
        <v>0.85</v>
      </c>
      <c r="I2599" s="32">
        <v>201.85</v>
      </c>
      <c r="J2599" t="s">
        <v>267</v>
      </c>
      <c r="K2599" t="s">
        <v>245</v>
      </c>
      <c r="L2599" t="s">
        <v>235</v>
      </c>
      <c r="M2599" t="s">
        <v>236</v>
      </c>
      <c r="N2599" t="s">
        <v>237</v>
      </c>
      <c r="O2599" s="27">
        <v>46056</v>
      </c>
    </row>
    <row r="2600" spans="2:15" hidden="1" x14ac:dyDescent="0.3">
      <c r="B2600">
        <v>3824485</v>
      </c>
      <c r="C2600" t="s">
        <v>260</v>
      </c>
      <c r="D2600">
        <v>69579</v>
      </c>
      <c r="E2600" t="s">
        <v>150</v>
      </c>
      <c r="F2600" t="s">
        <v>338</v>
      </c>
      <c r="G2600" s="28">
        <v>1</v>
      </c>
      <c r="H2600" s="32">
        <v>0.85</v>
      </c>
      <c r="I2600" s="32">
        <v>65.069999999999993</v>
      </c>
      <c r="J2600" t="s">
        <v>239</v>
      </c>
      <c r="K2600" t="s">
        <v>245</v>
      </c>
      <c r="L2600" t="s">
        <v>235</v>
      </c>
      <c r="M2600" t="s">
        <v>236</v>
      </c>
      <c r="N2600" t="s">
        <v>237</v>
      </c>
      <c r="O2600" s="27">
        <v>46072</v>
      </c>
    </row>
    <row r="2601" spans="2:15" hidden="1" x14ac:dyDescent="0.3">
      <c r="B2601">
        <v>5370675</v>
      </c>
      <c r="C2601" t="s">
        <v>260</v>
      </c>
      <c r="D2601">
        <v>71881</v>
      </c>
      <c r="E2601" t="s">
        <v>150</v>
      </c>
      <c r="F2601" t="s">
        <v>271</v>
      </c>
      <c r="G2601" s="28">
        <v>3</v>
      </c>
      <c r="H2601" s="32">
        <v>0.85</v>
      </c>
      <c r="I2601" s="32">
        <v>55.42</v>
      </c>
      <c r="J2601" t="s">
        <v>239</v>
      </c>
      <c r="K2601" t="s">
        <v>245</v>
      </c>
      <c r="L2601" t="s">
        <v>235</v>
      </c>
      <c r="M2601" t="s">
        <v>236</v>
      </c>
      <c r="N2601" t="s">
        <v>237</v>
      </c>
      <c r="O2601" s="27">
        <v>46063</v>
      </c>
    </row>
    <row r="2602" spans="2:15" hidden="1" x14ac:dyDescent="0.3">
      <c r="B2602">
        <v>3270381</v>
      </c>
      <c r="C2602" t="s">
        <v>260</v>
      </c>
      <c r="D2602">
        <v>21559</v>
      </c>
      <c r="E2602" t="s">
        <v>150</v>
      </c>
      <c r="F2602" t="s">
        <v>331</v>
      </c>
      <c r="G2602" s="28">
        <v>5</v>
      </c>
      <c r="H2602" s="32">
        <v>0.85</v>
      </c>
      <c r="I2602" s="32">
        <v>48.55</v>
      </c>
      <c r="J2602" t="s">
        <v>267</v>
      </c>
      <c r="K2602" t="s">
        <v>245</v>
      </c>
      <c r="L2602" t="s">
        <v>235</v>
      </c>
      <c r="M2602" t="s">
        <v>236</v>
      </c>
      <c r="N2602" t="s">
        <v>240</v>
      </c>
      <c r="O2602" s="27">
        <v>46057</v>
      </c>
    </row>
    <row r="2603" spans="2:15" hidden="1" x14ac:dyDescent="0.3">
      <c r="B2603">
        <v>12429967</v>
      </c>
      <c r="C2603" t="s">
        <v>260</v>
      </c>
      <c r="D2603">
        <v>21468</v>
      </c>
      <c r="E2603" t="s">
        <v>150</v>
      </c>
      <c r="F2603" t="s">
        <v>272</v>
      </c>
      <c r="G2603" s="28">
        <v>9</v>
      </c>
      <c r="H2603" s="32">
        <v>0.85</v>
      </c>
      <c r="I2603" s="32">
        <v>58.84</v>
      </c>
      <c r="J2603" t="s">
        <v>239</v>
      </c>
      <c r="K2603" t="s">
        <v>245</v>
      </c>
      <c r="L2603" t="s">
        <v>235</v>
      </c>
      <c r="M2603" t="s">
        <v>236</v>
      </c>
      <c r="N2603" t="s">
        <v>237</v>
      </c>
      <c r="O2603" s="27">
        <v>46055</v>
      </c>
    </row>
    <row r="2604" spans="2:15" hidden="1" x14ac:dyDescent="0.3">
      <c r="B2604">
        <v>3255792</v>
      </c>
      <c r="C2604" t="s">
        <v>231</v>
      </c>
      <c r="D2604">
        <v>71881</v>
      </c>
      <c r="E2604" t="s">
        <v>150</v>
      </c>
      <c r="F2604" t="s">
        <v>287</v>
      </c>
      <c r="G2604" s="28">
        <v>2</v>
      </c>
      <c r="H2604" s="32">
        <v>0.84</v>
      </c>
      <c r="I2604" s="32">
        <v>62.42</v>
      </c>
      <c r="J2604" t="s">
        <v>239</v>
      </c>
      <c r="K2604" t="s">
        <v>245</v>
      </c>
      <c r="L2604" t="s">
        <v>235</v>
      </c>
      <c r="M2604" t="s">
        <v>236</v>
      </c>
      <c r="N2604" t="s">
        <v>237</v>
      </c>
      <c r="O2604" s="27">
        <v>46055</v>
      </c>
    </row>
    <row r="2605" spans="2:15" hidden="1" x14ac:dyDescent="0.3">
      <c r="B2605">
        <v>6024970</v>
      </c>
      <c r="C2605" t="s">
        <v>260</v>
      </c>
      <c r="D2605">
        <v>72444</v>
      </c>
      <c r="E2605" t="s">
        <v>150</v>
      </c>
      <c r="F2605" t="s">
        <v>271</v>
      </c>
      <c r="G2605" s="28">
        <v>6</v>
      </c>
      <c r="H2605" s="32">
        <v>0.84</v>
      </c>
      <c r="I2605" s="32">
        <v>105.94</v>
      </c>
      <c r="J2605" t="s">
        <v>239</v>
      </c>
      <c r="K2605" t="s">
        <v>245</v>
      </c>
      <c r="L2605" t="s">
        <v>235</v>
      </c>
      <c r="M2605" t="s">
        <v>236</v>
      </c>
      <c r="N2605" t="s">
        <v>237</v>
      </c>
      <c r="O2605" s="27">
        <v>46055</v>
      </c>
    </row>
    <row r="2606" spans="2:15" hidden="1" x14ac:dyDescent="0.3">
      <c r="B2606">
        <v>6468519</v>
      </c>
      <c r="C2606" t="s">
        <v>231</v>
      </c>
      <c r="D2606">
        <v>72444</v>
      </c>
      <c r="E2606" t="s">
        <v>150</v>
      </c>
      <c r="F2606" t="s">
        <v>287</v>
      </c>
      <c r="G2606" s="28">
        <v>4</v>
      </c>
      <c r="H2606" s="32">
        <v>0.83</v>
      </c>
      <c r="I2606" s="32">
        <v>124.85</v>
      </c>
      <c r="J2606" t="s">
        <v>239</v>
      </c>
      <c r="K2606" t="s">
        <v>245</v>
      </c>
      <c r="L2606" t="s">
        <v>235</v>
      </c>
      <c r="M2606" t="s">
        <v>236</v>
      </c>
      <c r="N2606" t="s">
        <v>237</v>
      </c>
      <c r="O2606" s="27">
        <v>46055</v>
      </c>
    </row>
    <row r="2607" spans="2:15" hidden="1" x14ac:dyDescent="0.3">
      <c r="B2607">
        <v>2538267</v>
      </c>
      <c r="C2607" t="s">
        <v>231</v>
      </c>
      <c r="D2607">
        <v>69579</v>
      </c>
      <c r="E2607" t="s">
        <v>150</v>
      </c>
      <c r="F2607" t="s">
        <v>263</v>
      </c>
      <c r="G2607" s="28">
        <v>11</v>
      </c>
      <c r="H2607" s="32">
        <v>0.83</v>
      </c>
      <c r="I2607" s="32">
        <v>151.97999999999999</v>
      </c>
      <c r="J2607" t="s">
        <v>239</v>
      </c>
      <c r="K2607" t="s">
        <v>245</v>
      </c>
      <c r="L2607" t="s">
        <v>235</v>
      </c>
      <c r="M2607" t="s">
        <v>236</v>
      </c>
      <c r="N2607" t="s">
        <v>240</v>
      </c>
      <c r="O2607" s="27">
        <v>46055</v>
      </c>
    </row>
    <row r="2608" spans="2:15" hidden="1" x14ac:dyDescent="0.3">
      <c r="B2608">
        <v>4927477</v>
      </c>
      <c r="C2608" t="s">
        <v>231</v>
      </c>
      <c r="D2608">
        <v>21468</v>
      </c>
      <c r="E2608" t="s">
        <v>150</v>
      </c>
      <c r="F2608" t="s">
        <v>164</v>
      </c>
      <c r="G2608" s="28">
        <v>1</v>
      </c>
      <c r="H2608" s="32">
        <v>0.83</v>
      </c>
      <c r="I2608" s="32">
        <v>45.83</v>
      </c>
      <c r="J2608" t="s">
        <v>239</v>
      </c>
      <c r="K2608" t="s">
        <v>245</v>
      </c>
      <c r="L2608" t="s">
        <v>235</v>
      </c>
      <c r="M2608" t="s">
        <v>236</v>
      </c>
      <c r="N2608" t="s">
        <v>240</v>
      </c>
      <c r="O2608" s="27">
        <v>46055</v>
      </c>
    </row>
    <row r="2609" spans="2:15" hidden="1" x14ac:dyDescent="0.3">
      <c r="B2609">
        <v>325473</v>
      </c>
      <c r="C2609" t="s">
        <v>231</v>
      </c>
      <c r="D2609">
        <v>22674</v>
      </c>
      <c r="E2609" t="s">
        <v>150</v>
      </c>
      <c r="F2609" t="s">
        <v>310</v>
      </c>
      <c r="G2609" s="28">
        <v>2</v>
      </c>
      <c r="H2609" s="32">
        <v>0.83</v>
      </c>
      <c r="I2609" s="32">
        <v>197.77</v>
      </c>
      <c r="J2609" t="s">
        <v>267</v>
      </c>
      <c r="K2609" t="s">
        <v>245</v>
      </c>
      <c r="L2609" t="s">
        <v>235</v>
      </c>
      <c r="M2609" t="s">
        <v>236</v>
      </c>
      <c r="N2609" t="s">
        <v>240</v>
      </c>
      <c r="O2609" s="27">
        <v>46056</v>
      </c>
    </row>
    <row r="2610" spans="2:15" hidden="1" x14ac:dyDescent="0.3">
      <c r="B2610">
        <v>2051406</v>
      </c>
      <c r="C2610" t="s">
        <v>231</v>
      </c>
      <c r="D2610">
        <v>25104</v>
      </c>
      <c r="E2610" t="s">
        <v>150</v>
      </c>
      <c r="F2610" t="s">
        <v>337</v>
      </c>
      <c r="G2610" s="28">
        <v>2</v>
      </c>
      <c r="H2610" s="32">
        <v>0.83</v>
      </c>
      <c r="I2610" s="32">
        <v>73.5</v>
      </c>
      <c r="J2610" t="s">
        <v>239</v>
      </c>
      <c r="K2610" t="s">
        <v>245</v>
      </c>
      <c r="L2610" t="s">
        <v>235</v>
      </c>
      <c r="M2610" t="s">
        <v>236</v>
      </c>
      <c r="N2610" t="s">
        <v>237</v>
      </c>
      <c r="O2610" s="27">
        <v>46055</v>
      </c>
    </row>
    <row r="2611" spans="2:15" hidden="1" x14ac:dyDescent="0.3">
      <c r="B2611">
        <v>5555592</v>
      </c>
      <c r="C2611" t="s">
        <v>231</v>
      </c>
      <c r="D2611">
        <v>38517</v>
      </c>
      <c r="E2611" t="s">
        <v>150</v>
      </c>
      <c r="F2611" t="s">
        <v>160</v>
      </c>
      <c r="G2611" s="28">
        <v>1</v>
      </c>
      <c r="H2611" s="32">
        <v>0.83</v>
      </c>
      <c r="I2611" s="32">
        <v>84.85</v>
      </c>
      <c r="J2611" t="s">
        <v>239</v>
      </c>
      <c r="K2611" t="s">
        <v>245</v>
      </c>
      <c r="L2611" t="s">
        <v>235</v>
      </c>
      <c r="M2611" t="s">
        <v>236</v>
      </c>
      <c r="N2611" t="s">
        <v>240</v>
      </c>
      <c r="O2611" s="27">
        <v>46055</v>
      </c>
    </row>
    <row r="2612" spans="2:15" hidden="1" x14ac:dyDescent="0.3">
      <c r="B2612">
        <v>3684655</v>
      </c>
      <c r="C2612" t="s">
        <v>260</v>
      </c>
      <c r="D2612">
        <v>38517</v>
      </c>
      <c r="E2612" t="s">
        <v>150</v>
      </c>
      <c r="F2612" t="s">
        <v>271</v>
      </c>
      <c r="G2612" s="28">
        <v>4</v>
      </c>
      <c r="H2612" s="32">
        <v>0.83</v>
      </c>
      <c r="I2612" s="32">
        <v>73.81</v>
      </c>
      <c r="J2612" t="s">
        <v>239</v>
      </c>
      <c r="K2612" t="s">
        <v>245</v>
      </c>
      <c r="L2612" t="s">
        <v>235</v>
      </c>
      <c r="M2612" t="s">
        <v>236</v>
      </c>
      <c r="N2612" t="s">
        <v>240</v>
      </c>
      <c r="O2612" s="27">
        <v>46063</v>
      </c>
    </row>
    <row r="2613" spans="2:15" hidden="1" x14ac:dyDescent="0.3">
      <c r="B2613">
        <v>3914788</v>
      </c>
      <c r="C2613" t="s">
        <v>260</v>
      </c>
      <c r="D2613">
        <v>21468</v>
      </c>
      <c r="E2613" t="s">
        <v>150</v>
      </c>
      <c r="F2613" t="s">
        <v>337</v>
      </c>
      <c r="G2613" s="28">
        <v>2</v>
      </c>
      <c r="H2613" s="32">
        <v>0.83</v>
      </c>
      <c r="I2613" s="32">
        <v>72.63</v>
      </c>
      <c r="J2613" t="s">
        <v>239</v>
      </c>
      <c r="K2613" t="s">
        <v>245</v>
      </c>
      <c r="L2613" t="s">
        <v>235</v>
      </c>
      <c r="M2613" t="s">
        <v>236</v>
      </c>
      <c r="N2613" t="s">
        <v>237</v>
      </c>
      <c r="O2613" s="27">
        <v>46063</v>
      </c>
    </row>
    <row r="2614" spans="2:15" hidden="1" x14ac:dyDescent="0.3">
      <c r="B2614">
        <v>5362471</v>
      </c>
      <c r="C2614" t="s">
        <v>260</v>
      </c>
      <c r="D2614">
        <v>22674</v>
      </c>
      <c r="E2614" t="s">
        <v>150</v>
      </c>
      <c r="F2614" t="s">
        <v>337</v>
      </c>
      <c r="G2614" s="28">
        <v>2</v>
      </c>
      <c r="H2614" s="32">
        <v>0.83</v>
      </c>
      <c r="I2614" s="32">
        <v>72.63</v>
      </c>
      <c r="J2614" t="s">
        <v>239</v>
      </c>
      <c r="K2614" t="s">
        <v>245</v>
      </c>
      <c r="L2614" t="s">
        <v>235</v>
      </c>
      <c r="M2614" t="s">
        <v>236</v>
      </c>
      <c r="N2614" t="s">
        <v>237</v>
      </c>
      <c r="O2614" s="27">
        <v>46063</v>
      </c>
    </row>
    <row r="2615" spans="2:15" hidden="1" x14ac:dyDescent="0.3">
      <c r="B2615">
        <v>2987541</v>
      </c>
      <c r="C2615" t="s">
        <v>231</v>
      </c>
      <c r="D2615">
        <v>23648</v>
      </c>
      <c r="E2615" t="s">
        <v>150</v>
      </c>
      <c r="F2615" t="s">
        <v>271</v>
      </c>
      <c r="G2615" s="28">
        <v>4</v>
      </c>
      <c r="H2615" s="32">
        <v>0.82</v>
      </c>
      <c r="I2615" s="32">
        <v>73.81</v>
      </c>
      <c r="J2615" t="s">
        <v>239</v>
      </c>
      <c r="K2615" t="s">
        <v>245</v>
      </c>
      <c r="L2615" t="s">
        <v>235</v>
      </c>
      <c r="M2615" t="s">
        <v>236</v>
      </c>
      <c r="N2615" t="s">
        <v>240</v>
      </c>
      <c r="O2615" s="27">
        <v>46063</v>
      </c>
    </row>
    <row r="2616" spans="2:15" hidden="1" x14ac:dyDescent="0.3">
      <c r="B2616">
        <v>7296870</v>
      </c>
      <c r="C2616" t="s">
        <v>231</v>
      </c>
      <c r="D2616">
        <v>96553</v>
      </c>
      <c r="E2616" t="s">
        <v>150</v>
      </c>
      <c r="F2616" t="s">
        <v>271</v>
      </c>
      <c r="G2616" s="28">
        <v>3</v>
      </c>
      <c r="H2616" s="32">
        <v>0.82</v>
      </c>
      <c r="I2616" s="32">
        <v>52.96</v>
      </c>
      <c r="J2616" t="s">
        <v>239</v>
      </c>
      <c r="K2616" t="s">
        <v>245</v>
      </c>
      <c r="L2616" t="s">
        <v>235</v>
      </c>
      <c r="M2616" t="s">
        <v>236</v>
      </c>
      <c r="N2616" t="s">
        <v>237</v>
      </c>
      <c r="O2616" s="27">
        <v>46055</v>
      </c>
    </row>
    <row r="2617" spans="2:15" hidden="1" x14ac:dyDescent="0.3">
      <c r="B2617">
        <v>325473</v>
      </c>
      <c r="C2617" t="s">
        <v>231</v>
      </c>
      <c r="D2617">
        <v>22674</v>
      </c>
      <c r="E2617" t="s">
        <v>150</v>
      </c>
      <c r="F2617" t="s">
        <v>304</v>
      </c>
      <c r="G2617" s="28">
        <v>2</v>
      </c>
      <c r="H2617" s="32">
        <v>0.82</v>
      </c>
      <c r="I2617" s="32">
        <v>194.85</v>
      </c>
      <c r="J2617" t="s">
        <v>267</v>
      </c>
      <c r="K2617" t="s">
        <v>245</v>
      </c>
      <c r="L2617" t="s">
        <v>235</v>
      </c>
      <c r="M2617" t="s">
        <v>236</v>
      </c>
      <c r="N2617" t="s">
        <v>237</v>
      </c>
      <c r="O2617" s="27">
        <v>46056</v>
      </c>
    </row>
    <row r="2618" spans="2:15" hidden="1" x14ac:dyDescent="0.3">
      <c r="B2618">
        <v>2041860</v>
      </c>
      <c r="C2618" t="s">
        <v>231</v>
      </c>
      <c r="D2618">
        <v>40901</v>
      </c>
      <c r="E2618" t="s">
        <v>150</v>
      </c>
      <c r="F2618" t="s">
        <v>354</v>
      </c>
      <c r="G2618" s="28">
        <v>1</v>
      </c>
      <c r="H2618" s="32">
        <v>0.82</v>
      </c>
      <c r="I2618" s="32">
        <v>111.02</v>
      </c>
      <c r="J2618" t="s">
        <v>267</v>
      </c>
      <c r="K2618" t="s">
        <v>245</v>
      </c>
      <c r="L2618" t="s">
        <v>235</v>
      </c>
      <c r="M2618" t="s">
        <v>236</v>
      </c>
      <c r="N2618" t="s">
        <v>237</v>
      </c>
      <c r="O2618" s="27">
        <v>46055</v>
      </c>
    </row>
    <row r="2619" spans="2:15" hidden="1" x14ac:dyDescent="0.3">
      <c r="B2619">
        <v>74468</v>
      </c>
      <c r="C2619" t="s">
        <v>260</v>
      </c>
      <c r="D2619">
        <v>69519</v>
      </c>
      <c r="E2619" t="s">
        <v>150</v>
      </c>
      <c r="F2619" t="s">
        <v>304</v>
      </c>
      <c r="G2619" s="28">
        <v>5</v>
      </c>
      <c r="H2619" s="32">
        <v>0.82</v>
      </c>
      <c r="I2619" s="32">
        <v>478.37</v>
      </c>
      <c r="J2619" t="s">
        <v>267</v>
      </c>
      <c r="K2619" t="s">
        <v>245</v>
      </c>
      <c r="L2619" t="s">
        <v>235</v>
      </c>
      <c r="M2619" t="s">
        <v>236</v>
      </c>
      <c r="N2619" t="s">
        <v>237</v>
      </c>
      <c r="O2619" s="27">
        <v>46063</v>
      </c>
    </row>
    <row r="2620" spans="2:15" hidden="1" x14ac:dyDescent="0.3">
      <c r="B2620">
        <v>5599981</v>
      </c>
      <c r="C2620" t="s">
        <v>231</v>
      </c>
      <c r="D2620">
        <v>69493</v>
      </c>
      <c r="E2620" t="s">
        <v>150</v>
      </c>
      <c r="F2620" t="s">
        <v>271</v>
      </c>
      <c r="G2620" s="28">
        <v>4</v>
      </c>
      <c r="H2620" s="32">
        <v>0.81</v>
      </c>
      <c r="I2620" s="32">
        <v>73.81</v>
      </c>
      <c r="J2620" t="s">
        <v>239</v>
      </c>
      <c r="K2620" t="s">
        <v>245</v>
      </c>
      <c r="L2620" t="s">
        <v>235</v>
      </c>
      <c r="M2620" t="s">
        <v>236</v>
      </c>
      <c r="N2620" t="s">
        <v>240</v>
      </c>
      <c r="O2620" s="27">
        <v>46063</v>
      </c>
    </row>
    <row r="2621" spans="2:15" hidden="1" x14ac:dyDescent="0.3">
      <c r="B2621">
        <v>14690888</v>
      </c>
      <c r="C2621" t="s">
        <v>231</v>
      </c>
      <c r="D2621">
        <v>21468</v>
      </c>
      <c r="E2621" t="s">
        <v>150</v>
      </c>
      <c r="F2621" t="s">
        <v>272</v>
      </c>
      <c r="G2621" s="28">
        <v>12</v>
      </c>
      <c r="H2621" s="32">
        <v>0.81</v>
      </c>
      <c r="I2621" s="32">
        <v>78.459999999999994</v>
      </c>
      <c r="J2621" t="s">
        <v>239</v>
      </c>
      <c r="K2621" t="s">
        <v>245</v>
      </c>
      <c r="L2621" t="s">
        <v>235</v>
      </c>
      <c r="M2621" t="s">
        <v>236</v>
      </c>
      <c r="N2621" t="s">
        <v>237</v>
      </c>
      <c r="O2621" s="27">
        <v>46055</v>
      </c>
    </row>
    <row r="2622" spans="2:15" hidden="1" x14ac:dyDescent="0.3">
      <c r="B2622">
        <v>3270381</v>
      </c>
      <c r="C2622" t="s">
        <v>260</v>
      </c>
      <c r="D2622">
        <v>21559</v>
      </c>
      <c r="E2622" t="s">
        <v>150</v>
      </c>
      <c r="F2622" t="s">
        <v>295</v>
      </c>
      <c r="G2622" s="28">
        <v>1</v>
      </c>
      <c r="H2622" s="32">
        <v>0.81</v>
      </c>
      <c r="I2622" s="32">
        <v>97.09</v>
      </c>
      <c r="J2622" t="s">
        <v>267</v>
      </c>
      <c r="K2622" t="s">
        <v>245</v>
      </c>
      <c r="L2622" t="s">
        <v>235</v>
      </c>
      <c r="M2622" t="s">
        <v>236</v>
      </c>
      <c r="N2622" t="s">
        <v>237</v>
      </c>
      <c r="O2622" s="27">
        <v>46057</v>
      </c>
    </row>
    <row r="2623" spans="2:15" hidden="1" x14ac:dyDescent="0.3">
      <c r="B2623">
        <v>5979107</v>
      </c>
      <c r="C2623" t="s">
        <v>231</v>
      </c>
      <c r="D2623">
        <v>35984</v>
      </c>
      <c r="E2623" t="s">
        <v>150</v>
      </c>
      <c r="F2623" t="s">
        <v>285</v>
      </c>
      <c r="G2623" s="28">
        <v>1</v>
      </c>
      <c r="H2623" s="32">
        <v>0.8</v>
      </c>
      <c r="I2623" s="32">
        <v>60.86</v>
      </c>
      <c r="J2623" t="s">
        <v>239</v>
      </c>
      <c r="K2623" t="s">
        <v>245</v>
      </c>
      <c r="L2623" t="s">
        <v>235</v>
      </c>
      <c r="M2623" t="s">
        <v>236</v>
      </c>
      <c r="N2623" t="s">
        <v>240</v>
      </c>
      <c r="O2623" s="27">
        <v>46055</v>
      </c>
    </row>
    <row r="2624" spans="2:15" hidden="1" x14ac:dyDescent="0.3">
      <c r="B2624">
        <v>17920388</v>
      </c>
      <c r="C2624" t="s">
        <v>231</v>
      </c>
      <c r="D2624">
        <v>40901</v>
      </c>
      <c r="E2624" t="s">
        <v>150</v>
      </c>
      <c r="F2624" t="s">
        <v>271</v>
      </c>
      <c r="G2624" s="28">
        <v>2</v>
      </c>
      <c r="H2624" s="32">
        <v>0.8</v>
      </c>
      <c r="I2624" s="32">
        <v>36.92</v>
      </c>
      <c r="J2624" t="s">
        <v>239</v>
      </c>
      <c r="K2624" t="s">
        <v>245</v>
      </c>
      <c r="L2624" t="s">
        <v>235</v>
      </c>
      <c r="M2624" t="s">
        <v>236</v>
      </c>
      <c r="N2624" t="s">
        <v>237</v>
      </c>
      <c r="O2624" s="27">
        <v>46063</v>
      </c>
    </row>
    <row r="2625" spans="2:15" hidden="1" x14ac:dyDescent="0.3">
      <c r="B2625">
        <v>4686193</v>
      </c>
      <c r="C2625" t="s">
        <v>231</v>
      </c>
      <c r="D2625">
        <v>21468</v>
      </c>
      <c r="E2625" t="s">
        <v>150</v>
      </c>
      <c r="F2625" t="s">
        <v>271</v>
      </c>
      <c r="G2625" s="28">
        <v>4</v>
      </c>
      <c r="H2625" s="32">
        <v>0.8</v>
      </c>
      <c r="I2625" s="32">
        <v>73.819999999999993</v>
      </c>
      <c r="J2625" t="s">
        <v>239</v>
      </c>
      <c r="K2625" t="s">
        <v>245</v>
      </c>
      <c r="L2625" t="s">
        <v>235</v>
      </c>
      <c r="M2625" t="s">
        <v>236</v>
      </c>
      <c r="N2625" t="s">
        <v>240</v>
      </c>
      <c r="O2625" s="27">
        <v>46063</v>
      </c>
    </row>
    <row r="2626" spans="2:15" hidden="1" x14ac:dyDescent="0.3">
      <c r="B2626">
        <v>15112761</v>
      </c>
      <c r="C2626" t="s">
        <v>231</v>
      </c>
      <c r="D2626">
        <v>25619</v>
      </c>
      <c r="E2626" t="s">
        <v>150</v>
      </c>
      <c r="F2626" t="s">
        <v>160</v>
      </c>
      <c r="G2626" s="28">
        <v>1</v>
      </c>
      <c r="H2626" s="32">
        <v>0.8</v>
      </c>
      <c r="I2626" s="32">
        <v>84.85</v>
      </c>
      <c r="J2626" t="s">
        <v>239</v>
      </c>
      <c r="K2626" t="s">
        <v>245</v>
      </c>
      <c r="L2626" t="s">
        <v>235</v>
      </c>
      <c r="M2626" t="s">
        <v>236</v>
      </c>
      <c r="N2626" t="s">
        <v>237</v>
      </c>
      <c r="O2626" s="27">
        <v>46055</v>
      </c>
    </row>
    <row r="2627" spans="2:15" hidden="1" x14ac:dyDescent="0.3">
      <c r="B2627">
        <v>6905571</v>
      </c>
      <c r="C2627" t="s">
        <v>260</v>
      </c>
      <c r="D2627">
        <v>38517</v>
      </c>
      <c r="E2627" t="s">
        <v>150</v>
      </c>
      <c r="F2627" t="s">
        <v>164</v>
      </c>
      <c r="G2627" s="28">
        <v>2</v>
      </c>
      <c r="H2627" s="32">
        <v>0.8</v>
      </c>
      <c r="I2627" s="32">
        <v>91.66</v>
      </c>
      <c r="J2627" t="s">
        <v>239</v>
      </c>
      <c r="K2627" t="s">
        <v>245</v>
      </c>
      <c r="L2627" t="s">
        <v>235</v>
      </c>
      <c r="M2627" t="s">
        <v>236</v>
      </c>
      <c r="N2627" t="s">
        <v>240</v>
      </c>
      <c r="O2627" s="27">
        <v>46055</v>
      </c>
    </row>
    <row r="2628" spans="2:15" hidden="1" x14ac:dyDescent="0.3">
      <c r="B2628">
        <v>3306352</v>
      </c>
      <c r="C2628" t="s">
        <v>231</v>
      </c>
      <c r="D2628">
        <v>21468</v>
      </c>
      <c r="E2628" t="s">
        <v>150</v>
      </c>
      <c r="F2628" t="s">
        <v>163</v>
      </c>
      <c r="G2628" s="28">
        <v>3</v>
      </c>
      <c r="H2628" s="32">
        <v>0.79</v>
      </c>
      <c r="I2628" s="32">
        <v>39.520000000000003</v>
      </c>
      <c r="J2628" t="s">
        <v>239</v>
      </c>
      <c r="K2628" t="s">
        <v>245</v>
      </c>
      <c r="L2628" t="s">
        <v>235</v>
      </c>
      <c r="M2628" t="s">
        <v>236</v>
      </c>
      <c r="N2628" t="s">
        <v>237</v>
      </c>
      <c r="O2628" s="27">
        <v>46055</v>
      </c>
    </row>
    <row r="2629" spans="2:15" hidden="1" x14ac:dyDescent="0.3">
      <c r="B2629">
        <v>4381878</v>
      </c>
      <c r="C2629" t="s">
        <v>231</v>
      </c>
      <c r="D2629">
        <v>74304</v>
      </c>
      <c r="E2629" t="s">
        <v>150</v>
      </c>
      <c r="F2629" t="s">
        <v>163</v>
      </c>
      <c r="G2629" s="28">
        <v>3</v>
      </c>
      <c r="H2629" s="32">
        <v>0.79</v>
      </c>
      <c r="I2629" s="32">
        <v>39.520000000000003</v>
      </c>
      <c r="J2629" t="s">
        <v>239</v>
      </c>
      <c r="K2629" t="s">
        <v>245</v>
      </c>
      <c r="L2629" t="s">
        <v>235</v>
      </c>
      <c r="M2629" t="s">
        <v>236</v>
      </c>
      <c r="N2629" t="s">
        <v>237</v>
      </c>
      <c r="O2629" s="27">
        <v>46055</v>
      </c>
    </row>
    <row r="2630" spans="2:15" hidden="1" x14ac:dyDescent="0.3">
      <c r="B2630">
        <v>2340782</v>
      </c>
      <c r="C2630" t="s">
        <v>231</v>
      </c>
      <c r="D2630">
        <v>49894</v>
      </c>
      <c r="E2630" t="s">
        <v>150</v>
      </c>
      <c r="F2630" t="s">
        <v>271</v>
      </c>
      <c r="G2630" s="28">
        <v>4</v>
      </c>
      <c r="H2630" s="32">
        <v>0.79</v>
      </c>
      <c r="I2630" s="32">
        <v>73.81</v>
      </c>
      <c r="J2630" t="s">
        <v>239</v>
      </c>
      <c r="K2630" t="s">
        <v>245</v>
      </c>
      <c r="L2630" t="s">
        <v>235</v>
      </c>
      <c r="M2630" t="s">
        <v>236</v>
      </c>
      <c r="N2630" t="s">
        <v>240</v>
      </c>
      <c r="O2630" s="27">
        <v>46063</v>
      </c>
    </row>
    <row r="2631" spans="2:15" x14ac:dyDescent="0.3">
      <c r="B2631">
        <v>8907980</v>
      </c>
      <c r="C2631" t="s">
        <v>231</v>
      </c>
      <c r="D2631">
        <v>22103</v>
      </c>
      <c r="E2631" t="s">
        <v>150</v>
      </c>
      <c r="F2631" t="s">
        <v>164</v>
      </c>
      <c r="G2631" s="28">
        <v>1</v>
      </c>
      <c r="H2631" s="32">
        <v>0.79</v>
      </c>
      <c r="I2631" s="32">
        <v>45.83</v>
      </c>
      <c r="J2631" t="s">
        <v>239</v>
      </c>
      <c r="K2631" t="s">
        <v>245</v>
      </c>
      <c r="L2631" t="s">
        <v>235</v>
      </c>
      <c r="M2631" t="s">
        <v>236</v>
      </c>
      <c r="N2631" t="s">
        <v>240</v>
      </c>
      <c r="O2631" s="27">
        <v>46055</v>
      </c>
    </row>
    <row r="2632" spans="2:15" hidden="1" x14ac:dyDescent="0.3">
      <c r="B2632">
        <v>284340</v>
      </c>
      <c r="C2632" t="s">
        <v>260</v>
      </c>
      <c r="D2632">
        <v>23410</v>
      </c>
      <c r="E2632" t="s">
        <v>150</v>
      </c>
      <c r="F2632" t="s">
        <v>246</v>
      </c>
      <c r="G2632" s="28">
        <v>2</v>
      </c>
      <c r="H2632" s="32">
        <v>0.79</v>
      </c>
      <c r="I2632" s="32">
        <v>73.88</v>
      </c>
      <c r="J2632" t="s">
        <v>239</v>
      </c>
      <c r="K2632" t="s">
        <v>245</v>
      </c>
      <c r="L2632" t="s">
        <v>235</v>
      </c>
      <c r="M2632" t="s">
        <v>236</v>
      </c>
      <c r="N2632" t="s">
        <v>240</v>
      </c>
      <c r="O2632" s="27">
        <v>46055</v>
      </c>
    </row>
    <row r="2633" spans="2:15" hidden="1" x14ac:dyDescent="0.3">
      <c r="B2633">
        <v>2041860</v>
      </c>
      <c r="C2633" t="s">
        <v>231</v>
      </c>
      <c r="D2633">
        <v>40901</v>
      </c>
      <c r="E2633" t="s">
        <v>150</v>
      </c>
      <c r="F2633" t="s">
        <v>322</v>
      </c>
      <c r="G2633" s="28">
        <v>1</v>
      </c>
      <c r="H2633" s="32">
        <v>0.78</v>
      </c>
      <c r="I2633" s="32">
        <v>102.59</v>
      </c>
      <c r="J2633" t="s">
        <v>267</v>
      </c>
      <c r="K2633" t="s">
        <v>245</v>
      </c>
      <c r="L2633" t="s">
        <v>235</v>
      </c>
      <c r="M2633" t="s">
        <v>236</v>
      </c>
      <c r="N2633" t="s">
        <v>240</v>
      </c>
      <c r="O2633" s="27">
        <v>46055</v>
      </c>
    </row>
    <row r="2634" spans="2:15" hidden="1" x14ac:dyDescent="0.3">
      <c r="B2634">
        <v>7372714</v>
      </c>
      <c r="C2634" t="s">
        <v>231</v>
      </c>
      <c r="D2634">
        <v>22674</v>
      </c>
      <c r="E2634" t="s">
        <v>150</v>
      </c>
      <c r="F2634" t="s">
        <v>271</v>
      </c>
      <c r="G2634" s="28">
        <v>4</v>
      </c>
      <c r="H2634" s="32">
        <v>0.78</v>
      </c>
      <c r="I2634" s="32">
        <v>73.84</v>
      </c>
      <c r="J2634" t="s">
        <v>239</v>
      </c>
      <c r="K2634" t="s">
        <v>245</v>
      </c>
      <c r="L2634" t="s">
        <v>235</v>
      </c>
      <c r="M2634" t="s">
        <v>236</v>
      </c>
      <c r="N2634" t="s">
        <v>237</v>
      </c>
      <c r="O2634" s="27">
        <v>46063</v>
      </c>
    </row>
    <row r="2635" spans="2:15" hidden="1" x14ac:dyDescent="0.3">
      <c r="B2635">
        <v>3321439</v>
      </c>
      <c r="C2635" t="s">
        <v>231</v>
      </c>
      <c r="D2635">
        <v>22674</v>
      </c>
      <c r="E2635" t="s">
        <v>150</v>
      </c>
      <c r="F2635" t="s">
        <v>274</v>
      </c>
      <c r="G2635" s="28">
        <v>3</v>
      </c>
      <c r="H2635" s="32">
        <v>0.78</v>
      </c>
      <c r="I2635" s="32">
        <v>44.06</v>
      </c>
      <c r="J2635" t="s">
        <v>239</v>
      </c>
      <c r="K2635" t="s">
        <v>245</v>
      </c>
      <c r="L2635" t="s">
        <v>235</v>
      </c>
      <c r="M2635" t="s">
        <v>236</v>
      </c>
      <c r="N2635" t="s">
        <v>237</v>
      </c>
      <c r="O2635" s="27">
        <v>46055</v>
      </c>
    </row>
    <row r="2636" spans="2:15" hidden="1" x14ac:dyDescent="0.3">
      <c r="B2636">
        <v>2051406</v>
      </c>
      <c r="C2636" t="s">
        <v>231</v>
      </c>
      <c r="D2636">
        <v>25104</v>
      </c>
      <c r="E2636" t="s">
        <v>150</v>
      </c>
      <c r="F2636" t="s">
        <v>263</v>
      </c>
      <c r="G2636" s="28">
        <v>5</v>
      </c>
      <c r="H2636" s="32">
        <v>0.78</v>
      </c>
      <c r="I2636" s="32">
        <v>69.08</v>
      </c>
      <c r="J2636" t="s">
        <v>239</v>
      </c>
      <c r="K2636" t="s">
        <v>245</v>
      </c>
      <c r="L2636" t="s">
        <v>235</v>
      </c>
      <c r="M2636" t="s">
        <v>236</v>
      </c>
      <c r="N2636" t="s">
        <v>240</v>
      </c>
      <c r="O2636" s="27">
        <v>46055</v>
      </c>
    </row>
    <row r="2637" spans="2:15" hidden="1" x14ac:dyDescent="0.3">
      <c r="B2637">
        <v>1579</v>
      </c>
      <c r="C2637" t="s">
        <v>231</v>
      </c>
      <c r="D2637">
        <v>21468</v>
      </c>
      <c r="E2637" t="s">
        <v>150</v>
      </c>
      <c r="F2637" t="s">
        <v>272</v>
      </c>
      <c r="G2637" s="28">
        <v>9</v>
      </c>
      <c r="H2637" s="32">
        <v>0.78</v>
      </c>
      <c r="I2637" s="32">
        <v>58.84</v>
      </c>
      <c r="J2637" t="s">
        <v>239</v>
      </c>
      <c r="K2637" t="s">
        <v>245</v>
      </c>
      <c r="L2637" t="s">
        <v>235</v>
      </c>
      <c r="M2637" t="s">
        <v>236</v>
      </c>
      <c r="N2637" t="s">
        <v>237</v>
      </c>
      <c r="O2637" s="27">
        <v>46055</v>
      </c>
    </row>
    <row r="2638" spans="2:15" hidden="1" x14ac:dyDescent="0.3">
      <c r="B2638">
        <v>15389148</v>
      </c>
      <c r="C2638" t="s">
        <v>260</v>
      </c>
      <c r="D2638">
        <v>40901</v>
      </c>
      <c r="E2638" t="s">
        <v>150</v>
      </c>
      <c r="F2638" t="s">
        <v>164</v>
      </c>
      <c r="G2638" s="28">
        <v>1</v>
      </c>
      <c r="H2638" s="32">
        <v>0.78</v>
      </c>
      <c r="I2638" s="32">
        <v>45.83</v>
      </c>
      <c r="J2638" t="s">
        <v>239</v>
      </c>
      <c r="K2638" t="s">
        <v>245</v>
      </c>
      <c r="L2638" t="s">
        <v>235</v>
      </c>
      <c r="M2638" t="s">
        <v>236</v>
      </c>
      <c r="N2638" t="s">
        <v>240</v>
      </c>
      <c r="O2638" s="27">
        <v>46055</v>
      </c>
    </row>
    <row r="2639" spans="2:15" hidden="1" x14ac:dyDescent="0.3">
      <c r="B2639">
        <v>3270381</v>
      </c>
      <c r="C2639" t="s">
        <v>260</v>
      </c>
      <c r="D2639">
        <v>21559</v>
      </c>
      <c r="E2639" t="s">
        <v>150</v>
      </c>
      <c r="F2639" t="s">
        <v>164</v>
      </c>
      <c r="G2639" s="28">
        <v>1</v>
      </c>
      <c r="H2639" s="32">
        <v>0.78</v>
      </c>
      <c r="I2639" s="32">
        <v>45.83</v>
      </c>
      <c r="J2639" t="s">
        <v>239</v>
      </c>
      <c r="K2639" t="s">
        <v>245</v>
      </c>
      <c r="L2639" t="s">
        <v>235</v>
      </c>
      <c r="M2639" t="s">
        <v>236</v>
      </c>
      <c r="N2639" t="s">
        <v>240</v>
      </c>
      <c r="O2639" s="27">
        <v>46055</v>
      </c>
    </row>
    <row r="2640" spans="2:15" hidden="1" x14ac:dyDescent="0.3">
      <c r="B2640">
        <v>3310896</v>
      </c>
      <c r="C2640" t="s">
        <v>260</v>
      </c>
      <c r="D2640">
        <v>21559</v>
      </c>
      <c r="E2640" t="s">
        <v>150</v>
      </c>
      <c r="F2640" t="s">
        <v>164</v>
      </c>
      <c r="G2640" s="28">
        <v>2</v>
      </c>
      <c r="H2640" s="32">
        <v>0.78</v>
      </c>
      <c r="I2640" s="32">
        <v>97.22</v>
      </c>
      <c r="J2640" t="s">
        <v>239</v>
      </c>
      <c r="K2640" t="s">
        <v>245</v>
      </c>
      <c r="L2640" t="s">
        <v>235</v>
      </c>
      <c r="M2640" t="s">
        <v>236</v>
      </c>
      <c r="N2640" t="s">
        <v>240</v>
      </c>
      <c r="O2640" s="27">
        <v>46063</v>
      </c>
    </row>
    <row r="2641" spans="2:15" hidden="1" x14ac:dyDescent="0.3">
      <c r="B2641">
        <v>5979107</v>
      </c>
      <c r="C2641" t="s">
        <v>231</v>
      </c>
      <c r="D2641">
        <v>35984</v>
      </c>
      <c r="E2641" t="s">
        <v>150</v>
      </c>
      <c r="F2641" t="s">
        <v>162</v>
      </c>
      <c r="G2641" s="28">
        <v>1</v>
      </c>
      <c r="H2641" s="32">
        <v>0.77</v>
      </c>
      <c r="I2641" s="32">
        <v>55.65</v>
      </c>
      <c r="J2641" t="s">
        <v>239</v>
      </c>
      <c r="K2641" t="s">
        <v>245</v>
      </c>
      <c r="L2641" t="s">
        <v>235</v>
      </c>
      <c r="M2641" t="s">
        <v>236</v>
      </c>
      <c r="N2641" t="s">
        <v>237</v>
      </c>
      <c r="O2641" s="27">
        <v>46055</v>
      </c>
    </row>
    <row r="2642" spans="2:15" hidden="1" x14ac:dyDescent="0.3">
      <c r="B2642">
        <v>5934364</v>
      </c>
      <c r="C2642" t="s">
        <v>231</v>
      </c>
      <c r="D2642">
        <v>72444</v>
      </c>
      <c r="E2642" t="s">
        <v>150</v>
      </c>
      <c r="F2642" t="s">
        <v>163</v>
      </c>
      <c r="G2642" s="28">
        <v>3</v>
      </c>
      <c r="H2642" s="32">
        <v>0.77</v>
      </c>
      <c r="I2642" s="32">
        <v>39.520000000000003</v>
      </c>
      <c r="J2642" t="s">
        <v>239</v>
      </c>
      <c r="K2642" t="s">
        <v>245</v>
      </c>
      <c r="L2642" t="s">
        <v>235</v>
      </c>
      <c r="M2642" t="s">
        <v>236</v>
      </c>
      <c r="N2642" t="s">
        <v>237</v>
      </c>
      <c r="O2642" s="27">
        <v>46055</v>
      </c>
    </row>
    <row r="2643" spans="2:15" hidden="1" x14ac:dyDescent="0.3">
      <c r="B2643">
        <v>11493548</v>
      </c>
      <c r="C2643" t="s">
        <v>231</v>
      </c>
      <c r="D2643">
        <v>38517</v>
      </c>
      <c r="E2643" t="s">
        <v>150</v>
      </c>
      <c r="F2643" t="s">
        <v>271</v>
      </c>
      <c r="G2643" s="28">
        <v>4</v>
      </c>
      <c r="H2643" s="32">
        <v>0.77</v>
      </c>
      <c r="I2643" s="32">
        <v>73.81</v>
      </c>
      <c r="J2643" t="s">
        <v>239</v>
      </c>
      <c r="K2643" t="s">
        <v>245</v>
      </c>
      <c r="L2643" t="s">
        <v>235</v>
      </c>
      <c r="M2643" t="s">
        <v>236</v>
      </c>
      <c r="N2643" t="s">
        <v>240</v>
      </c>
      <c r="O2643" s="27">
        <v>46063</v>
      </c>
    </row>
    <row r="2644" spans="2:15" hidden="1" x14ac:dyDescent="0.3">
      <c r="B2644">
        <v>9303108</v>
      </c>
      <c r="C2644" t="s">
        <v>260</v>
      </c>
      <c r="D2644">
        <v>69493</v>
      </c>
      <c r="E2644" t="s">
        <v>150</v>
      </c>
      <c r="F2644" t="s">
        <v>413</v>
      </c>
      <c r="G2644" s="28">
        <v>1</v>
      </c>
      <c r="H2644" s="32">
        <v>0.77</v>
      </c>
      <c r="I2644" s="32">
        <v>161.35</v>
      </c>
      <c r="J2644" t="s">
        <v>267</v>
      </c>
      <c r="K2644" t="s">
        <v>245</v>
      </c>
      <c r="L2644" t="s">
        <v>235</v>
      </c>
      <c r="M2644" t="s">
        <v>236</v>
      </c>
      <c r="N2644" t="s">
        <v>240</v>
      </c>
      <c r="O2644" s="27">
        <v>46057</v>
      </c>
    </row>
    <row r="2645" spans="2:15" hidden="1" x14ac:dyDescent="0.3">
      <c r="B2645">
        <v>3496979</v>
      </c>
      <c r="C2645" t="s">
        <v>231</v>
      </c>
      <c r="D2645">
        <v>21468</v>
      </c>
      <c r="E2645" t="s">
        <v>150</v>
      </c>
      <c r="F2645" t="s">
        <v>164</v>
      </c>
      <c r="G2645" s="28">
        <v>1</v>
      </c>
      <c r="H2645" s="32">
        <v>0.76</v>
      </c>
      <c r="I2645" s="32">
        <v>45.83</v>
      </c>
      <c r="J2645" t="s">
        <v>239</v>
      </c>
      <c r="K2645" t="s">
        <v>245</v>
      </c>
      <c r="L2645" t="s">
        <v>235</v>
      </c>
      <c r="M2645" t="s">
        <v>236</v>
      </c>
      <c r="N2645" t="s">
        <v>240</v>
      </c>
      <c r="O2645" s="27">
        <v>46055</v>
      </c>
    </row>
    <row r="2646" spans="2:15" hidden="1" x14ac:dyDescent="0.3">
      <c r="B2646">
        <v>2603913</v>
      </c>
      <c r="C2646" t="s">
        <v>231</v>
      </c>
      <c r="D2646">
        <v>69519</v>
      </c>
      <c r="E2646" t="s">
        <v>150</v>
      </c>
      <c r="F2646" t="s">
        <v>295</v>
      </c>
      <c r="G2646" s="28">
        <v>1</v>
      </c>
      <c r="H2646" s="32">
        <v>0.76</v>
      </c>
      <c r="I2646" s="32">
        <v>96.68</v>
      </c>
      <c r="J2646" t="s">
        <v>267</v>
      </c>
      <c r="K2646" t="s">
        <v>245</v>
      </c>
      <c r="L2646" t="s">
        <v>235</v>
      </c>
      <c r="M2646" t="s">
        <v>236</v>
      </c>
      <c r="N2646" t="s">
        <v>237</v>
      </c>
      <c r="O2646" s="27">
        <v>46063</v>
      </c>
    </row>
    <row r="2647" spans="2:15" hidden="1" x14ac:dyDescent="0.3">
      <c r="B2647">
        <v>4072213</v>
      </c>
      <c r="C2647" t="s">
        <v>231</v>
      </c>
      <c r="D2647">
        <v>22674</v>
      </c>
      <c r="E2647" t="s">
        <v>150</v>
      </c>
      <c r="F2647" t="s">
        <v>160</v>
      </c>
      <c r="G2647" s="28">
        <v>1</v>
      </c>
      <c r="H2647" s="32">
        <v>0.76</v>
      </c>
      <c r="I2647" s="32">
        <v>87.28</v>
      </c>
      <c r="J2647" t="s">
        <v>239</v>
      </c>
      <c r="K2647" t="s">
        <v>245</v>
      </c>
      <c r="L2647" t="s">
        <v>235</v>
      </c>
      <c r="M2647" t="s">
        <v>236</v>
      </c>
      <c r="N2647" t="s">
        <v>240</v>
      </c>
      <c r="O2647" s="27">
        <v>46063</v>
      </c>
    </row>
    <row r="2648" spans="2:15" hidden="1" x14ac:dyDescent="0.3">
      <c r="B2648">
        <v>2328302</v>
      </c>
      <c r="C2648" t="s">
        <v>231</v>
      </c>
      <c r="D2648">
        <v>22674</v>
      </c>
      <c r="E2648" t="s">
        <v>150</v>
      </c>
      <c r="F2648" t="s">
        <v>271</v>
      </c>
      <c r="G2648" s="28">
        <v>10</v>
      </c>
      <c r="H2648" s="32">
        <v>0.75</v>
      </c>
      <c r="I2648" s="32">
        <v>176.53</v>
      </c>
      <c r="J2648" t="s">
        <v>239</v>
      </c>
      <c r="K2648" t="s">
        <v>245</v>
      </c>
      <c r="L2648" t="s">
        <v>235</v>
      </c>
      <c r="M2648" t="s">
        <v>236</v>
      </c>
      <c r="N2648" t="s">
        <v>240</v>
      </c>
      <c r="O2648" s="27">
        <v>46055</v>
      </c>
    </row>
    <row r="2649" spans="2:15" hidden="1" x14ac:dyDescent="0.3">
      <c r="B2649">
        <v>3255792</v>
      </c>
      <c r="C2649" t="s">
        <v>231</v>
      </c>
      <c r="D2649">
        <v>71881</v>
      </c>
      <c r="E2649" t="s">
        <v>150</v>
      </c>
      <c r="F2649" t="s">
        <v>271</v>
      </c>
      <c r="G2649" s="28">
        <v>2</v>
      </c>
      <c r="H2649" s="32">
        <v>0.75</v>
      </c>
      <c r="I2649" s="32">
        <v>36.909999999999997</v>
      </c>
      <c r="J2649" t="s">
        <v>239</v>
      </c>
      <c r="K2649" t="s">
        <v>245</v>
      </c>
      <c r="L2649" t="s">
        <v>235</v>
      </c>
      <c r="M2649" t="s">
        <v>236</v>
      </c>
      <c r="N2649" t="s">
        <v>237</v>
      </c>
      <c r="O2649" s="27">
        <v>46063</v>
      </c>
    </row>
    <row r="2650" spans="2:15" hidden="1" x14ac:dyDescent="0.3">
      <c r="B2650">
        <v>3409614</v>
      </c>
      <c r="C2650" t="s">
        <v>231</v>
      </c>
      <c r="D2650">
        <v>71881</v>
      </c>
      <c r="E2650" t="s">
        <v>150</v>
      </c>
      <c r="F2650" t="s">
        <v>282</v>
      </c>
      <c r="G2650" s="28">
        <v>3</v>
      </c>
      <c r="H2650" s="32">
        <v>0.75</v>
      </c>
      <c r="I2650" s="32">
        <v>153.25</v>
      </c>
      <c r="J2650" t="s">
        <v>239</v>
      </c>
      <c r="K2650" t="s">
        <v>245</v>
      </c>
      <c r="L2650" t="s">
        <v>235</v>
      </c>
      <c r="M2650" t="s">
        <v>236</v>
      </c>
      <c r="N2650" t="s">
        <v>237</v>
      </c>
      <c r="O2650" s="27">
        <v>46063</v>
      </c>
    </row>
    <row r="2651" spans="2:15" hidden="1" x14ac:dyDescent="0.3">
      <c r="B2651">
        <v>310157</v>
      </c>
      <c r="C2651" t="s">
        <v>231</v>
      </c>
      <c r="D2651">
        <v>68542</v>
      </c>
      <c r="E2651" t="s">
        <v>150</v>
      </c>
      <c r="F2651" t="s">
        <v>362</v>
      </c>
      <c r="G2651" s="28">
        <v>7</v>
      </c>
      <c r="H2651" s="32">
        <v>0.75</v>
      </c>
      <c r="I2651" s="32">
        <v>605.13</v>
      </c>
      <c r="J2651" t="s">
        <v>267</v>
      </c>
      <c r="K2651" t="s">
        <v>245</v>
      </c>
      <c r="L2651" t="s">
        <v>235</v>
      </c>
      <c r="M2651" t="s">
        <v>236</v>
      </c>
      <c r="N2651" t="s">
        <v>240</v>
      </c>
      <c r="O2651" s="27">
        <v>46057</v>
      </c>
    </row>
    <row r="2652" spans="2:15" hidden="1" x14ac:dyDescent="0.3">
      <c r="B2652">
        <v>3906862</v>
      </c>
      <c r="C2652" t="s">
        <v>231</v>
      </c>
      <c r="D2652">
        <v>71881</v>
      </c>
      <c r="E2652" t="s">
        <v>150</v>
      </c>
      <c r="F2652" t="s">
        <v>160</v>
      </c>
      <c r="G2652" s="28">
        <v>1</v>
      </c>
      <c r="H2652" s="32">
        <v>0.75</v>
      </c>
      <c r="I2652" s="32">
        <v>87.17</v>
      </c>
      <c r="J2652" t="s">
        <v>239</v>
      </c>
      <c r="K2652" t="s">
        <v>245</v>
      </c>
      <c r="L2652" t="s">
        <v>235</v>
      </c>
      <c r="M2652" t="s">
        <v>236</v>
      </c>
      <c r="N2652" t="s">
        <v>240</v>
      </c>
      <c r="O2652" s="27">
        <v>46063</v>
      </c>
    </row>
    <row r="2653" spans="2:15" hidden="1" x14ac:dyDescent="0.3">
      <c r="B2653">
        <v>3306352</v>
      </c>
      <c r="C2653" t="s">
        <v>231</v>
      </c>
      <c r="D2653">
        <v>21468</v>
      </c>
      <c r="E2653" t="s">
        <v>150</v>
      </c>
      <c r="F2653" t="s">
        <v>319</v>
      </c>
      <c r="G2653" s="28">
        <v>1</v>
      </c>
      <c r="H2653" s="32">
        <v>0.75</v>
      </c>
      <c r="I2653" s="32">
        <v>37.49</v>
      </c>
      <c r="J2653" t="s">
        <v>239</v>
      </c>
      <c r="K2653" t="s">
        <v>245</v>
      </c>
      <c r="L2653" t="s">
        <v>235</v>
      </c>
      <c r="M2653" t="s">
        <v>236</v>
      </c>
      <c r="N2653" t="s">
        <v>240</v>
      </c>
      <c r="O2653" s="27">
        <v>46055</v>
      </c>
    </row>
    <row r="2654" spans="2:15" hidden="1" x14ac:dyDescent="0.3">
      <c r="B2654">
        <v>284340</v>
      </c>
      <c r="C2654" t="s">
        <v>260</v>
      </c>
      <c r="D2654">
        <v>23410</v>
      </c>
      <c r="E2654" t="s">
        <v>150</v>
      </c>
      <c r="F2654" t="s">
        <v>271</v>
      </c>
      <c r="G2654" s="28">
        <v>4</v>
      </c>
      <c r="H2654" s="32">
        <v>0.75</v>
      </c>
      <c r="I2654" s="32">
        <v>70.62</v>
      </c>
      <c r="J2654" t="s">
        <v>239</v>
      </c>
      <c r="K2654" t="s">
        <v>245</v>
      </c>
      <c r="L2654" t="s">
        <v>235</v>
      </c>
      <c r="M2654" t="s">
        <v>236</v>
      </c>
      <c r="N2654" t="s">
        <v>237</v>
      </c>
      <c r="O2654" s="27">
        <v>46055</v>
      </c>
    </row>
    <row r="2655" spans="2:15" hidden="1" x14ac:dyDescent="0.3">
      <c r="B2655">
        <v>5979107</v>
      </c>
      <c r="C2655" t="s">
        <v>231</v>
      </c>
      <c r="D2655">
        <v>35984</v>
      </c>
      <c r="E2655" t="s">
        <v>150</v>
      </c>
      <c r="F2655" t="s">
        <v>279</v>
      </c>
      <c r="G2655" s="28">
        <v>1</v>
      </c>
      <c r="H2655" s="32">
        <v>0.74</v>
      </c>
      <c r="I2655" s="32">
        <v>51.36</v>
      </c>
      <c r="J2655" t="s">
        <v>239</v>
      </c>
      <c r="K2655" t="s">
        <v>245</v>
      </c>
      <c r="L2655" t="s">
        <v>235</v>
      </c>
      <c r="M2655" t="s">
        <v>236</v>
      </c>
      <c r="N2655" t="s">
        <v>237</v>
      </c>
      <c r="O2655" s="27">
        <v>46055</v>
      </c>
    </row>
    <row r="2656" spans="2:15" hidden="1" x14ac:dyDescent="0.3">
      <c r="B2656">
        <v>8668372</v>
      </c>
      <c r="C2656" t="s">
        <v>231</v>
      </c>
      <c r="D2656">
        <v>25619</v>
      </c>
      <c r="E2656" t="s">
        <v>150</v>
      </c>
      <c r="F2656" t="s">
        <v>319</v>
      </c>
      <c r="G2656" s="28">
        <v>2</v>
      </c>
      <c r="H2656" s="32">
        <v>0.74</v>
      </c>
      <c r="I2656" s="32">
        <v>75.28</v>
      </c>
      <c r="J2656" t="s">
        <v>239</v>
      </c>
      <c r="K2656" t="s">
        <v>245</v>
      </c>
      <c r="L2656" t="s">
        <v>235</v>
      </c>
      <c r="M2656" t="s">
        <v>236</v>
      </c>
      <c r="N2656" t="s">
        <v>237</v>
      </c>
      <c r="O2656" s="27">
        <v>46055</v>
      </c>
    </row>
    <row r="2657" spans="2:15" hidden="1" x14ac:dyDescent="0.3">
      <c r="B2657">
        <v>5979107</v>
      </c>
      <c r="C2657" t="s">
        <v>231</v>
      </c>
      <c r="D2657">
        <v>35984</v>
      </c>
      <c r="E2657" t="s">
        <v>150</v>
      </c>
      <c r="F2657" t="s">
        <v>407</v>
      </c>
      <c r="G2657" s="28">
        <v>1</v>
      </c>
      <c r="H2657" s="32">
        <v>0.74</v>
      </c>
      <c r="I2657" s="32">
        <v>52.14</v>
      </c>
      <c r="J2657" t="s">
        <v>239</v>
      </c>
      <c r="K2657" t="s">
        <v>245</v>
      </c>
      <c r="L2657" t="s">
        <v>235</v>
      </c>
      <c r="M2657" t="s">
        <v>236</v>
      </c>
      <c r="N2657" t="s">
        <v>237</v>
      </c>
      <c r="O2657" s="27">
        <v>46055</v>
      </c>
    </row>
    <row r="2658" spans="2:15" hidden="1" x14ac:dyDescent="0.3">
      <c r="B2658">
        <v>284340</v>
      </c>
      <c r="C2658" t="s">
        <v>260</v>
      </c>
      <c r="D2658">
        <v>23410</v>
      </c>
      <c r="E2658" t="s">
        <v>150</v>
      </c>
      <c r="F2658" t="s">
        <v>263</v>
      </c>
      <c r="G2658" s="28">
        <v>5</v>
      </c>
      <c r="H2658" s="32">
        <v>0.74</v>
      </c>
      <c r="I2658" s="32">
        <v>69.09</v>
      </c>
      <c r="J2658" t="s">
        <v>239</v>
      </c>
      <c r="K2658" t="s">
        <v>245</v>
      </c>
      <c r="L2658" t="s">
        <v>235</v>
      </c>
      <c r="M2658" t="s">
        <v>236</v>
      </c>
      <c r="N2658" t="s">
        <v>237</v>
      </c>
      <c r="O2658" s="27">
        <v>46055</v>
      </c>
    </row>
    <row r="2659" spans="2:15" hidden="1" x14ac:dyDescent="0.3">
      <c r="B2659">
        <v>3270381</v>
      </c>
      <c r="C2659" t="s">
        <v>260</v>
      </c>
      <c r="D2659">
        <v>21559</v>
      </c>
      <c r="E2659" t="s">
        <v>150</v>
      </c>
      <c r="F2659" t="s">
        <v>315</v>
      </c>
      <c r="G2659" s="28">
        <v>1</v>
      </c>
      <c r="H2659" s="32">
        <v>0.74</v>
      </c>
      <c r="I2659" s="32">
        <v>87.95</v>
      </c>
      <c r="J2659" t="s">
        <v>267</v>
      </c>
      <c r="K2659" t="s">
        <v>245</v>
      </c>
      <c r="L2659" t="s">
        <v>235</v>
      </c>
      <c r="M2659" t="s">
        <v>236</v>
      </c>
      <c r="N2659" t="s">
        <v>240</v>
      </c>
      <c r="O2659" s="27">
        <v>46057</v>
      </c>
    </row>
    <row r="2660" spans="2:15" hidden="1" x14ac:dyDescent="0.3">
      <c r="B2660">
        <v>6905571</v>
      </c>
      <c r="C2660" t="s">
        <v>260</v>
      </c>
      <c r="D2660">
        <v>38517</v>
      </c>
      <c r="E2660" t="s">
        <v>150</v>
      </c>
      <c r="F2660" t="s">
        <v>160</v>
      </c>
      <c r="G2660" s="28">
        <v>1</v>
      </c>
      <c r="H2660" s="32">
        <v>0.74</v>
      </c>
      <c r="I2660" s="32">
        <v>84.85</v>
      </c>
      <c r="J2660" t="s">
        <v>239</v>
      </c>
      <c r="K2660" t="s">
        <v>245</v>
      </c>
      <c r="L2660" t="s">
        <v>235</v>
      </c>
      <c r="M2660" t="s">
        <v>236</v>
      </c>
      <c r="N2660" t="s">
        <v>240</v>
      </c>
      <c r="O2660" s="27">
        <v>46055</v>
      </c>
    </row>
    <row r="2661" spans="2:15" hidden="1" x14ac:dyDescent="0.3">
      <c r="B2661">
        <v>9303108</v>
      </c>
      <c r="C2661" t="s">
        <v>260</v>
      </c>
      <c r="D2661">
        <v>69493</v>
      </c>
      <c r="E2661" t="s">
        <v>150</v>
      </c>
      <c r="F2661" t="s">
        <v>399</v>
      </c>
      <c r="G2661" s="28">
        <v>6</v>
      </c>
      <c r="H2661" s="32">
        <v>0.74</v>
      </c>
      <c r="I2661" s="32">
        <v>43.2</v>
      </c>
      <c r="J2661" t="s">
        <v>267</v>
      </c>
      <c r="K2661" t="s">
        <v>245</v>
      </c>
      <c r="L2661" t="s">
        <v>235</v>
      </c>
      <c r="M2661" t="s">
        <v>236</v>
      </c>
      <c r="N2661" t="s">
        <v>237</v>
      </c>
      <c r="O2661" s="27">
        <v>46057</v>
      </c>
    </row>
    <row r="2662" spans="2:15" hidden="1" x14ac:dyDescent="0.3">
      <c r="B2662">
        <v>11010432</v>
      </c>
      <c r="C2662" t="s">
        <v>231</v>
      </c>
      <c r="D2662">
        <v>25619</v>
      </c>
      <c r="E2662" t="s">
        <v>150</v>
      </c>
      <c r="F2662" t="s">
        <v>271</v>
      </c>
      <c r="G2662" s="28">
        <v>3</v>
      </c>
      <c r="H2662" s="32">
        <v>0.73</v>
      </c>
      <c r="I2662" s="32">
        <v>55.42</v>
      </c>
      <c r="J2662" t="s">
        <v>239</v>
      </c>
      <c r="K2662" t="s">
        <v>245</v>
      </c>
      <c r="L2662" t="s">
        <v>235</v>
      </c>
      <c r="M2662" t="s">
        <v>236</v>
      </c>
      <c r="N2662" t="s">
        <v>237</v>
      </c>
      <c r="O2662" s="27">
        <v>46063</v>
      </c>
    </row>
    <row r="2663" spans="2:15" hidden="1" x14ac:dyDescent="0.3">
      <c r="B2663">
        <v>8230892</v>
      </c>
      <c r="C2663" t="s">
        <v>231</v>
      </c>
      <c r="D2663">
        <v>69519</v>
      </c>
      <c r="E2663" t="s">
        <v>150</v>
      </c>
      <c r="F2663" t="s">
        <v>271</v>
      </c>
      <c r="G2663" s="28">
        <v>4</v>
      </c>
      <c r="H2663" s="32">
        <v>0.73</v>
      </c>
      <c r="I2663" s="32">
        <v>73.81</v>
      </c>
      <c r="J2663" t="s">
        <v>239</v>
      </c>
      <c r="K2663" t="s">
        <v>245</v>
      </c>
      <c r="L2663" t="s">
        <v>235</v>
      </c>
      <c r="M2663" t="s">
        <v>236</v>
      </c>
      <c r="N2663" t="s">
        <v>240</v>
      </c>
      <c r="O2663" s="27">
        <v>46063</v>
      </c>
    </row>
    <row r="2664" spans="2:15" hidden="1" x14ac:dyDescent="0.3">
      <c r="B2664">
        <v>3666312</v>
      </c>
      <c r="C2664" t="s">
        <v>231</v>
      </c>
      <c r="D2664">
        <v>21468</v>
      </c>
      <c r="E2664" t="s">
        <v>150</v>
      </c>
      <c r="F2664" t="s">
        <v>164</v>
      </c>
      <c r="G2664" s="28">
        <v>1</v>
      </c>
      <c r="H2664" s="32">
        <v>0.73</v>
      </c>
      <c r="I2664" s="32">
        <v>45.83</v>
      </c>
      <c r="J2664" t="s">
        <v>239</v>
      </c>
      <c r="K2664" t="s">
        <v>245</v>
      </c>
      <c r="L2664" t="s">
        <v>235</v>
      </c>
      <c r="M2664" t="s">
        <v>236</v>
      </c>
      <c r="N2664" t="s">
        <v>240</v>
      </c>
      <c r="O2664" s="27">
        <v>46055</v>
      </c>
    </row>
    <row r="2665" spans="2:15" hidden="1" x14ac:dyDescent="0.3">
      <c r="B2665">
        <v>8581688</v>
      </c>
      <c r="C2665" t="s">
        <v>231</v>
      </c>
      <c r="D2665">
        <v>23648</v>
      </c>
      <c r="E2665" t="s">
        <v>150</v>
      </c>
      <c r="F2665" t="s">
        <v>164</v>
      </c>
      <c r="G2665" s="28">
        <v>1</v>
      </c>
      <c r="H2665" s="32">
        <v>0.73</v>
      </c>
      <c r="I2665" s="32">
        <v>45.83</v>
      </c>
      <c r="J2665" t="s">
        <v>239</v>
      </c>
      <c r="K2665" t="s">
        <v>245</v>
      </c>
      <c r="L2665" t="s">
        <v>235</v>
      </c>
      <c r="M2665" t="s">
        <v>236</v>
      </c>
      <c r="N2665" t="s">
        <v>240</v>
      </c>
      <c r="O2665" s="27">
        <v>46055</v>
      </c>
    </row>
    <row r="2666" spans="2:15" hidden="1" x14ac:dyDescent="0.3">
      <c r="B2666">
        <v>325473</v>
      </c>
      <c r="C2666" t="s">
        <v>231</v>
      </c>
      <c r="D2666">
        <v>22674</v>
      </c>
      <c r="E2666" t="s">
        <v>150</v>
      </c>
      <c r="F2666" t="s">
        <v>419</v>
      </c>
      <c r="G2666" s="28">
        <v>10</v>
      </c>
      <c r="H2666" s="32">
        <v>0.73</v>
      </c>
      <c r="I2666" s="32">
        <v>80.59</v>
      </c>
      <c r="J2666" t="s">
        <v>267</v>
      </c>
      <c r="K2666" t="s">
        <v>245</v>
      </c>
      <c r="L2666" t="s">
        <v>235</v>
      </c>
      <c r="M2666" t="s">
        <v>236</v>
      </c>
      <c r="N2666" t="s">
        <v>237</v>
      </c>
      <c r="O2666" s="27">
        <v>46056</v>
      </c>
    </row>
    <row r="2667" spans="2:15" hidden="1" x14ac:dyDescent="0.3">
      <c r="B2667">
        <v>3306352</v>
      </c>
      <c r="C2667" t="s">
        <v>231</v>
      </c>
      <c r="D2667">
        <v>21468</v>
      </c>
      <c r="E2667" t="s">
        <v>150</v>
      </c>
      <c r="F2667" t="s">
        <v>246</v>
      </c>
      <c r="G2667" s="28">
        <v>1</v>
      </c>
      <c r="H2667" s="32">
        <v>0.73</v>
      </c>
      <c r="I2667" s="32">
        <v>36.950000000000003</v>
      </c>
      <c r="J2667" t="s">
        <v>239</v>
      </c>
      <c r="K2667" t="s">
        <v>245</v>
      </c>
      <c r="L2667" t="s">
        <v>235</v>
      </c>
      <c r="M2667" t="s">
        <v>236</v>
      </c>
      <c r="N2667" t="s">
        <v>237</v>
      </c>
      <c r="O2667" s="27">
        <v>46055</v>
      </c>
    </row>
    <row r="2668" spans="2:15" hidden="1" x14ac:dyDescent="0.3">
      <c r="B2668">
        <v>4381878</v>
      </c>
      <c r="C2668" t="s">
        <v>231</v>
      </c>
      <c r="D2668">
        <v>74304</v>
      </c>
      <c r="E2668" t="s">
        <v>150</v>
      </c>
      <c r="F2668" t="s">
        <v>246</v>
      </c>
      <c r="G2668" s="28">
        <v>1</v>
      </c>
      <c r="H2668" s="32">
        <v>0.73</v>
      </c>
      <c r="I2668" s="32">
        <v>36.950000000000003</v>
      </c>
      <c r="J2668" t="s">
        <v>239</v>
      </c>
      <c r="K2668" t="s">
        <v>245</v>
      </c>
      <c r="L2668" t="s">
        <v>235</v>
      </c>
      <c r="M2668" t="s">
        <v>236</v>
      </c>
      <c r="N2668" t="s">
        <v>237</v>
      </c>
      <c r="O2668" s="27">
        <v>46055</v>
      </c>
    </row>
    <row r="2669" spans="2:15" hidden="1" x14ac:dyDescent="0.3">
      <c r="B2669">
        <v>3306352</v>
      </c>
      <c r="C2669" t="s">
        <v>231</v>
      </c>
      <c r="D2669">
        <v>21468</v>
      </c>
      <c r="E2669" t="s">
        <v>150</v>
      </c>
      <c r="F2669" t="s">
        <v>337</v>
      </c>
      <c r="G2669" s="28">
        <v>1</v>
      </c>
      <c r="H2669" s="32">
        <v>0.73</v>
      </c>
      <c r="I2669" s="32">
        <v>36.75</v>
      </c>
      <c r="J2669" t="s">
        <v>239</v>
      </c>
      <c r="K2669" t="s">
        <v>245</v>
      </c>
      <c r="L2669" t="s">
        <v>235</v>
      </c>
      <c r="M2669" t="s">
        <v>236</v>
      </c>
      <c r="N2669" t="s">
        <v>237</v>
      </c>
      <c r="O2669" s="27">
        <v>46055</v>
      </c>
    </row>
    <row r="2670" spans="2:15" hidden="1" x14ac:dyDescent="0.3">
      <c r="B2670">
        <v>4381878</v>
      </c>
      <c r="C2670" t="s">
        <v>231</v>
      </c>
      <c r="D2670">
        <v>74304</v>
      </c>
      <c r="E2670" t="s">
        <v>150</v>
      </c>
      <c r="F2670" t="s">
        <v>337</v>
      </c>
      <c r="G2670" s="28">
        <v>1</v>
      </c>
      <c r="H2670" s="32">
        <v>0.73</v>
      </c>
      <c r="I2670" s="32">
        <v>36.75</v>
      </c>
      <c r="J2670" t="s">
        <v>239</v>
      </c>
      <c r="K2670" t="s">
        <v>245</v>
      </c>
      <c r="L2670" t="s">
        <v>235</v>
      </c>
      <c r="M2670" t="s">
        <v>236</v>
      </c>
      <c r="N2670" t="s">
        <v>237</v>
      </c>
      <c r="O2670" s="27">
        <v>46055</v>
      </c>
    </row>
    <row r="2671" spans="2:15" hidden="1" x14ac:dyDescent="0.3">
      <c r="B2671">
        <v>5934364</v>
      </c>
      <c r="C2671" t="s">
        <v>231</v>
      </c>
      <c r="D2671">
        <v>72444</v>
      </c>
      <c r="E2671" t="s">
        <v>150</v>
      </c>
      <c r="F2671" t="s">
        <v>319</v>
      </c>
      <c r="G2671" s="28">
        <v>1</v>
      </c>
      <c r="H2671" s="32">
        <v>0.73</v>
      </c>
      <c r="I2671" s="32">
        <v>37.64</v>
      </c>
      <c r="J2671" t="s">
        <v>239</v>
      </c>
      <c r="K2671" t="s">
        <v>245</v>
      </c>
      <c r="L2671" t="s">
        <v>235</v>
      </c>
      <c r="M2671" t="s">
        <v>236</v>
      </c>
      <c r="N2671" t="s">
        <v>237</v>
      </c>
      <c r="O2671" s="27">
        <v>46055</v>
      </c>
    </row>
    <row r="2672" spans="2:15" hidden="1" x14ac:dyDescent="0.3">
      <c r="B2672">
        <v>2590120</v>
      </c>
      <c r="C2672" t="s">
        <v>231</v>
      </c>
      <c r="D2672">
        <v>96553</v>
      </c>
      <c r="E2672" t="s">
        <v>150</v>
      </c>
      <c r="F2672" t="s">
        <v>271</v>
      </c>
      <c r="G2672" s="28">
        <v>3</v>
      </c>
      <c r="H2672" s="32">
        <v>0.72</v>
      </c>
      <c r="I2672" s="32">
        <v>52.96</v>
      </c>
      <c r="J2672" t="s">
        <v>239</v>
      </c>
      <c r="K2672" t="s">
        <v>245</v>
      </c>
      <c r="L2672" t="s">
        <v>235</v>
      </c>
      <c r="M2672" t="s">
        <v>236</v>
      </c>
      <c r="N2672" t="s">
        <v>237</v>
      </c>
      <c r="O2672" s="27">
        <v>46055</v>
      </c>
    </row>
    <row r="2673" spans="2:15" hidden="1" x14ac:dyDescent="0.3">
      <c r="B2673">
        <v>3343807</v>
      </c>
      <c r="C2673" t="s">
        <v>231</v>
      </c>
      <c r="D2673">
        <v>69519</v>
      </c>
      <c r="E2673" t="s">
        <v>150</v>
      </c>
      <c r="F2673" t="s">
        <v>304</v>
      </c>
      <c r="G2673" s="28">
        <v>2</v>
      </c>
      <c r="H2673" s="32">
        <v>0.72</v>
      </c>
      <c r="I2673" s="32">
        <v>191.29</v>
      </c>
      <c r="J2673" t="s">
        <v>267</v>
      </c>
      <c r="K2673" t="s">
        <v>245</v>
      </c>
      <c r="L2673" t="s">
        <v>235</v>
      </c>
      <c r="M2673" t="s">
        <v>236</v>
      </c>
      <c r="N2673" t="s">
        <v>237</v>
      </c>
      <c r="O2673" s="27">
        <v>46063</v>
      </c>
    </row>
    <row r="2674" spans="2:15" hidden="1" x14ac:dyDescent="0.3">
      <c r="B2674">
        <v>2923617</v>
      </c>
      <c r="C2674" t="s">
        <v>231</v>
      </c>
      <c r="D2674">
        <v>37111</v>
      </c>
      <c r="E2674" t="s">
        <v>150</v>
      </c>
      <c r="F2674" t="s">
        <v>246</v>
      </c>
      <c r="G2674" s="28">
        <v>1</v>
      </c>
      <c r="H2674" s="32">
        <v>0.72</v>
      </c>
      <c r="I2674" s="32">
        <v>36.950000000000003</v>
      </c>
      <c r="J2674" t="s">
        <v>239</v>
      </c>
      <c r="K2674" t="s">
        <v>245</v>
      </c>
      <c r="L2674" t="s">
        <v>235</v>
      </c>
      <c r="M2674" t="s">
        <v>236</v>
      </c>
      <c r="N2674" t="s">
        <v>237</v>
      </c>
      <c r="O2674" s="27">
        <v>46055</v>
      </c>
    </row>
    <row r="2675" spans="2:15" hidden="1" x14ac:dyDescent="0.3">
      <c r="B2675">
        <v>3343807</v>
      </c>
      <c r="C2675" t="s">
        <v>231</v>
      </c>
      <c r="D2675">
        <v>69519</v>
      </c>
      <c r="E2675" t="s">
        <v>150</v>
      </c>
      <c r="F2675" t="s">
        <v>295</v>
      </c>
      <c r="G2675" s="28">
        <v>2</v>
      </c>
      <c r="H2675" s="32">
        <v>0.72</v>
      </c>
      <c r="I2675" s="32">
        <v>193.38</v>
      </c>
      <c r="J2675" t="s">
        <v>267</v>
      </c>
      <c r="K2675" t="s">
        <v>245</v>
      </c>
      <c r="L2675" t="s">
        <v>235</v>
      </c>
      <c r="M2675" t="s">
        <v>236</v>
      </c>
      <c r="N2675" t="s">
        <v>237</v>
      </c>
      <c r="O2675" s="27">
        <v>46063</v>
      </c>
    </row>
    <row r="2676" spans="2:15" hidden="1" x14ac:dyDescent="0.3">
      <c r="B2676">
        <v>5934364</v>
      </c>
      <c r="C2676" t="s">
        <v>231</v>
      </c>
      <c r="D2676">
        <v>72444</v>
      </c>
      <c r="E2676" t="s">
        <v>150</v>
      </c>
      <c r="F2676" t="s">
        <v>337</v>
      </c>
      <c r="G2676" s="28">
        <v>1</v>
      </c>
      <c r="H2676" s="32">
        <v>0.72</v>
      </c>
      <c r="I2676" s="32">
        <v>36.75</v>
      </c>
      <c r="J2676" t="s">
        <v>239</v>
      </c>
      <c r="K2676" t="s">
        <v>245</v>
      </c>
      <c r="L2676" t="s">
        <v>235</v>
      </c>
      <c r="M2676" t="s">
        <v>236</v>
      </c>
      <c r="N2676" t="s">
        <v>237</v>
      </c>
      <c r="O2676" s="27">
        <v>46055</v>
      </c>
    </row>
    <row r="2677" spans="2:15" hidden="1" x14ac:dyDescent="0.3">
      <c r="B2677">
        <v>3317498</v>
      </c>
      <c r="C2677" t="s">
        <v>231</v>
      </c>
      <c r="D2677">
        <v>69493</v>
      </c>
      <c r="E2677" t="s">
        <v>150</v>
      </c>
      <c r="F2677" t="s">
        <v>271</v>
      </c>
      <c r="G2677" s="28">
        <v>4</v>
      </c>
      <c r="H2677" s="32">
        <v>0.71</v>
      </c>
      <c r="I2677" s="32">
        <v>73.84</v>
      </c>
      <c r="J2677" t="s">
        <v>239</v>
      </c>
      <c r="K2677" t="s">
        <v>245</v>
      </c>
      <c r="L2677" t="s">
        <v>235</v>
      </c>
      <c r="M2677" t="s">
        <v>236</v>
      </c>
      <c r="N2677" t="s">
        <v>237</v>
      </c>
      <c r="O2677" s="27">
        <v>46063</v>
      </c>
    </row>
    <row r="2678" spans="2:15" hidden="1" x14ac:dyDescent="0.3">
      <c r="B2678">
        <v>2411460</v>
      </c>
      <c r="C2678" t="s">
        <v>231</v>
      </c>
      <c r="D2678">
        <v>72444</v>
      </c>
      <c r="E2678" t="s">
        <v>150</v>
      </c>
      <c r="F2678" t="s">
        <v>164</v>
      </c>
      <c r="G2678" s="28">
        <v>2</v>
      </c>
      <c r="H2678" s="32">
        <v>0.71</v>
      </c>
      <c r="I2678" s="32">
        <v>91.66</v>
      </c>
      <c r="J2678" t="s">
        <v>239</v>
      </c>
      <c r="K2678" t="s">
        <v>245</v>
      </c>
      <c r="L2678" t="s">
        <v>235</v>
      </c>
      <c r="M2678" t="s">
        <v>236</v>
      </c>
      <c r="N2678" t="s">
        <v>240</v>
      </c>
      <c r="O2678" s="27">
        <v>46055</v>
      </c>
    </row>
    <row r="2679" spans="2:15" hidden="1" x14ac:dyDescent="0.3">
      <c r="B2679">
        <v>7296870</v>
      </c>
      <c r="C2679" t="s">
        <v>231</v>
      </c>
      <c r="D2679">
        <v>96553</v>
      </c>
      <c r="E2679" t="s">
        <v>150</v>
      </c>
      <c r="F2679" t="s">
        <v>164</v>
      </c>
      <c r="G2679" s="28">
        <v>1</v>
      </c>
      <c r="H2679" s="32">
        <v>0.71</v>
      </c>
      <c r="I2679" s="32">
        <v>45.83</v>
      </c>
      <c r="J2679" t="s">
        <v>239</v>
      </c>
      <c r="K2679" t="s">
        <v>245</v>
      </c>
      <c r="L2679" t="s">
        <v>235</v>
      </c>
      <c r="M2679" t="s">
        <v>236</v>
      </c>
      <c r="N2679" t="s">
        <v>240</v>
      </c>
      <c r="O2679" s="27">
        <v>46055</v>
      </c>
    </row>
    <row r="2680" spans="2:15" hidden="1" x14ac:dyDescent="0.3">
      <c r="B2680">
        <v>2923617</v>
      </c>
      <c r="C2680" t="s">
        <v>231</v>
      </c>
      <c r="D2680">
        <v>37111</v>
      </c>
      <c r="E2680" t="s">
        <v>150</v>
      </c>
      <c r="F2680" t="s">
        <v>337</v>
      </c>
      <c r="G2680" s="28">
        <v>1</v>
      </c>
      <c r="H2680" s="32">
        <v>0.71</v>
      </c>
      <c r="I2680" s="32">
        <v>36.75</v>
      </c>
      <c r="J2680" t="s">
        <v>239</v>
      </c>
      <c r="K2680" t="s">
        <v>245</v>
      </c>
      <c r="L2680" t="s">
        <v>235</v>
      </c>
      <c r="M2680" t="s">
        <v>236</v>
      </c>
      <c r="N2680" t="s">
        <v>237</v>
      </c>
      <c r="O2680" s="27">
        <v>46055</v>
      </c>
    </row>
    <row r="2681" spans="2:15" hidden="1" x14ac:dyDescent="0.3">
      <c r="B2681">
        <v>2802178</v>
      </c>
      <c r="C2681" t="s">
        <v>260</v>
      </c>
      <c r="D2681">
        <v>72444</v>
      </c>
      <c r="E2681" t="s">
        <v>150</v>
      </c>
      <c r="F2681" t="s">
        <v>164</v>
      </c>
      <c r="G2681" s="28">
        <v>1</v>
      </c>
      <c r="H2681" s="32">
        <v>0.71</v>
      </c>
      <c r="I2681" s="32">
        <v>45.83</v>
      </c>
      <c r="J2681" t="s">
        <v>239</v>
      </c>
      <c r="K2681" t="s">
        <v>245</v>
      </c>
      <c r="L2681" t="s">
        <v>235</v>
      </c>
      <c r="M2681" t="s">
        <v>236</v>
      </c>
      <c r="N2681" t="s">
        <v>240</v>
      </c>
      <c r="O2681" s="27">
        <v>46055</v>
      </c>
    </row>
    <row r="2682" spans="2:15" hidden="1" x14ac:dyDescent="0.3">
      <c r="B2682">
        <v>1579</v>
      </c>
      <c r="C2682" t="s">
        <v>231</v>
      </c>
      <c r="D2682">
        <v>21468</v>
      </c>
      <c r="E2682" t="s">
        <v>150</v>
      </c>
      <c r="F2682" t="s">
        <v>271</v>
      </c>
      <c r="G2682" s="28">
        <v>3</v>
      </c>
      <c r="H2682" s="32">
        <v>0.7</v>
      </c>
      <c r="I2682" s="32">
        <v>52.96</v>
      </c>
      <c r="J2682" t="s">
        <v>239</v>
      </c>
      <c r="K2682" t="s">
        <v>245</v>
      </c>
      <c r="L2682" t="s">
        <v>235</v>
      </c>
      <c r="M2682" t="s">
        <v>236</v>
      </c>
      <c r="N2682" t="s">
        <v>237</v>
      </c>
      <c r="O2682" s="27">
        <v>46055</v>
      </c>
    </row>
    <row r="2683" spans="2:15" hidden="1" x14ac:dyDescent="0.3">
      <c r="B2683">
        <v>6468519</v>
      </c>
      <c r="C2683" t="s">
        <v>231</v>
      </c>
      <c r="D2683">
        <v>72444</v>
      </c>
      <c r="E2683" t="s">
        <v>150</v>
      </c>
      <c r="F2683" t="s">
        <v>271</v>
      </c>
      <c r="G2683" s="28">
        <v>6</v>
      </c>
      <c r="H2683" s="32">
        <v>0.7</v>
      </c>
      <c r="I2683" s="32">
        <v>105.94</v>
      </c>
      <c r="J2683" t="s">
        <v>239</v>
      </c>
      <c r="K2683" t="s">
        <v>245</v>
      </c>
      <c r="L2683" t="s">
        <v>235</v>
      </c>
      <c r="M2683" t="s">
        <v>236</v>
      </c>
      <c r="N2683" t="s">
        <v>237</v>
      </c>
      <c r="O2683" s="27">
        <v>46055</v>
      </c>
    </row>
    <row r="2684" spans="2:15" hidden="1" x14ac:dyDescent="0.3">
      <c r="B2684">
        <v>2041860</v>
      </c>
      <c r="C2684" t="s">
        <v>231</v>
      </c>
      <c r="D2684">
        <v>40901</v>
      </c>
      <c r="E2684" t="s">
        <v>150</v>
      </c>
      <c r="F2684" t="s">
        <v>315</v>
      </c>
      <c r="G2684" s="28">
        <v>1</v>
      </c>
      <c r="H2684" s="32">
        <v>0.7</v>
      </c>
      <c r="I2684" s="32">
        <v>88.03</v>
      </c>
      <c r="J2684" t="s">
        <v>267</v>
      </c>
      <c r="K2684" t="s">
        <v>245</v>
      </c>
      <c r="L2684" t="s">
        <v>235</v>
      </c>
      <c r="M2684" t="s">
        <v>236</v>
      </c>
      <c r="N2684" t="s">
        <v>240</v>
      </c>
      <c r="O2684" s="27">
        <v>46055</v>
      </c>
    </row>
    <row r="2685" spans="2:15" hidden="1" x14ac:dyDescent="0.3">
      <c r="B2685">
        <v>3430907</v>
      </c>
      <c r="C2685" t="s">
        <v>260</v>
      </c>
      <c r="D2685">
        <v>21468</v>
      </c>
      <c r="E2685" t="s">
        <v>150</v>
      </c>
      <c r="F2685" t="s">
        <v>163</v>
      </c>
      <c r="G2685" s="28">
        <v>9</v>
      </c>
      <c r="H2685" s="32">
        <v>0.7</v>
      </c>
      <c r="I2685" s="32">
        <v>118.56</v>
      </c>
      <c r="J2685" t="s">
        <v>239</v>
      </c>
      <c r="K2685" t="s">
        <v>245</v>
      </c>
      <c r="L2685" t="s">
        <v>235</v>
      </c>
      <c r="M2685" t="s">
        <v>236</v>
      </c>
      <c r="N2685" t="s">
        <v>237</v>
      </c>
      <c r="O2685" s="27">
        <v>46055</v>
      </c>
    </row>
    <row r="2686" spans="2:15" hidden="1" x14ac:dyDescent="0.3">
      <c r="B2686">
        <v>590816</v>
      </c>
      <c r="C2686" t="s">
        <v>231</v>
      </c>
      <c r="D2686">
        <v>38517</v>
      </c>
      <c r="E2686" t="s">
        <v>150</v>
      </c>
      <c r="F2686" t="s">
        <v>272</v>
      </c>
      <c r="G2686" s="28">
        <v>12</v>
      </c>
      <c r="H2686" s="32">
        <v>0.69</v>
      </c>
      <c r="I2686" s="32">
        <v>78.459999999999994</v>
      </c>
      <c r="J2686" t="s">
        <v>239</v>
      </c>
      <c r="K2686" t="s">
        <v>245</v>
      </c>
      <c r="L2686" t="s">
        <v>235</v>
      </c>
      <c r="M2686" t="s">
        <v>236</v>
      </c>
      <c r="N2686" t="s">
        <v>237</v>
      </c>
      <c r="O2686" s="27">
        <v>46055</v>
      </c>
    </row>
    <row r="2687" spans="2:15" hidden="1" x14ac:dyDescent="0.3">
      <c r="B2687">
        <v>5979107</v>
      </c>
      <c r="C2687" t="s">
        <v>231</v>
      </c>
      <c r="D2687">
        <v>35984</v>
      </c>
      <c r="E2687" t="s">
        <v>150</v>
      </c>
      <c r="F2687" t="s">
        <v>284</v>
      </c>
      <c r="G2687" s="28">
        <v>1</v>
      </c>
      <c r="H2687" s="32">
        <v>0.69</v>
      </c>
      <c r="I2687" s="32">
        <v>43.01</v>
      </c>
      <c r="J2687" t="s">
        <v>239</v>
      </c>
      <c r="K2687" t="s">
        <v>245</v>
      </c>
      <c r="L2687" t="s">
        <v>235</v>
      </c>
      <c r="M2687" t="s">
        <v>236</v>
      </c>
      <c r="N2687" t="s">
        <v>237</v>
      </c>
      <c r="O2687" s="27">
        <v>46055</v>
      </c>
    </row>
    <row r="2688" spans="2:15" hidden="1" x14ac:dyDescent="0.3">
      <c r="B2688">
        <v>15112761</v>
      </c>
      <c r="C2688" t="s">
        <v>231</v>
      </c>
      <c r="D2688">
        <v>25619</v>
      </c>
      <c r="E2688" t="s">
        <v>150</v>
      </c>
      <c r="F2688" t="s">
        <v>277</v>
      </c>
      <c r="G2688" s="28">
        <v>2</v>
      </c>
      <c r="H2688" s="32">
        <v>0.68</v>
      </c>
      <c r="I2688" s="32">
        <v>72.430000000000007</v>
      </c>
      <c r="J2688" t="s">
        <v>239</v>
      </c>
      <c r="K2688" t="s">
        <v>245</v>
      </c>
      <c r="L2688" t="s">
        <v>235</v>
      </c>
      <c r="M2688" t="s">
        <v>236</v>
      </c>
      <c r="N2688" t="s">
        <v>240</v>
      </c>
      <c r="O2688" s="27">
        <v>46055</v>
      </c>
    </row>
    <row r="2689" spans="2:15" hidden="1" x14ac:dyDescent="0.3">
      <c r="B2689">
        <v>440722</v>
      </c>
      <c r="C2689" t="s">
        <v>231</v>
      </c>
      <c r="D2689">
        <v>21468</v>
      </c>
      <c r="E2689" t="s">
        <v>150</v>
      </c>
      <c r="F2689" t="s">
        <v>263</v>
      </c>
      <c r="G2689" s="28">
        <v>7</v>
      </c>
      <c r="H2689" s="32">
        <v>0.68</v>
      </c>
      <c r="I2689" s="32">
        <v>96.71</v>
      </c>
      <c r="J2689" t="s">
        <v>239</v>
      </c>
      <c r="K2689" t="s">
        <v>245</v>
      </c>
      <c r="L2689" t="s">
        <v>235</v>
      </c>
      <c r="M2689" t="s">
        <v>236</v>
      </c>
      <c r="N2689" t="s">
        <v>240</v>
      </c>
      <c r="O2689" s="27">
        <v>46055</v>
      </c>
    </row>
    <row r="2690" spans="2:15" hidden="1" x14ac:dyDescent="0.3">
      <c r="B2690">
        <v>5979107</v>
      </c>
      <c r="C2690" t="s">
        <v>231</v>
      </c>
      <c r="D2690">
        <v>35984</v>
      </c>
      <c r="E2690" t="s">
        <v>150</v>
      </c>
      <c r="F2690" t="s">
        <v>344</v>
      </c>
      <c r="G2690" s="28">
        <v>1</v>
      </c>
      <c r="H2690" s="32">
        <v>0.68</v>
      </c>
      <c r="I2690" s="32">
        <v>42.83</v>
      </c>
      <c r="J2690" t="s">
        <v>330</v>
      </c>
      <c r="K2690" t="s">
        <v>245</v>
      </c>
      <c r="L2690" t="s">
        <v>235</v>
      </c>
      <c r="M2690" t="s">
        <v>236</v>
      </c>
      <c r="N2690" t="s">
        <v>237</v>
      </c>
      <c r="O2690" s="27">
        <v>46055</v>
      </c>
    </row>
    <row r="2691" spans="2:15" hidden="1" x14ac:dyDescent="0.3">
      <c r="B2691">
        <v>9303108</v>
      </c>
      <c r="C2691" t="s">
        <v>260</v>
      </c>
      <c r="D2691">
        <v>69493</v>
      </c>
      <c r="E2691" t="s">
        <v>150</v>
      </c>
      <c r="F2691" t="s">
        <v>331</v>
      </c>
      <c r="G2691" s="28">
        <v>5</v>
      </c>
      <c r="H2691" s="32">
        <v>0.68</v>
      </c>
      <c r="I2691" s="32">
        <v>48.55</v>
      </c>
      <c r="J2691" t="s">
        <v>267</v>
      </c>
      <c r="K2691" t="s">
        <v>245</v>
      </c>
      <c r="L2691" t="s">
        <v>235</v>
      </c>
      <c r="M2691" t="s">
        <v>236</v>
      </c>
      <c r="N2691" t="s">
        <v>240</v>
      </c>
      <c r="O2691" s="27">
        <v>46057</v>
      </c>
    </row>
    <row r="2692" spans="2:15" hidden="1" x14ac:dyDescent="0.3">
      <c r="B2692">
        <v>8218280</v>
      </c>
      <c r="C2692" t="s">
        <v>260</v>
      </c>
      <c r="D2692">
        <v>21559</v>
      </c>
      <c r="E2692" t="s">
        <v>150</v>
      </c>
      <c r="F2692" t="s">
        <v>325</v>
      </c>
      <c r="G2692" s="28">
        <v>5</v>
      </c>
      <c r="H2692" s="32">
        <v>0.68</v>
      </c>
      <c r="I2692" s="32">
        <v>43.36</v>
      </c>
      <c r="J2692" t="s">
        <v>267</v>
      </c>
      <c r="K2692" t="s">
        <v>245</v>
      </c>
      <c r="L2692" t="s">
        <v>235</v>
      </c>
      <c r="M2692" t="s">
        <v>236</v>
      </c>
      <c r="N2692" t="s">
        <v>240</v>
      </c>
      <c r="O2692" s="27">
        <v>46062</v>
      </c>
    </row>
    <row r="2693" spans="2:15" hidden="1" x14ac:dyDescent="0.3">
      <c r="B2693">
        <v>4535206</v>
      </c>
      <c r="C2693" t="s">
        <v>231</v>
      </c>
      <c r="D2693">
        <v>68542</v>
      </c>
      <c r="E2693" t="s">
        <v>150</v>
      </c>
      <c r="F2693" t="s">
        <v>271</v>
      </c>
      <c r="G2693" s="28">
        <v>5</v>
      </c>
      <c r="H2693" s="32">
        <v>0.67</v>
      </c>
      <c r="I2693" s="32">
        <v>88.28</v>
      </c>
      <c r="J2693" t="s">
        <v>239</v>
      </c>
      <c r="K2693" t="s">
        <v>245</v>
      </c>
      <c r="L2693" t="s">
        <v>235</v>
      </c>
      <c r="M2693" t="s">
        <v>236</v>
      </c>
      <c r="N2693" t="s">
        <v>237</v>
      </c>
      <c r="O2693" s="27">
        <v>46055</v>
      </c>
    </row>
    <row r="2694" spans="2:15" hidden="1" x14ac:dyDescent="0.3">
      <c r="B2694">
        <v>4535206</v>
      </c>
      <c r="C2694" t="s">
        <v>231</v>
      </c>
      <c r="D2694">
        <v>68542</v>
      </c>
      <c r="E2694" t="s">
        <v>150</v>
      </c>
      <c r="F2694" t="s">
        <v>362</v>
      </c>
      <c r="G2694" s="28">
        <v>6</v>
      </c>
      <c r="H2694" s="32">
        <v>0.67</v>
      </c>
      <c r="I2694" s="32">
        <v>518.6</v>
      </c>
      <c r="J2694" t="s">
        <v>267</v>
      </c>
      <c r="K2694" t="s">
        <v>245</v>
      </c>
      <c r="L2694" t="s">
        <v>235</v>
      </c>
      <c r="M2694" t="s">
        <v>236</v>
      </c>
      <c r="N2694" t="s">
        <v>240</v>
      </c>
      <c r="O2694" s="27">
        <v>46057</v>
      </c>
    </row>
    <row r="2695" spans="2:15" hidden="1" x14ac:dyDescent="0.3">
      <c r="B2695">
        <v>2603913</v>
      </c>
      <c r="C2695" t="s">
        <v>231</v>
      </c>
      <c r="D2695">
        <v>69519</v>
      </c>
      <c r="E2695" t="s">
        <v>150</v>
      </c>
      <c r="F2695" t="s">
        <v>327</v>
      </c>
      <c r="G2695" s="28">
        <v>1</v>
      </c>
      <c r="H2695" s="32">
        <v>0.67</v>
      </c>
      <c r="I2695" s="32">
        <v>83.29</v>
      </c>
      <c r="J2695" t="s">
        <v>267</v>
      </c>
      <c r="K2695" t="s">
        <v>245</v>
      </c>
      <c r="L2695" t="s">
        <v>235</v>
      </c>
      <c r="M2695" t="s">
        <v>236</v>
      </c>
      <c r="N2695" t="s">
        <v>240</v>
      </c>
      <c r="O2695" s="27">
        <v>46063</v>
      </c>
    </row>
    <row r="2696" spans="2:15" hidden="1" x14ac:dyDescent="0.3">
      <c r="B2696">
        <v>9303108</v>
      </c>
      <c r="C2696" t="s">
        <v>260</v>
      </c>
      <c r="D2696">
        <v>69493</v>
      </c>
      <c r="E2696" t="s">
        <v>150</v>
      </c>
      <c r="F2696" t="s">
        <v>373</v>
      </c>
      <c r="G2696" s="28">
        <v>5</v>
      </c>
      <c r="H2696" s="32">
        <v>0.67</v>
      </c>
      <c r="I2696" s="32">
        <v>49.38</v>
      </c>
      <c r="J2696" t="s">
        <v>267</v>
      </c>
      <c r="K2696" t="s">
        <v>245</v>
      </c>
      <c r="L2696" t="s">
        <v>235</v>
      </c>
      <c r="M2696" t="s">
        <v>236</v>
      </c>
      <c r="N2696" t="s">
        <v>237</v>
      </c>
      <c r="O2696" s="27">
        <v>46057</v>
      </c>
    </row>
    <row r="2697" spans="2:15" x14ac:dyDescent="0.3">
      <c r="B2697">
        <v>17711901</v>
      </c>
      <c r="C2697" t="s">
        <v>260</v>
      </c>
      <c r="D2697">
        <v>22103</v>
      </c>
      <c r="E2697" t="s">
        <v>150</v>
      </c>
      <c r="F2697" t="s">
        <v>160</v>
      </c>
      <c r="G2697" s="28">
        <v>1</v>
      </c>
      <c r="H2697" s="32">
        <v>0.67</v>
      </c>
      <c r="I2697" s="32">
        <v>87.24</v>
      </c>
      <c r="J2697" t="s">
        <v>239</v>
      </c>
      <c r="K2697" t="s">
        <v>245</v>
      </c>
      <c r="L2697" t="s">
        <v>235</v>
      </c>
      <c r="M2697" t="s">
        <v>236</v>
      </c>
      <c r="N2697" t="s">
        <v>240</v>
      </c>
      <c r="O2697" s="27">
        <v>46063</v>
      </c>
    </row>
    <row r="2698" spans="2:15" hidden="1" x14ac:dyDescent="0.3">
      <c r="B2698">
        <v>3907511</v>
      </c>
      <c r="C2698" t="s">
        <v>231</v>
      </c>
      <c r="D2698">
        <v>23648</v>
      </c>
      <c r="E2698" t="s">
        <v>150</v>
      </c>
      <c r="F2698" t="s">
        <v>272</v>
      </c>
      <c r="G2698" s="28">
        <v>13</v>
      </c>
      <c r="H2698" s="32">
        <v>0.66</v>
      </c>
      <c r="I2698" s="32">
        <v>85</v>
      </c>
      <c r="J2698" t="s">
        <v>239</v>
      </c>
      <c r="K2698" t="s">
        <v>245</v>
      </c>
      <c r="L2698" t="s">
        <v>235</v>
      </c>
      <c r="M2698" t="s">
        <v>236</v>
      </c>
      <c r="N2698" t="s">
        <v>237</v>
      </c>
      <c r="O2698" s="27">
        <v>46055</v>
      </c>
    </row>
    <row r="2699" spans="2:15" hidden="1" x14ac:dyDescent="0.3">
      <c r="B2699">
        <v>9303108</v>
      </c>
      <c r="C2699" t="s">
        <v>260</v>
      </c>
      <c r="D2699">
        <v>69493</v>
      </c>
      <c r="E2699" t="s">
        <v>150</v>
      </c>
      <c r="F2699" t="s">
        <v>355</v>
      </c>
      <c r="G2699" s="28">
        <v>5</v>
      </c>
      <c r="H2699" s="32">
        <v>0.66</v>
      </c>
      <c r="I2699" s="32">
        <v>49.85</v>
      </c>
      <c r="J2699" t="s">
        <v>267</v>
      </c>
      <c r="K2699" t="s">
        <v>245</v>
      </c>
      <c r="L2699" t="s">
        <v>235</v>
      </c>
      <c r="M2699" t="s">
        <v>236</v>
      </c>
      <c r="N2699" t="s">
        <v>240</v>
      </c>
      <c r="O2699" s="27">
        <v>46057</v>
      </c>
    </row>
    <row r="2700" spans="2:15" hidden="1" x14ac:dyDescent="0.3">
      <c r="B2700">
        <v>12429967</v>
      </c>
      <c r="C2700" t="s">
        <v>260</v>
      </c>
      <c r="D2700">
        <v>21468</v>
      </c>
      <c r="E2700" t="s">
        <v>150</v>
      </c>
      <c r="F2700" t="s">
        <v>164</v>
      </c>
      <c r="G2700" s="28">
        <v>1</v>
      </c>
      <c r="H2700" s="32">
        <v>0.66</v>
      </c>
      <c r="I2700" s="32">
        <v>45.83</v>
      </c>
      <c r="J2700" t="s">
        <v>239</v>
      </c>
      <c r="K2700" t="s">
        <v>245</v>
      </c>
      <c r="L2700" t="s">
        <v>235</v>
      </c>
      <c r="M2700" t="s">
        <v>236</v>
      </c>
      <c r="N2700" t="s">
        <v>240</v>
      </c>
      <c r="O2700" s="27">
        <v>46055</v>
      </c>
    </row>
    <row r="2701" spans="2:15" hidden="1" x14ac:dyDescent="0.3">
      <c r="B2701">
        <v>9673848</v>
      </c>
      <c r="C2701" t="s">
        <v>231</v>
      </c>
      <c r="D2701">
        <v>22674</v>
      </c>
      <c r="E2701" t="s">
        <v>150</v>
      </c>
      <c r="F2701" t="s">
        <v>337</v>
      </c>
      <c r="G2701" s="28">
        <v>1</v>
      </c>
      <c r="H2701" s="32">
        <v>0.65</v>
      </c>
      <c r="I2701" s="32">
        <v>36.75</v>
      </c>
      <c r="J2701" t="s">
        <v>239</v>
      </c>
      <c r="K2701" t="s">
        <v>245</v>
      </c>
      <c r="L2701" t="s">
        <v>235</v>
      </c>
      <c r="M2701" t="s">
        <v>236</v>
      </c>
      <c r="N2701" t="s">
        <v>237</v>
      </c>
      <c r="O2701" s="27">
        <v>46055</v>
      </c>
    </row>
    <row r="2702" spans="2:15" hidden="1" x14ac:dyDescent="0.3">
      <c r="B2702">
        <v>5263260</v>
      </c>
      <c r="C2702" t="s">
        <v>231</v>
      </c>
      <c r="D2702">
        <v>23648</v>
      </c>
      <c r="E2702" t="s">
        <v>150</v>
      </c>
      <c r="F2702" t="s">
        <v>160</v>
      </c>
      <c r="G2702" s="28">
        <v>1</v>
      </c>
      <c r="H2702" s="32">
        <v>0.65</v>
      </c>
      <c r="I2702" s="32">
        <v>87.28</v>
      </c>
      <c r="J2702" t="s">
        <v>239</v>
      </c>
      <c r="K2702" t="s">
        <v>245</v>
      </c>
      <c r="L2702" t="s">
        <v>235</v>
      </c>
      <c r="M2702" t="s">
        <v>236</v>
      </c>
      <c r="N2702" t="s">
        <v>240</v>
      </c>
      <c r="O2702" s="27">
        <v>46063</v>
      </c>
    </row>
    <row r="2703" spans="2:15" hidden="1" x14ac:dyDescent="0.3">
      <c r="B2703">
        <v>7131667</v>
      </c>
      <c r="C2703" t="s">
        <v>231</v>
      </c>
      <c r="D2703">
        <v>21468</v>
      </c>
      <c r="E2703" t="s">
        <v>150</v>
      </c>
      <c r="F2703" t="s">
        <v>319</v>
      </c>
      <c r="G2703" s="28">
        <v>1</v>
      </c>
      <c r="H2703" s="32">
        <v>0.65</v>
      </c>
      <c r="I2703" s="32">
        <v>37.49</v>
      </c>
      <c r="J2703" t="s">
        <v>239</v>
      </c>
      <c r="K2703" t="s">
        <v>245</v>
      </c>
      <c r="L2703" t="s">
        <v>235</v>
      </c>
      <c r="M2703" t="s">
        <v>236</v>
      </c>
      <c r="N2703" t="s">
        <v>240</v>
      </c>
      <c r="O2703" s="27">
        <v>46055</v>
      </c>
    </row>
    <row r="2704" spans="2:15" x14ac:dyDescent="0.3">
      <c r="B2704">
        <v>8907980</v>
      </c>
      <c r="C2704" t="s">
        <v>231</v>
      </c>
      <c r="D2704">
        <v>22103</v>
      </c>
      <c r="E2704" t="s">
        <v>150</v>
      </c>
      <c r="F2704" t="s">
        <v>319</v>
      </c>
      <c r="G2704" s="28">
        <v>1</v>
      </c>
      <c r="H2704" s="32">
        <v>0.65</v>
      </c>
      <c r="I2704" s="32">
        <v>37.49</v>
      </c>
      <c r="J2704" t="s">
        <v>239</v>
      </c>
      <c r="K2704" t="s">
        <v>245</v>
      </c>
      <c r="L2704" t="s">
        <v>235</v>
      </c>
      <c r="M2704" t="s">
        <v>236</v>
      </c>
      <c r="N2704" t="s">
        <v>240</v>
      </c>
      <c r="O2704" s="27">
        <v>46055</v>
      </c>
    </row>
    <row r="2705" spans="2:15" hidden="1" x14ac:dyDescent="0.3">
      <c r="B2705">
        <v>18702217</v>
      </c>
      <c r="C2705" t="s">
        <v>260</v>
      </c>
      <c r="D2705">
        <v>74304</v>
      </c>
      <c r="E2705" t="s">
        <v>150</v>
      </c>
      <c r="F2705" t="s">
        <v>272</v>
      </c>
      <c r="G2705" s="28">
        <v>15</v>
      </c>
      <c r="H2705" s="32">
        <v>0.65</v>
      </c>
      <c r="I2705" s="32">
        <v>98.08</v>
      </c>
      <c r="J2705" t="s">
        <v>239</v>
      </c>
      <c r="K2705" t="s">
        <v>245</v>
      </c>
      <c r="L2705" t="s">
        <v>235</v>
      </c>
      <c r="M2705" t="s">
        <v>236</v>
      </c>
      <c r="N2705" t="s">
        <v>237</v>
      </c>
      <c r="O2705" s="27">
        <v>46055</v>
      </c>
    </row>
    <row r="2706" spans="2:15" hidden="1" x14ac:dyDescent="0.3">
      <c r="B2706">
        <v>3918792</v>
      </c>
      <c r="C2706" t="s">
        <v>260</v>
      </c>
      <c r="D2706">
        <v>23648</v>
      </c>
      <c r="E2706" t="s">
        <v>150</v>
      </c>
      <c r="F2706" t="s">
        <v>319</v>
      </c>
      <c r="G2706" s="28">
        <v>1</v>
      </c>
      <c r="H2706" s="32">
        <v>0.65</v>
      </c>
      <c r="I2706" s="32">
        <v>37.49</v>
      </c>
      <c r="J2706" t="s">
        <v>239</v>
      </c>
      <c r="K2706" t="s">
        <v>245</v>
      </c>
      <c r="L2706" t="s">
        <v>235</v>
      </c>
      <c r="M2706" t="s">
        <v>236</v>
      </c>
      <c r="N2706" t="s">
        <v>240</v>
      </c>
      <c r="O2706" s="27">
        <v>46055</v>
      </c>
    </row>
    <row r="2707" spans="2:15" hidden="1" x14ac:dyDescent="0.3">
      <c r="B2707">
        <v>9945666</v>
      </c>
      <c r="C2707" t="s">
        <v>260</v>
      </c>
      <c r="D2707">
        <v>68710</v>
      </c>
      <c r="E2707" t="s">
        <v>150</v>
      </c>
      <c r="F2707" t="s">
        <v>319</v>
      </c>
      <c r="G2707" s="28">
        <v>1</v>
      </c>
      <c r="H2707" s="32">
        <v>0.65</v>
      </c>
      <c r="I2707" s="32">
        <v>37.49</v>
      </c>
      <c r="J2707" t="s">
        <v>239</v>
      </c>
      <c r="K2707" t="s">
        <v>245</v>
      </c>
      <c r="L2707" t="s">
        <v>235</v>
      </c>
      <c r="M2707" t="s">
        <v>236</v>
      </c>
      <c r="N2707" t="s">
        <v>240</v>
      </c>
      <c r="O2707" s="27">
        <v>46055</v>
      </c>
    </row>
    <row r="2708" spans="2:15" hidden="1" x14ac:dyDescent="0.3">
      <c r="B2708">
        <v>3321439</v>
      </c>
      <c r="C2708" t="s">
        <v>231</v>
      </c>
      <c r="D2708">
        <v>22674</v>
      </c>
      <c r="E2708" t="s">
        <v>150</v>
      </c>
      <c r="F2708" t="s">
        <v>277</v>
      </c>
      <c r="G2708" s="28">
        <v>1</v>
      </c>
      <c r="H2708" s="32">
        <v>0.64</v>
      </c>
      <c r="I2708" s="32">
        <v>36.28</v>
      </c>
      <c r="J2708" t="s">
        <v>239</v>
      </c>
      <c r="K2708" t="s">
        <v>245</v>
      </c>
      <c r="L2708" t="s">
        <v>235</v>
      </c>
      <c r="M2708" t="s">
        <v>236</v>
      </c>
      <c r="N2708" t="s">
        <v>237</v>
      </c>
      <c r="O2708" s="27">
        <v>46055</v>
      </c>
    </row>
    <row r="2709" spans="2:15" hidden="1" x14ac:dyDescent="0.3">
      <c r="B2709">
        <v>440722</v>
      </c>
      <c r="C2709" t="s">
        <v>231</v>
      </c>
      <c r="D2709">
        <v>21468</v>
      </c>
      <c r="E2709" t="s">
        <v>150</v>
      </c>
      <c r="F2709" t="s">
        <v>276</v>
      </c>
      <c r="G2709" s="28">
        <v>3</v>
      </c>
      <c r="H2709" s="32">
        <v>0.64</v>
      </c>
      <c r="I2709" s="32">
        <v>90.81</v>
      </c>
      <c r="J2709" t="s">
        <v>239</v>
      </c>
      <c r="K2709" t="s">
        <v>245</v>
      </c>
      <c r="L2709" t="s">
        <v>235</v>
      </c>
      <c r="M2709" t="s">
        <v>236</v>
      </c>
      <c r="N2709" t="s">
        <v>240</v>
      </c>
      <c r="O2709" s="27">
        <v>46055</v>
      </c>
    </row>
    <row r="2710" spans="2:15" hidden="1" x14ac:dyDescent="0.3">
      <c r="B2710">
        <v>3343807</v>
      </c>
      <c r="C2710" t="s">
        <v>231</v>
      </c>
      <c r="D2710">
        <v>69519</v>
      </c>
      <c r="E2710" t="s">
        <v>150</v>
      </c>
      <c r="F2710" t="s">
        <v>416</v>
      </c>
      <c r="G2710" s="28">
        <v>2</v>
      </c>
      <c r="H2710" s="32">
        <v>0.64</v>
      </c>
      <c r="I2710" s="32">
        <v>166.29</v>
      </c>
      <c r="J2710" t="s">
        <v>267</v>
      </c>
      <c r="K2710" t="s">
        <v>245</v>
      </c>
      <c r="L2710" t="s">
        <v>235</v>
      </c>
      <c r="M2710" t="s">
        <v>236</v>
      </c>
      <c r="N2710" t="s">
        <v>240</v>
      </c>
      <c r="O2710" s="27">
        <v>46063</v>
      </c>
    </row>
    <row r="2711" spans="2:15" hidden="1" x14ac:dyDescent="0.3">
      <c r="B2711">
        <v>2190399</v>
      </c>
      <c r="C2711" t="s">
        <v>231</v>
      </c>
      <c r="D2711">
        <v>68542</v>
      </c>
      <c r="E2711" t="s">
        <v>150</v>
      </c>
      <c r="F2711" t="s">
        <v>246</v>
      </c>
      <c r="G2711" s="28">
        <v>1</v>
      </c>
      <c r="H2711" s="32">
        <v>0.64</v>
      </c>
      <c r="I2711" s="32">
        <v>36.94</v>
      </c>
      <c r="J2711" t="s">
        <v>239</v>
      </c>
      <c r="K2711" t="s">
        <v>245</v>
      </c>
      <c r="L2711" t="s">
        <v>235</v>
      </c>
      <c r="M2711" t="s">
        <v>236</v>
      </c>
      <c r="N2711" t="s">
        <v>240</v>
      </c>
      <c r="O2711" s="27">
        <v>46055</v>
      </c>
    </row>
    <row r="2712" spans="2:15" hidden="1" x14ac:dyDescent="0.3">
      <c r="B2712">
        <v>7131667</v>
      </c>
      <c r="C2712" t="s">
        <v>231</v>
      </c>
      <c r="D2712">
        <v>21468</v>
      </c>
      <c r="E2712" t="s">
        <v>150</v>
      </c>
      <c r="F2712" t="s">
        <v>337</v>
      </c>
      <c r="G2712" s="28">
        <v>1</v>
      </c>
      <c r="H2712" s="32">
        <v>0.64</v>
      </c>
      <c r="I2712" s="32">
        <v>36.75</v>
      </c>
      <c r="J2712" t="s">
        <v>239</v>
      </c>
      <c r="K2712" t="s">
        <v>245</v>
      </c>
      <c r="L2712" t="s">
        <v>235</v>
      </c>
      <c r="M2712" t="s">
        <v>236</v>
      </c>
      <c r="N2712" t="s">
        <v>237</v>
      </c>
      <c r="O2712" s="27">
        <v>46055</v>
      </c>
    </row>
    <row r="2713" spans="2:15" x14ac:dyDescent="0.3">
      <c r="B2713">
        <v>7397602</v>
      </c>
      <c r="C2713" t="s">
        <v>231</v>
      </c>
      <c r="D2713">
        <v>22103</v>
      </c>
      <c r="E2713" t="s">
        <v>150</v>
      </c>
      <c r="F2713" t="s">
        <v>160</v>
      </c>
      <c r="G2713" s="28">
        <v>4</v>
      </c>
      <c r="H2713" s="32">
        <v>0.64</v>
      </c>
      <c r="I2713" s="32">
        <v>348.46</v>
      </c>
      <c r="J2713" t="s">
        <v>239</v>
      </c>
      <c r="K2713" t="s">
        <v>245</v>
      </c>
      <c r="L2713" t="s">
        <v>235</v>
      </c>
      <c r="M2713" t="s">
        <v>236</v>
      </c>
      <c r="N2713" t="s">
        <v>240</v>
      </c>
      <c r="O2713" s="27">
        <v>46063</v>
      </c>
    </row>
    <row r="2714" spans="2:15" hidden="1" x14ac:dyDescent="0.3">
      <c r="B2714">
        <v>9303108</v>
      </c>
      <c r="C2714" t="s">
        <v>260</v>
      </c>
      <c r="D2714">
        <v>69493</v>
      </c>
      <c r="E2714" t="s">
        <v>150</v>
      </c>
      <c r="F2714" t="s">
        <v>301</v>
      </c>
      <c r="G2714" s="28">
        <v>5</v>
      </c>
      <c r="H2714" s="32">
        <v>0.64</v>
      </c>
      <c r="I2714" s="32">
        <v>40.17</v>
      </c>
      <c r="J2714" t="s">
        <v>267</v>
      </c>
      <c r="K2714" t="s">
        <v>245</v>
      </c>
      <c r="L2714" t="s">
        <v>235</v>
      </c>
      <c r="M2714" t="s">
        <v>236</v>
      </c>
      <c r="N2714" t="s">
        <v>240</v>
      </c>
      <c r="O2714" s="27">
        <v>46057</v>
      </c>
    </row>
    <row r="2715" spans="2:15" hidden="1" x14ac:dyDescent="0.3">
      <c r="B2715">
        <v>3436001</v>
      </c>
      <c r="C2715" t="s">
        <v>260</v>
      </c>
      <c r="D2715">
        <v>21468</v>
      </c>
      <c r="E2715" t="s">
        <v>150</v>
      </c>
      <c r="F2715" t="s">
        <v>271</v>
      </c>
      <c r="G2715" s="28">
        <v>4</v>
      </c>
      <c r="H2715" s="32">
        <v>0.64</v>
      </c>
      <c r="I2715" s="32">
        <v>70.62</v>
      </c>
      <c r="J2715" t="s">
        <v>239</v>
      </c>
      <c r="K2715" t="s">
        <v>245</v>
      </c>
      <c r="L2715" t="s">
        <v>235</v>
      </c>
      <c r="M2715" t="s">
        <v>236</v>
      </c>
      <c r="N2715" t="s">
        <v>237</v>
      </c>
      <c r="O2715" s="27">
        <v>46055</v>
      </c>
    </row>
    <row r="2716" spans="2:15" hidden="1" x14ac:dyDescent="0.3">
      <c r="B2716">
        <v>3461330</v>
      </c>
      <c r="C2716" t="s">
        <v>260</v>
      </c>
      <c r="D2716">
        <v>21468</v>
      </c>
      <c r="E2716" t="s">
        <v>150</v>
      </c>
      <c r="F2716" t="s">
        <v>271</v>
      </c>
      <c r="G2716" s="28">
        <v>3</v>
      </c>
      <c r="H2716" s="32">
        <v>0.64</v>
      </c>
      <c r="I2716" s="32">
        <v>55.41</v>
      </c>
      <c r="J2716" t="s">
        <v>239</v>
      </c>
      <c r="K2716" t="s">
        <v>245</v>
      </c>
      <c r="L2716" t="s">
        <v>235</v>
      </c>
      <c r="M2716" t="s">
        <v>236</v>
      </c>
      <c r="N2716" t="s">
        <v>237</v>
      </c>
      <c r="O2716" s="27">
        <v>46063</v>
      </c>
    </row>
    <row r="2717" spans="2:15" hidden="1" x14ac:dyDescent="0.3">
      <c r="B2717">
        <v>3918792</v>
      </c>
      <c r="C2717" t="s">
        <v>260</v>
      </c>
      <c r="D2717">
        <v>23648</v>
      </c>
      <c r="E2717" t="s">
        <v>150</v>
      </c>
      <c r="F2717" t="s">
        <v>337</v>
      </c>
      <c r="G2717" s="28">
        <v>1</v>
      </c>
      <c r="H2717" s="32">
        <v>0.64</v>
      </c>
      <c r="I2717" s="32">
        <v>36.75</v>
      </c>
      <c r="J2717" t="s">
        <v>239</v>
      </c>
      <c r="K2717" t="s">
        <v>245</v>
      </c>
      <c r="L2717" t="s">
        <v>235</v>
      </c>
      <c r="M2717" t="s">
        <v>236</v>
      </c>
      <c r="N2717" t="s">
        <v>237</v>
      </c>
      <c r="O2717" s="27">
        <v>46055</v>
      </c>
    </row>
    <row r="2718" spans="2:15" hidden="1" x14ac:dyDescent="0.3">
      <c r="B2718">
        <v>9945666</v>
      </c>
      <c r="C2718" t="s">
        <v>260</v>
      </c>
      <c r="D2718">
        <v>68710</v>
      </c>
      <c r="E2718" t="s">
        <v>150</v>
      </c>
      <c r="F2718" t="s">
        <v>337</v>
      </c>
      <c r="G2718" s="28">
        <v>1</v>
      </c>
      <c r="H2718" s="32">
        <v>0.64</v>
      </c>
      <c r="I2718" s="32">
        <v>36.75</v>
      </c>
      <c r="J2718" t="s">
        <v>239</v>
      </c>
      <c r="K2718" t="s">
        <v>245</v>
      </c>
      <c r="L2718" t="s">
        <v>235</v>
      </c>
      <c r="M2718" t="s">
        <v>236</v>
      </c>
      <c r="N2718" t="s">
        <v>237</v>
      </c>
      <c r="O2718" s="27">
        <v>46055</v>
      </c>
    </row>
    <row r="2719" spans="2:15" hidden="1" x14ac:dyDescent="0.3">
      <c r="B2719">
        <v>3270381</v>
      </c>
      <c r="C2719" t="s">
        <v>260</v>
      </c>
      <c r="D2719">
        <v>21559</v>
      </c>
      <c r="E2719" t="s">
        <v>150</v>
      </c>
      <c r="F2719" t="s">
        <v>319</v>
      </c>
      <c r="G2719" s="28">
        <v>1</v>
      </c>
      <c r="H2719" s="32">
        <v>0.64</v>
      </c>
      <c r="I2719" s="32">
        <v>37.49</v>
      </c>
      <c r="J2719" t="s">
        <v>239</v>
      </c>
      <c r="K2719" t="s">
        <v>245</v>
      </c>
      <c r="L2719" t="s">
        <v>235</v>
      </c>
      <c r="M2719" t="s">
        <v>236</v>
      </c>
      <c r="N2719" t="s">
        <v>240</v>
      </c>
      <c r="O2719" s="27">
        <v>46055</v>
      </c>
    </row>
    <row r="2720" spans="2:15" hidden="1" x14ac:dyDescent="0.3">
      <c r="B2720">
        <v>3321439</v>
      </c>
      <c r="C2720" t="s">
        <v>231</v>
      </c>
      <c r="D2720">
        <v>22674</v>
      </c>
      <c r="E2720" t="s">
        <v>150</v>
      </c>
      <c r="F2720" t="s">
        <v>271</v>
      </c>
      <c r="G2720" s="28">
        <v>3</v>
      </c>
      <c r="H2720" s="32">
        <v>0.63</v>
      </c>
      <c r="I2720" s="32">
        <v>55.34</v>
      </c>
      <c r="J2720" t="s">
        <v>239</v>
      </c>
      <c r="K2720" t="s">
        <v>245</v>
      </c>
      <c r="L2720" t="s">
        <v>235</v>
      </c>
      <c r="M2720" t="s">
        <v>236</v>
      </c>
      <c r="N2720" t="s">
        <v>240</v>
      </c>
      <c r="O2720" s="27">
        <v>46063</v>
      </c>
    </row>
    <row r="2721" spans="2:15" hidden="1" x14ac:dyDescent="0.3">
      <c r="B2721">
        <v>6859448</v>
      </c>
      <c r="C2721" t="s">
        <v>231</v>
      </c>
      <c r="D2721">
        <v>25619</v>
      </c>
      <c r="E2721" t="s">
        <v>150</v>
      </c>
      <c r="F2721" t="s">
        <v>271</v>
      </c>
      <c r="G2721" s="28">
        <v>3</v>
      </c>
      <c r="H2721" s="32">
        <v>0.63</v>
      </c>
      <c r="I2721" s="32">
        <v>55.42</v>
      </c>
      <c r="J2721" t="s">
        <v>239</v>
      </c>
      <c r="K2721" t="s">
        <v>245</v>
      </c>
      <c r="L2721" t="s">
        <v>235</v>
      </c>
      <c r="M2721" t="s">
        <v>236</v>
      </c>
      <c r="N2721" t="s">
        <v>237</v>
      </c>
      <c r="O2721" s="27">
        <v>46063</v>
      </c>
    </row>
    <row r="2722" spans="2:15" hidden="1" x14ac:dyDescent="0.3">
      <c r="B2722">
        <v>2632292</v>
      </c>
      <c r="C2722" t="s">
        <v>231</v>
      </c>
      <c r="D2722">
        <v>69519</v>
      </c>
      <c r="E2722" t="s">
        <v>150</v>
      </c>
      <c r="F2722" t="s">
        <v>361</v>
      </c>
      <c r="G2722" s="28">
        <v>3</v>
      </c>
      <c r="H2722" s="32">
        <v>0.63</v>
      </c>
      <c r="I2722" s="32">
        <v>113.49</v>
      </c>
      <c r="J2722" t="s">
        <v>330</v>
      </c>
      <c r="K2722" t="s">
        <v>234</v>
      </c>
      <c r="L2722" t="s">
        <v>235</v>
      </c>
      <c r="M2722" t="s">
        <v>236</v>
      </c>
      <c r="N2722" t="s">
        <v>237</v>
      </c>
      <c r="O2722" s="27">
        <v>46073</v>
      </c>
    </row>
    <row r="2723" spans="2:15" x14ac:dyDescent="0.3">
      <c r="B2723">
        <v>8907980</v>
      </c>
      <c r="C2723" t="s">
        <v>231</v>
      </c>
      <c r="D2723">
        <v>22103</v>
      </c>
      <c r="E2723" t="s">
        <v>150</v>
      </c>
      <c r="F2723" t="s">
        <v>337</v>
      </c>
      <c r="G2723" s="28">
        <v>1</v>
      </c>
      <c r="H2723" s="32">
        <v>0.63</v>
      </c>
      <c r="I2723" s="32">
        <v>36.75</v>
      </c>
      <c r="J2723" t="s">
        <v>239</v>
      </c>
      <c r="K2723" t="s">
        <v>245</v>
      </c>
      <c r="L2723" t="s">
        <v>235</v>
      </c>
      <c r="M2723" t="s">
        <v>236</v>
      </c>
      <c r="N2723" t="s">
        <v>237</v>
      </c>
      <c r="O2723" s="27">
        <v>46055</v>
      </c>
    </row>
    <row r="2724" spans="2:15" hidden="1" x14ac:dyDescent="0.3">
      <c r="B2724">
        <v>3270381</v>
      </c>
      <c r="C2724" t="s">
        <v>260</v>
      </c>
      <c r="D2724">
        <v>21559</v>
      </c>
      <c r="E2724" t="s">
        <v>150</v>
      </c>
      <c r="F2724" t="s">
        <v>301</v>
      </c>
      <c r="G2724" s="28">
        <v>4</v>
      </c>
      <c r="H2724" s="32">
        <v>0.63</v>
      </c>
      <c r="I2724" s="32">
        <v>32.14</v>
      </c>
      <c r="J2724" t="s">
        <v>267</v>
      </c>
      <c r="K2724" t="s">
        <v>245</v>
      </c>
      <c r="L2724" t="s">
        <v>235</v>
      </c>
      <c r="M2724" t="s">
        <v>236</v>
      </c>
      <c r="N2724" t="s">
        <v>240</v>
      </c>
      <c r="O2724" s="27">
        <v>46057</v>
      </c>
    </row>
    <row r="2725" spans="2:15" hidden="1" x14ac:dyDescent="0.3">
      <c r="B2725">
        <v>3593981</v>
      </c>
      <c r="C2725" t="s">
        <v>260</v>
      </c>
      <c r="D2725">
        <v>23648</v>
      </c>
      <c r="E2725" t="s">
        <v>150</v>
      </c>
      <c r="F2725" t="s">
        <v>282</v>
      </c>
      <c r="G2725" s="28">
        <v>1</v>
      </c>
      <c r="H2725" s="32">
        <v>0.63</v>
      </c>
      <c r="I2725" s="32">
        <v>51.08</v>
      </c>
      <c r="J2725" t="s">
        <v>239</v>
      </c>
      <c r="K2725" t="s">
        <v>245</v>
      </c>
      <c r="L2725" t="s">
        <v>235</v>
      </c>
      <c r="M2725" t="s">
        <v>236</v>
      </c>
      <c r="N2725" t="s">
        <v>240</v>
      </c>
      <c r="O2725" s="27">
        <v>46063</v>
      </c>
    </row>
    <row r="2726" spans="2:15" hidden="1" x14ac:dyDescent="0.3">
      <c r="B2726">
        <v>9303108</v>
      </c>
      <c r="C2726" t="s">
        <v>260</v>
      </c>
      <c r="D2726">
        <v>69493</v>
      </c>
      <c r="E2726" t="s">
        <v>150</v>
      </c>
      <c r="F2726" t="s">
        <v>406</v>
      </c>
      <c r="G2726" s="28">
        <v>1</v>
      </c>
      <c r="H2726" s="32">
        <v>0.63</v>
      </c>
      <c r="I2726" s="32">
        <v>126.41</v>
      </c>
      <c r="J2726" t="s">
        <v>267</v>
      </c>
      <c r="K2726" t="s">
        <v>245</v>
      </c>
      <c r="L2726" t="s">
        <v>235</v>
      </c>
      <c r="M2726" t="s">
        <v>236</v>
      </c>
      <c r="N2726" t="s">
        <v>237</v>
      </c>
      <c r="O2726" s="27">
        <v>46057</v>
      </c>
    </row>
    <row r="2727" spans="2:15" hidden="1" x14ac:dyDescent="0.3">
      <c r="B2727">
        <v>3593981</v>
      </c>
      <c r="C2727" t="s">
        <v>260</v>
      </c>
      <c r="D2727">
        <v>23648</v>
      </c>
      <c r="E2727" t="s">
        <v>150</v>
      </c>
      <c r="F2727" t="s">
        <v>164</v>
      </c>
      <c r="G2727" s="28">
        <v>1</v>
      </c>
      <c r="H2727" s="32">
        <v>0.63</v>
      </c>
      <c r="I2727" s="32">
        <v>48.61</v>
      </c>
      <c r="J2727" t="s">
        <v>239</v>
      </c>
      <c r="K2727" t="s">
        <v>245</v>
      </c>
      <c r="L2727" t="s">
        <v>235</v>
      </c>
      <c r="M2727" t="s">
        <v>236</v>
      </c>
      <c r="N2727" t="s">
        <v>240</v>
      </c>
      <c r="O2727" s="27">
        <v>46063</v>
      </c>
    </row>
    <row r="2728" spans="2:15" hidden="1" x14ac:dyDescent="0.3">
      <c r="B2728">
        <v>3593981</v>
      </c>
      <c r="C2728" t="s">
        <v>260</v>
      </c>
      <c r="D2728">
        <v>23648</v>
      </c>
      <c r="E2728" t="s">
        <v>150</v>
      </c>
      <c r="F2728" t="s">
        <v>337</v>
      </c>
      <c r="G2728" s="28">
        <v>1</v>
      </c>
      <c r="H2728" s="32">
        <v>0.63</v>
      </c>
      <c r="I2728" s="32">
        <v>36.31</v>
      </c>
      <c r="J2728" t="s">
        <v>239</v>
      </c>
      <c r="K2728" t="s">
        <v>245</v>
      </c>
      <c r="L2728" t="s">
        <v>235</v>
      </c>
      <c r="M2728" t="s">
        <v>236</v>
      </c>
      <c r="N2728" t="s">
        <v>237</v>
      </c>
      <c r="O2728" s="27">
        <v>46063</v>
      </c>
    </row>
    <row r="2729" spans="2:15" hidden="1" x14ac:dyDescent="0.3">
      <c r="B2729">
        <v>3593981</v>
      </c>
      <c r="C2729" t="s">
        <v>260</v>
      </c>
      <c r="D2729">
        <v>23648</v>
      </c>
      <c r="E2729" t="s">
        <v>150</v>
      </c>
      <c r="F2729" t="s">
        <v>319</v>
      </c>
      <c r="G2729" s="28">
        <v>1</v>
      </c>
      <c r="H2729" s="32">
        <v>0.63</v>
      </c>
      <c r="I2729" s="32">
        <v>40.380000000000003</v>
      </c>
      <c r="J2729" t="s">
        <v>239</v>
      </c>
      <c r="K2729" t="s">
        <v>245</v>
      </c>
      <c r="L2729" t="s">
        <v>235</v>
      </c>
      <c r="M2729" t="s">
        <v>236</v>
      </c>
      <c r="N2729" t="s">
        <v>240</v>
      </c>
      <c r="O2729" s="27">
        <v>46063</v>
      </c>
    </row>
    <row r="2730" spans="2:15" hidden="1" x14ac:dyDescent="0.3">
      <c r="B2730">
        <v>307208</v>
      </c>
      <c r="C2730" t="s">
        <v>231</v>
      </c>
      <c r="D2730">
        <v>25619</v>
      </c>
      <c r="E2730" t="s">
        <v>150</v>
      </c>
      <c r="F2730" t="s">
        <v>340</v>
      </c>
      <c r="G2730" s="28">
        <v>2</v>
      </c>
      <c r="H2730" s="32">
        <v>0.62</v>
      </c>
      <c r="I2730" s="32">
        <v>118</v>
      </c>
      <c r="J2730" t="s">
        <v>330</v>
      </c>
      <c r="K2730" t="s">
        <v>234</v>
      </c>
      <c r="L2730" t="s">
        <v>235</v>
      </c>
      <c r="M2730" t="s">
        <v>236</v>
      </c>
      <c r="N2730" t="s">
        <v>237</v>
      </c>
      <c r="O2730" s="27">
        <v>46064</v>
      </c>
    </row>
    <row r="2731" spans="2:15" hidden="1" x14ac:dyDescent="0.3">
      <c r="B2731">
        <v>7131667</v>
      </c>
      <c r="C2731" t="s">
        <v>231</v>
      </c>
      <c r="D2731">
        <v>21468</v>
      </c>
      <c r="E2731" t="s">
        <v>150</v>
      </c>
      <c r="F2731" t="s">
        <v>271</v>
      </c>
      <c r="G2731" s="28">
        <v>2</v>
      </c>
      <c r="H2731" s="32">
        <v>0.62</v>
      </c>
      <c r="I2731" s="32">
        <v>35.31</v>
      </c>
      <c r="J2731" t="s">
        <v>239</v>
      </c>
      <c r="K2731" t="s">
        <v>245</v>
      </c>
      <c r="L2731" t="s">
        <v>235</v>
      </c>
      <c r="M2731" t="s">
        <v>236</v>
      </c>
      <c r="N2731" t="s">
        <v>237</v>
      </c>
      <c r="O2731" s="27">
        <v>46055</v>
      </c>
    </row>
    <row r="2732" spans="2:15" hidden="1" x14ac:dyDescent="0.3">
      <c r="B2732">
        <v>2590120</v>
      </c>
      <c r="C2732" t="s">
        <v>231</v>
      </c>
      <c r="D2732">
        <v>96553</v>
      </c>
      <c r="E2732" t="s">
        <v>150</v>
      </c>
      <c r="F2732" t="s">
        <v>164</v>
      </c>
      <c r="G2732" s="28">
        <v>1</v>
      </c>
      <c r="H2732" s="32">
        <v>0.62</v>
      </c>
      <c r="I2732" s="32">
        <v>45.83</v>
      </c>
      <c r="J2732" t="s">
        <v>239</v>
      </c>
      <c r="K2732" t="s">
        <v>245</v>
      </c>
      <c r="L2732" t="s">
        <v>235</v>
      </c>
      <c r="M2732" t="s">
        <v>236</v>
      </c>
      <c r="N2732" t="s">
        <v>240</v>
      </c>
      <c r="O2732" s="27">
        <v>46055</v>
      </c>
    </row>
    <row r="2733" spans="2:15" hidden="1" x14ac:dyDescent="0.3">
      <c r="B2733">
        <v>15389148</v>
      </c>
      <c r="C2733" t="s">
        <v>260</v>
      </c>
      <c r="D2733">
        <v>40901</v>
      </c>
      <c r="E2733" t="s">
        <v>150</v>
      </c>
      <c r="F2733" t="s">
        <v>277</v>
      </c>
      <c r="G2733" s="28">
        <v>1</v>
      </c>
      <c r="H2733" s="32">
        <v>0.62</v>
      </c>
      <c r="I2733" s="32">
        <v>36.28</v>
      </c>
      <c r="J2733" t="s">
        <v>239</v>
      </c>
      <c r="K2733" t="s">
        <v>245</v>
      </c>
      <c r="L2733" t="s">
        <v>235</v>
      </c>
      <c r="M2733" t="s">
        <v>236</v>
      </c>
      <c r="N2733" t="s">
        <v>237</v>
      </c>
      <c r="O2733" s="27">
        <v>46055</v>
      </c>
    </row>
    <row r="2734" spans="2:15" hidden="1" x14ac:dyDescent="0.3">
      <c r="B2734">
        <v>3918792</v>
      </c>
      <c r="C2734" t="s">
        <v>260</v>
      </c>
      <c r="D2734">
        <v>23648</v>
      </c>
      <c r="E2734" t="s">
        <v>150</v>
      </c>
      <c r="F2734" t="s">
        <v>271</v>
      </c>
      <c r="G2734" s="28">
        <v>2</v>
      </c>
      <c r="H2734" s="32">
        <v>0.62</v>
      </c>
      <c r="I2734" s="32">
        <v>35.31</v>
      </c>
      <c r="J2734" t="s">
        <v>239</v>
      </c>
      <c r="K2734" t="s">
        <v>245</v>
      </c>
      <c r="L2734" t="s">
        <v>235</v>
      </c>
      <c r="M2734" t="s">
        <v>236</v>
      </c>
      <c r="N2734" t="s">
        <v>237</v>
      </c>
      <c r="O2734" s="27">
        <v>46055</v>
      </c>
    </row>
    <row r="2735" spans="2:15" hidden="1" x14ac:dyDescent="0.3">
      <c r="B2735">
        <v>9945666</v>
      </c>
      <c r="C2735" t="s">
        <v>260</v>
      </c>
      <c r="D2735">
        <v>68710</v>
      </c>
      <c r="E2735" t="s">
        <v>150</v>
      </c>
      <c r="F2735" t="s">
        <v>271</v>
      </c>
      <c r="G2735" s="28">
        <v>2</v>
      </c>
      <c r="H2735" s="32">
        <v>0.62</v>
      </c>
      <c r="I2735" s="32">
        <v>35.31</v>
      </c>
      <c r="J2735" t="s">
        <v>239</v>
      </c>
      <c r="K2735" t="s">
        <v>245</v>
      </c>
      <c r="L2735" t="s">
        <v>235</v>
      </c>
      <c r="M2735" t="s">
        <v>236</v>
      </c>
      <c r="N2735" t="s">
        <v>237</v>
      </c>
      <c r="O2735" s="27">
        <v>46055</v>
      </c>
    </row>
    <row r="2736" spans="2:15" hidden="1" x14ac:dyDescent="0.3">
      <c r="B2736">
        <v>6905571</v>
      </c>
      <c r="C2736" t="s">
        <v>260</v>
      </c>
      <c r="D2736">
        <v>38517</v>
      </c>
      <c r="E2736" t="s">
        <v>150</v>
      </c>
      <c r="F2736" t="s">
        <v>272</v>
      </c>
      <c r="G2736" s="28">
        <v>11</v>
      </c>
      <c r="H2736" s="32">
        <v>0.62</v>
      </c>
      <c r="I2736" s="32">
        <v>71.92</v>
      </c>
      <c r="J2736" t="s">
        <v>239</v>
      </c>
      <c r="K2736" t="s">
        <v>245</v>
      </c>
      <c r="L2736" t="s">
        <v>235</v>
      </c>
      <c r="M2736" t="s">
        <v>236</v>
      </c>
      <c r="N2736" t="s">
        <v>237</v>
      </c>
      <c r="O2736" s="27">
        <v>46055</v>
      </c>
    </row>
    <row r="2737" spans="2:15" hidden="1" x14ac:dyDescent="0.3">
      <c r="B2737">
        <v>3270381</v>
      </c>
      <c r="C2737" t="s">
        <v>260</v>
      </c>
      <c r="D2737">
        <v>21559</v>
      </c>
      <c r="E2737" t="s">
        <v>150</v>
      </c>
      <c r="F2737" t="s">
        <v>337</v>
      </c>
      <c r="G2737" s="28">
        <v>1</v>
      </c>
      <c r="H2737" s="32">
        <v>0.62</v>
      </c>
      <c r="I2737" s="32">
        <v>36.75</v>
      </c>
      <c r="J2737" t="s">
        <v>239</v>
      </c>
      <c r="K2737" t="s">
        <v>245</v>
      </c>
      <c r="L2737" t="s">
        <v>235</v>
      </c>
      <c r="M2737" t="s">
        <v>236</v>
      </c>
      <c r="N2737" t="s">
        <v>237</v>
      </c>
      <c r="O2737" s="27">
        <v>46055</v>
      </c>
    </row>
    <row r="2738" spans="2:15" x14ac:dyDescent="0.3">
      <c r="B2738">
        <v>8907980</v>
      </c>
      <c r="C2738" t="s">
        <v>231</v>
      </c>
      <c r="D2738">
        <v>22103</v>
      </c>
      <c r="E2738" t="s">
        <v>150</v>
      </c>
      <c r="F2738" t="s">
        <v>271</v>
      </c>
      <c r="G2738" s="28">
        <v>2</v>
      </c>
      <c r="H2738" s="32">
        <v>0.61</v>
      </c>
      <c r="I2738" s="32">
        <v>35.31</v>
      </c>
      <c r="J2738" t="s">
        <v>239</v>
      </c>
      <c r="K2738" t="s">
        <v>245</v>
      </c>
      <c r="L2738" t="s">
        <v>235</v>
      </c>
      <c r="M2738" t="s">
        <v>236</v>
      </c>
      <c r="N2738" t="s">
        <v>237</v>
      </c>
      <c r="O2738" s="27">
        <v>46055</v>
      </c>
    </row>
    <row r="2739" spans="2:15" hidden="1" x14ac:dyDescent="0.3">
      <c r="B2739">
        <v>590816</v>
      </c>
      <c r="C2739" t="s">
        <v>231</v>
      </c>
      <c r="D2739">
        <v>38517</v>
      </c>
      <c r="E2739" t="s">
        <v>150</v>
      </c>
      <c r="F2739" t="s">
        <v>263</v>
      </c>
      <c r="G2739" s="28">
        <v>5</v>
      </c>
      <c r="H2739" s="32">
        <v>0.61</v>
      </c>
      <c r="I2739" s="32">
        <v>69.09</v>
      </c>
      <c r="J2739" t="s">
        <v>239</v>
      </c>
      <c r="K2739" t="s">
        <v>245</v>
      </c>
      <c r="L2739" t="s">
        <v>235</v>
      </c>
      <c r="M2739" t="s">
        <v>236</v>
      </c>
      <c r="N2739" t="s">
        <v>237</v>
      </c>
      <c r="O2739" s="27">
        <v>46055</v>
      </c>
    </row>
    <row r="2740" spans="2:15" hidden="1" x14ac:dyDescent="0.3">
      <c r="B2740">
        <v>1579</v>
      </c>
      <c r="C2740" t="s">
        <v>231</v>
      </c>
      <c r="D2740">
        <v>21468</v>
      </c>
      <c r="E2740" t="s">
        <v>150</v>
      </c>
      <c r="F2740" t="s">
        <v>164</v>
      </c>
      <c r="G2740" s="28">
        <v>1</v>
      </c>
      <c r="H2740" s="32">
        <v>0.61</v>
      </c>
      <c r="I2740" s="32">
        <v>45.83</v>
      </c>
      <c r="J2740" t="s">
        <v>239</v>
      </c>
      <c r="K2740" t="s">
        <v>245</v>
      </c>
      <c r="L2740" t="s">
        <v>235</v>
      </c>
      <c r="M2740" t="s">
        <v>236</v>
      </c>
      <c r="N2740" t="s">
        <v>240</v>
      </c>
      <c r="O2740" s="27">
        <v>46055</v>
      </c>
    </row>
    <row r="2741" spans="2:15" hidden="1" x14ac:dyDescent="0.3">
      <c r="B2741">
        <v>3496979</v>
      </c>
      <c r="C2741" t="s">
        <v>231</v>
      </c>
      <c r="D2741">
        <v>21468</v>
      </c>
      <c r="E2741" t="s">
        <v>150</v>
      </c>
      <c r="F2741" t="s">
        <v>337</v>
      </c>
      <c r="G2741" s="28">
        <v>1</v>
      </c>
      <c r="H2741" s="32">
        <v>0.61</v>
      </c>
      <c r="I2741" s="32">
        <v>36.75</v>
      </c>
      <c r="J2741" t="s">
        <v>239</v>
      </c>
      <c r="K2741" t="s">
        <v>245</v>
      </c>
      <c r="L2741" t="s">
        <v>235</v>
      </c>
      <c r="M2741" t="s">
        <v>236</v>
      </c>
      <c r="N2741" t="s">
        <v>237</v>
      </c>
      <c r="O2741" s="27">
        <v>46055</v>
      </c>
    </row>
    <row r="2742" spans="2:15" hidden="1" x14ac:dyDescent="0.3">
      <c r="B2742">
        <v>8218280</v>
      </c>
      <c r="C2742" t="s">
        <v>260</v>
      </c>
      <c r="D2742">
        <v>21559</v>
      </c>
      <c r="E2742" t="s">
        <v>150</v>
      </c>
      <c r="F2742" t="s">
        <v>331</v>
      </c>
      <c r="G2742" s="28">
        <v>4</v>
      </c>
      <c r="H2742" s="32">
        <v>0.61</v>
      </c>
      <c r="I2742" s="32">
        <v>38.58</v>
      </c>
      <c r="J2742" t="s">
        <v>267</v>
      </c>
      <c r="K2742" t="s">
        <v>245</v>
      </c>
      <c r="L2742" t="s">
        <v>235</v>
      </c>
      <c r="M2742" t="s">
        <v>236</v>
      </c>
      <c r="N2742" t="s">
        <v>240</v>
      </c>
      <c r="O2742" s="27">
        <v>46062</v>
      </c>
    </row>
    <row r="2743" spans="2:15" hidden="1" x14ac:dyDescent="0.3">
      <c r="B2743">
        <v>3593981</v>
      </c>
      <c r="C2743" t="s">
        <v>260</v>
      </c>
      <c r="D2743">
        <v>23648</v>
      </c>
      <c r="E2743" t="s">
        <v>150</v>
      </c>
      <c r="F2743" t="s">
        <v>337</v>
      </c>
      <c r="G2743" s="28">
        <v>1</v>
      </c>
      <c r="H2743" s="32">
        <v>0.61</v>
      </c>
      <c r="I2743" s="32">
        <v>36.75</v>
      </c>
      <c r="J2743" t="s">
        <v>239</v>
      </c>
      <c r="K2743" t="s">
        <v>245</v>
      </c>
      <c r="L2743" t="s">
        <v>235</v>
      </c>
      <c r="M2743" t="s">
        <v>236</v>
      </c>
      <c r="N2743" t="s">
        <v>237</v>
      </c>
      <c r="O2743" s="27">
        <v>46055</v>
      </c>
    </row>
    <row r="2744" spans="2:15" hidden="1" x14ac:dyDescent="0.3">
      <c r="B2744">
        <v>5377617</v>
      </c>
      <c r="C2744" t="s">
        <v>231</v>
      </c>
      <c r="D2744">
        <v>21559</v>
      </c>
      <c r="E2744" t="s">
        <v>150</v>
      </c>
      <c r="F2744" t="s">
        <v>271</v>
      </c>
      <c r="G2744" s="28">
        <v>2</v>
      </c>
      <c r="H2744" s="32">
        <v>0.6</v>
      </c>
      <c r="I2744" s="32">
        <v>36.92</v>
      </c>
      <c r="J2744" t="s">
        <v>239</v>
      </c>
      <c r="K2744" t="s">
        <v>245</v>
      </c>
      <c r="L2744" t="s">
        <v>235</v>
      </c>
      <c r="M2744" t="s">
        <v>236</v>
      </c>
      <c r="N2744" t="s">
        <v>237</v>
      </c>
      <c r="O2744" s="27">
        <v>46063</v>
      </c>
    </row>
    <row r="2745" spans="2:15" hidden="1" x14ac:dyDescent="0.3">
      <c r="B2745">
        <v>3270381</v>
      </c>
      <c r="C2745" t="s">
        <v>260</v>
      </c>
      <c r="D2745">
        <v>21559</v>
      </c>
      <c r="E2745" t="s">
        <v>150</v>
      </c>
      <c r="F2745" t="s">
        <v>271</v>
      </c>
      <c r="G2745" s="28">
        <v>2</v>
      </c>
      <c r="H2745" s="32">
        <v>0.6</v>
      </c>
      <c r="I2745" s="32">
        <v>35.31</v>
      </c>
      <c r="J2745" t="s">
        <v>239</v>
      </c>
      <c r="K2745" t="s">
        <v>245</v>
      </c>
      <c r="L2745" t="s">
        <v>235</v>
      </c>
      <c r="M2745" t="s">
        <v>236</v>
      </c>
      <c r="N2745" t="s">
        <v>237</v>
      </c>
      <c r="O2745" s="27">
        <v>46055</v>
      </c>
    </row>
    <row r="2746" spans="2:15" hidden="1" x14ac:dyDescent="0.3">
      <c r="B2746">
        <v>12429967</v>
      </c>
      <c r="C2746" t="s">
        <v>260</v>
      </c>
      <c r="D2746">
        <v>21468</v>
      </c>
      <c r="E2746" t="s">
        <v>150</v>
      </c>
      <c r="F2746" t="s">
        <v>263</v>
      </c>
      <c r="G2746" s="28">
        <v>3</v>
      </c>
      <c r="H2746" s="32">
        <v>0.6</v>
      </c>
      <c r="I2746" s="32">
        <v>41.45</v>
      </c>
      <c r="J2746" t="s">
        <v>239</v>
      </c>
      <c r="K2746" t="s">
        <v>245</v>
      </c>
      <c r="L2746" t="s">
        <v>235</v>
      </c>
      <c r="M2746" t="s">
        <v>236</v>
      </c>
      <c r="N2746" t="s">
        <v>240</v>
      </c>
      <c r="O2746" s="27">
        <v>46055</v>
      </c>
    </row>
    <row r="2747" spans="2:15" hidden="1" x14ac:dyDescent="0.3">
      <c r="B2747">
        <v>6905571</v>
      </c>
      <c r="C2747" t="s">
        <v>260</v>
      </c>
      <c r="D2747">
        <v>38517</v>
      </c>
      <c r="E2747" t="s">
        <v>150</v>
      </c>
      <c r="F2747" t="s">
        <v>263</v>
      </c>
      <c r="G2747" s="28">
        <v>5</v>
      </c>
      <c r="H2747" s="32">
        <v>0.6</v>
      </c>
      <c r="I2747" s="32">
        <v>69.08</v>
      </c>
      <c r="J2747" t="s">
        <v>239</v>
      </c>
      <c r="K2747" t="s">
        <v>245</v>
      </c>
      <c r="L2747" t="s">
        <v>235</v>
      </c>
      <c r="M2747" t="s">
        <v>236</v>
      </c>
      <c r="N2747" t="s">
        <v>240</v>
      </c>
      <c r="O2747" s="27">
        <v>46055</v>
      </c>
    </row>
    <row r="2748" spans="2:15" hidden="1" x14ac:dyDescent="0.3">
      <c r="B2748">
        <v>560966</v>
      </c>
      <c r="C2748" t="s">
        <v>231</v>
      </c>
      <c r="D2748">
        <v>21468</v>
      </c>
      <c r="E2748" t="s">
        <v>150</v>
      </c>
      <c r="F2748" t="s">
        <v>164</v>
      </c>
      <c r="G2748" s="28">
        <v>1</v>
      </c>
      <c r="H2748" s="32">
        <v>0.59</v>
      </c>
      <c r="I2748" s="32">
        <v>45.83</v>
      </c>
      <c r="J2748" t="s">
        <v>239</v>
      </c>
      <c r="K2748" t="s">
        <v>245</v>
      </c>
      <c r="L2748" t="s">
        <v>235</v>
      </c>
      <c r="M2748" t="s">
        <v>236</v>
      </c>
      <c r="N2748" t="s">
        <v>240</v>
      </c>
      <c r="O2748" s="27">
        <v>46055</v>
      </c>
    </row>
    <row r="2749" spans="2:15" hidden="1" x14ac:dyDescent="0.3">
      <c r="B2749">
        <v>8581688</v>
      </c>
      <c r="C2749" t="s">
        <v>231</v>
      </c>
      <c r="D2749">
        <v>23648</v>
      </c>
      <c r="E2749" t="s">
        <v>150</v>
      </c>
      <c r="F2749" t="s">
        <v>337</v>
      </c>
      <c r="G2749" s="28">
        <v>1</v>
      </c>
      <c r="H2749" s="32">
        <v>0.59</v>
      </c>
      <c r="I2749" s="32">
        <v>36.75</v>
      </c>
      <c r="J2749" t="s">
        <v>239</v>
      </c>
      <c r="K2749" t="s">
        <v>245</v>
      </c>
      <c r="L2749" t="s">
        <v>235</v>
      </c>
      <c r="M2749" t="s">
        <v>236</v>
      </c>
      <c r="N2749" t="s">
        <v>237</v>
      </c>
      <c r="O2749" s="27">
        <v>46055</v>
      </c>
    </row>
    <row r="2750" spans="2:15" hidden="1" x14ac:dyDescent="0.3">
      <c r="B2750">
        <v>2562251</v>
      </c>
      <c r="C2750" t="s">
        <v>231</v>
      </c>
      <c r="D2750">
        <v>23648</v>
      </c>
      <c r="E2750" t="s">
        <v>150</v>
      </c>
      <c r="F2750" t="s">
        <v>160</v>
      </c>
      <c r="G2750" s="28">
        <v>1</v>
      </c>
      <c r="H2750" s="32">
        <v>0.59</v>
      </c>
      <c r="I2750" s="32">
        <v>87.3</v>
      </c>
      <c r="J2750" t="s">
        <v>239</v>
      </c>
      <c r="K2750" t="s">
        <v>245</v>
      </c>
      <c r="L2750" t="s">
        <v>235</v>
      </c>
      <c r="M2750" t="s">
        <v>236</v>
      </c>
      <c r="N2750" t="s">
        <v>240</v>
      </c>
      <c r="O2750" s="27">
        <v>46063</v>
      </c>
    </row>
    <row r="2751" spans="2:15" hidden="1" x14ac:dyDescent="0.3">
      <c r="B2751">
        <v>74468</v>
      </c>
      <c r="C2751" t="s">
        <v>260</v>
      </c>
      <c r="D2751">
        <v>69519</v>
      </c>
      <c r="E2751" t="s">
        <v>150</v>
      </c>
      <c r="F2751" t="s">
        <v>416</v>
      </c>
      <c r="G2751" s="28">
        <v>4</v>
      </c>
      <c r="H2751" s="32">
        <v>0.59</v>
      </c>
      <c r="I2751" s="32">
        <v>332.68</v>
      </c>
      <c r="J2751" t="s">
        <v>267</v>
      </c>
      <c r="K2751" t="s">
        <v>245</v>
      </c>
      <c r="L2751" t="s">
        <v>235</v>
      </c>
      <c r="M2751" t="s">
        <v>236</v>
      </c>
      <c r="N2751" t="s">
        <v>240</v>
      </c>
      <c r="O2751" s="27">
        <v>46063</v>
      </c>
    </row>
    <row r="2752" spans="2:15" hidden="1" x14ac:dyDescent="0.3">
      <c r="B2752">
        <v>18547873</v>
      </c>
      <c r="C2752" t="s">
        <v>260</v>
      </c>
      <c r="D2752">
        <v>38517</v>
      </c>
      <c r="E2752" t="s">
        <v>150</v>
      </c>
      <c r="F2752" t="s">
        <v>272</v>
      </c>
      <c r="G2752" s="28">
        <v>13</v>
      </c>
      <c r="H2752" s="32">
        <v>0.59</v>
      </c>
      <c r="I2752" s="32">
        <v>85</v>
      </c>
      <c r="J2752" t="s">
        <v>239</v>
      </c>
      <c r="K2752" t="s">
        <v>245</v>
      </c>
      <c r="L2752" t="s">
        <v>235</v>
      </c>
      <c r="M2752" t="s">
        <v>236</v>
      </c>
      <c r="N2752" t="s">
        <v>237</v>
      </c>
      <c r="O2752" s="27">
        <v>46055</v>
      </c>
    </row>
    <row r="2753" spans="2:15" x14ac:dyDescent="0.3">
      <c r="B2753">
        <v>5658854</v>
      </c>
      <c r="C2753" t="s">
        <v>231</v>
      </c>
      <c r="D2753">
        <v>22103</v>
      </c>
      <c r="E2753" t="s">
        <v>150</v>
      </c>
      <c r="F2753" t="s">
        <v>388</v>
      </c>
      <c r="G2753" s="28">
        <v>8</v>
      </c>
      <c r="H2753" s="32">
        <v>0.57999999999999996</v>
      </c>
      <c r="I2753" s="32">
        <v>114.72</v>
      </c>
      <c r="J2753" t="s">
        <v>330</v>
      </c>
      <c r="K2753" t="s">
        <v>234</v>
      </c>
      <c r="L2753" t="s">
        <v>235</v>
      </c>
      <c r="M2753" t="s">
        <v>236</v>
      </c>
      <c r="N2753" t="s">
        <v>240</v>
      </c>
      <c r="O2753" s="27">
        <v>46076</v>
      </c>
    </row>
    <row r="2754" spans="2:15" hidden="1" x14ac:dyDescent="0.3">
      <c r="B2754">
        <v>3666312</v>
      </c>
      <c r="C2754" t="s">
        <v>231</v>
      </c>
      <c r="D2754">
        <v>21468</v>
      </c>
      <c r="E2754" t="s">
        <v>150</v>
      </c>
      <c r="F2754" t="s">
        <v>277</v>
      </c>
      <c r="G2754" s="28">
        <v>1</v>
      </c>
      <c r="H2754" s="32">
        <v>0.57999999999999996</v>
      </c>
      <c r="I2754" s="32">
        <v>36.28</v>
      </c>
      <c r="J2754" t="s">
        <v>239</v>
      </c>
      <c r="K2754" t="s">
        <v>245</v>
      </c>
      <c r="L2754" t="s">
        <v>235</v>
      </c>
      <c r="M2754" t="s">
        <v>236</v>
      </c>
      <c r="N2754" t="s">
        <v>237</v>
      </c>
      <c r="O2754" s="27">
        <v>46055</v>
      </c>
    </row>
    <row r="2755" spans="2:15" hidden="1" x14ac:dyDescent="0.3">
      <c r="B2755">
        <v>3666312</v>
      </c>
      <c r="C2755" t="s">
        <v>231</v>
      </c>
      <c r="D2755">
        <v>21468</v>
      </c>
      <c r="E2755" t="s">
        <v>150</v>
      </c>
      <c r="F2755" t="s">
        <v>337</v>
      </c>
      <c r="G2755" s="28">
        <v>1</v>
      </c>
      <c r="H2755" s="32">
        <v>0.57999999999999996</v>
      </c>
      <c r="I2755" s="32">
        <v>36.75</v>
      </c>
      <c r="J2755" t="s">
        <v>239</v>
      </c>
      <c r="K2755" t="s">
        <v>245</v>
      </c>
      <c r="L2755" t="s">
        <v>235</v>
      </c>
      <c r="M2755" t="s">
        <v>236</v>
      </c>
      <c r="N2755" t="s">
        <v>237</v>
      </c>
      <c r="O2755" s="27">
        <v>46055</v>
      </c>
    </row>
    <row r="2756" spans="2:15" hidden="1" x14ac:dyDescent="0.3">
      <c r="B2756">
        <v>3593981</v>
      </c>
      <c r="C2756" t="s">
        <v>260</v>
      </c>
      <c r="D2756">
        <v>23648</v>
      </c>
      <c r="E2756" t="s">
        <v>150</v>
      </c>
      <c r="F2756" t="s">
        <v>271</v>
      </c>
      <c r="G2756" s="28">
        <v>2</v>
      </c>
      <c r="H2756" s="32">
        <v>0.57999999999999996</v>
      </c>
      <c r="I2756" s="32">
        <v>35.31</v>
      </c>
      <c r="J2756" t="s">
        <v>239</v>
      </c>
      <c r="K2756" t="s">
        <v>245</v>
      </c>
      <c r="L2756" t="s">
        <v>235</v>
      </c>
      <c r="M2756" t="s">
        <v>236</v>
      </c>
      <c r="N2756" t="s">
        <v>237</v>
      </c>
      <c r="O2756" s="27">
        <v>46055</v>
      </c>
    </row>
    <row r="2757" spans="2:15" hidden="1" x14ac:dyDescent="0.3">
      <c r="B2757">
        <v>18547873</v>
      </c>
      <c r="C2757" t="s">
        <v>260</v>
      </c>
      <c r="D2757">
        <v>38517</v>
      </c>
      <c r="E2757" t="s">
        <v>150</v>
      </c>
      <c r="F2757" t="s">
        <v>263</v>
      </c>
      <c r="G2757" s="28">
        <v>6</v>
      </c>
      <c r="H2757" s="32">
        <v>0.57999999999999996</v>
      </c>
      <c r="I2757" s="32">
        <v>82.9</v>
      </c>
      <c r="J2757" t="s">
        <v>239</v>
      </c>
      <c r="K2757" t="s">
        <v>245</v>
      </c>
      <c r="L2757" t="s">
        <v>235</v>
      </c>
      <c r="M2757" t="s">
        <v>236</v>
      </c>
      <c r="N2757" t="s">
        <v>240</v>
      </c>
      <c r="O2757" s="27">
        <v>46055</v>
      </c>
    </row>
    <row r="2758" spans="2:15" hidden="1" x14ac:dyDescent="0.3">
      <c r="B2758">
        <v>15112761</v>
      </c>
      <c r="C2758" t="s">
        <v>231</v>
      </c>
      <c r="D2758">
        <v>25619</v>
      </c>
      <c r="E2758" t="s">
        <v>150</v>
      </c>
      <c r="F2758" t="s">
        <v>276</v>
      </c>
      <c r="G2758" s="28">
        <v>2</v>
      </c>
      <c r="H2758" s="32">
        <v>0.56999999999999995</v>
      </c>
      <c r="I2758" s="32">
        <v>60.54</v>
      </c>
      <c r="J2758" t="s">
        <v>239</v>
      </c>
      <c r="K2758" t="s">
        <v>245</v>
      </c>
      <c r="L2758" t="s">
        <v>235</v>
      </c>
      <c r="M2758" t="s">
        <v>236</v>
      </c>
      <c r="N2758" t="s">
        <v>240</v>
      </c>
      <c r="O2758" s="27">
        <v>46055</v>
      </c>
    </row>
    <row r="2759" spans="2:15" hidden="1" x14ac:dyDescent="0.3">
      <c r="B2759">
        <v>15974810</v>
      </c>
      <c r="C2759" t="s">
        <v>231</v>
      </c>
      <c r="D2759">
        <v>49894</v>
      </c>
      <c r="E2759" t="s">
        <v>150</v>
      </c>
      <c r="F2759" t="s">
        <v>160</v>
      </c>
      <c r="G2759" s="28">
        <v>2</v>
      </c>
      <c r="H2759" s="32">
        <v>0.56999999999999995</v>
      </c>
      <c r="I2759" s="32">
        <v>174.18</v>
      </c>
      <c r="J2759" t="s">
        <v>239</v>
      </c>
      <c r="K2759" t="s">
        <v>245</v>
      </c>
      <c r="L2759" t="s">
        <v>235</v>
      </c>
      <c r="M2759" t="s">
        <v>236</v>
      </c>
      <c r="N2759" t="s">
        <v>240</v>
      </c>
      <c r="O2759" s="27">
        <v>46063</v>
      </c>
    </row>
    <row r="2760" spans="2:15" hidden="1" x14ac:dyDescent="0.3">
      <c r="B2760">
        <v>2802178</v>
      </c>
      <c r="C2760" t="s">
        <v>260</v>
      </c>
      <c r="D2760">
        <v>72444</v>
      </c>
      <c r="E2760" t="s">
        <v>150</v>
      </c>
      <c r="F2760" t="s">
        <v>337</v>
      </c>
      <c r="G2760" s="28">
        <v>1</v>
      </c>
      <c r="H2760" s="32">
        <v>0.56999999999999995</v>
      </c>
      <c r="I2760" s="32">
        <v>36.75</v>
      </c>
      <c r="J2760" t="s">
        <v>239</v>
      </c>
      <c r="K2760" t="s">
        <v>245</v>
      </c>
      <c r="L2760" t="s">
        <v>235</v>
      </c>
      <c r="M2760" t="s">
        <v>236</v>
      </c>
      <c r="N2760" t="s">
        <v>237</v>
      </c>
      <c r="O2760" s="27">
        <v>46055</v>
      </c>
    </row>
    <row r="2761" spans="2:15" hidden="1" x14ac:dyDescent="0.3">
      <c r="B2761">
        <v>3548394</v>
      </c>
      <c r="C2761" t="s">
        <v>260</v>
      </c>
      <c r="D2761">
        <v>25104</v>
      </c>
      <c r="E2761" t="s">
        <v>150</v>
      </c>
      <c r="F2761" t="s">
        <v>418</v>
      </c>
      <c r="G2761" s="28">
        <v>3</v>
      </c>
      <c r="H2761" s="32">
        <v>0.56999999999999995</v>
      </c>
      <c r="I2761" s="32">
        <v>326.20999999999998</v>
      </c>
      <c r="J2761" t="s">
        <v>267</v>
      </c>
      <c r="K2761" t="s">
        <v>245</v>
      </c>
      <c r="L2761" t="s">
        <v>235</v>
      </c>
      <c r="M2761" t="s">
        <v>236</v>
      </c>
      <c r="N2761" t="s">
        <v>237</v>
      </c>
      <c r="O2761" s="27">
        <v>46057</v>
      </c>
    </row>
    <row r="2762" spans="2:15" hidden="1" x14ac:dyDescent="0.3">
      <c r="B2762">
        <v>4927477</v>
      </c>
      <c r="C2762" t="s">
        <v>231</v>
      </c>
      <c r="D2762">
        <v>21468</v>
      </c>
      <c r="E2762" t="s">
        <v>150</v>
      </c>
      <c r="F2762" t="s">
        <v>287</v>
      </c>
      <c r="G2762" s="28">
        <v>1</v>
      </c>
      <c r="H2762" s="32">
        <v>0.56000000000000005</v>
      </c>
      <c r="I2762" s="32">
        <v>31.21</v>
      </c>
      <c r="J2762" t="s">
        <v>239</v>
      </c>
      <c r="K2762" t="s">
        <v>245</v>
      </c>
      <c r="L2762" t="s">
        <v>235</v>
      </c>
      <c r="M2762" t="s">
        <v>236</v>
      </c>
      <c r="N2762" t="s">
        <v>237</v>
      </c>
      <c r="O2762" s="27">
        <v>46055</v>
      </c>
    </row>
    <row r="2763" spans="2:15" hidden="1" x14ac:dyDescent="0.3">
      <c r="B2763">
        <v>3907511</v>
      </c>
      <c r="C2763" t="s">
        <v>231</v>
      </c>
      <c r="D2763">
        <v>23648</v>
      </c>
      <c r="E2763" t="s">
        <v>150</v>
      </c>
      <c r="F2763" t="s">
        <v>277</v>
      </c>
      <c r="G2763" s="28">
        <v>2</v>
      </c>
      <c r="H2763" s="32">
        <v>0.56000000000000005</v>
      </c>
      <c r="I2763" s="32">
        <v>72.569999999999993</v>
      </c>
      <c r="J2763" t="s">
        <v>239</v>
      </c>
      <c r="K2763" t="s">
        <v>245</v>
      </c>
      <c r="L2763" t="s">
        <v>235</v>
      </c>
      <c r="M2763" t="s">
        <v>236</v>
      </c>
      <c r="N2763" t="s">
        <v>237</v>
      </c>
      <c r="O2763" s="27">
        <v>46055</v>
      </c>
    </row>
    <row r="2764" spans="2:15" hidden="1" x14ac:dyDescent="0.3">
      <c r="B2764">
        <v>7296870</v>
      </c>
      <c r="C2764" t="s">
        <v>231</v>
      </c>
      <c r="D2764">
        <v>96553</v>
      </c>
      <c r="E2764" t="s">
        <v>150</v>
      </c>
      <c r="F2764" t="s">
        <v>277</v>
      </c>
      <c r="G2764" s="28">
        <v>1</v>
      </c>
      <c r="H2764" s="32">
        <v>0.56000000000000005</v>
      </c>
      <c r="I2764" s="32">
        <v>36.28</v>
      </c>
      <c r="J2764" t="s">
        <v>239</v>
      </c>
      <c r="K2764" t="s">
        <v>245</v>
      </c>
      <c r="L2764" t="s">
        <v>235</v>
      </c>
      <c r="M2764" t="s">
        <v>236</v>
      </c>
      <c r="N2764" t="s">
        <v>237</v>
      </c>
      <c r="O2764" s="27">
        <v>46055</v>
      </c>
    </row>
    <row r="2765" spans="2:15" hidden="1" x14ac:dyDescent="0.3">
      <c r="B2765">
        <v>4868551</v>
      </c>
      <c r="C2765" t="s">
        <v>231</v>
      </c>
      <c r="D2765">
        <v>22674</v>
      </c>
      <c r="E2765" t="s">
        <v>150</v>
      </c>
      <c r="F2765" t="s">
        <v>271</v>
      </c>
      <c r="G2765" s="28">
        <v>2</v>
      </c>
      <c r="H2765" s="32">
        <v>0.56000000000000005</v>
      </c>
      <c r="I2765" s="32">
        <v>36.92</v>
      </c>
      <c r="J2765" t="s">
        <v>239</v>
      </c>
      <c r="K2765" t="s">
        <v>245</v>
      </c>
      <c r="L2765" t="s">
        <v>235</v>
      </c>
      <c r="M2765" t="s">
        <v>236</v>
      </c>
      <c r="N2765" t="s">
        <v>237</v>
      </c>
      <c r="O2765" s="27">
        <v>46063</v>
      </c>
    </row>
    <row r="2766" spans="2:15" hidden="1" x14ac:dyDescent="0.3">
      <c r="B2766">
        <v>4535206</v>
      </c>
      <c r="C2766" t="s">
        <v>231</v>
      </c>
      <c r="D2766">
        <v>68542</v>
      </c>
      <c r="E2766" t="s">
        <v>150</v>
      </c>
      <c r="F2766" t="s">
        <v>335</v>
      </c>
      <c r="G2766" s="28">
        <v>1</v>
      </c>
      <c r="H2766" s="32">
        <v>0.56000000000000005</v>
      </c>
      <c r="I2766" s="32">
        <v>142.72</v>
      </c>
      <c r="J2766" t="s">
        <v>330</v>
      </c>
      <c r="K2766" t="s">
        <v>245</v>
      </c>
      <c r="L2766" t="s">
        <v>235</v>
      </c>
      <c r="M2766" t="s">
        <v>236</v>
      </c>
      <c r="N2766" t="s">
        <v>237</v>
      </c>
      <c r="O2766" s="27">
        <v>46055</v>
      </c>
    </row>
    <row r="2767" spans="2:15" hidden="1" x14ac:dyDescent="0.3">
      <c r="B2767">
        <v>6468519</v>
      </c>
      <c r="C2767" t="s">
        <v>231</v>
      </c>
      <c r="D2767">
        <v>72444</v>
      </c>
      <c r="E2767" t="s">
        <v>150</v>
      </c>
      <c r="F2767" t="s">
        <v>160</v>
      </c>
      <c r="G2767" s="28">
        <v>1</v>
      </c>
      <c r="H2767" s="32">
        <v>0.56000000000000005</v>
      </c>
      <c r="I2767" s="32">
        <v>84.85</v>
      </c>
      <c r="J2767" t="s">
        <v>239</v>
      </c>
      <c r="K2767" t="s">
        <v>245</v>
      </c>
      <c r="L2767" t="s">
        <v>235</v>
      </c>
      <c r="M2767" t="s">
        <v>236</v>
      </c>
      <c r="N2767" t="s">
        <v>240</v>
      </c>
      <c r="O2767" s="27">
        <v>46055</v>
      </c>
    </row>
    <row r="2768" spans="2:15" hidden="1" x14ac:dyDescent="0.3">
      <c r="B2768">
        <v>9673848</v>
      </c>
      <c r="C2768" t="s">
        <v>231</v>
      </c>
      <c r="D2768">
        <v>22674</v>
      </c>
      <c r="E2768" t="s">
        <v>150</v>
      </c>
      <c r="F2768" t="s">
        <v>287</v>
      </c>
      <c r="G2768" s="28">
        <v>1</v>
      </c>
      <c r="H2768" s="32">
        <v>0.55000000000000004</v>
      </c>
      <c r="I2768" s="32">
        <v>31.21</v>
      </c>
      <c r="J2768" t="s">
        <v>239</v>
      </c>
      <c r="K2768" t="s">
        <v>245</v>
      </c>
      <c r="L2768" t="s">
        <v>235</v>
      </c>
      <c r="M2768" t="s">
        <v>236</v>
      </c>
      <c r="N2768" t="s">
        <v>237</v>
      </c>
      <c r="O2768" s="27">
        <v>46055</v>
      </c>
    </row>
    <row r="2769" spans="2:15" hidden="1" x14ac:dyDescent="0.3">
      <c r="B2769">
        <v>4078178</v>
      </c>
      <c r="C2769" t="s">
        <v>231</v>
      </c>
      <c r="D2769">
        <v>49894</v>
      </c>
      <c r="E2769" t="s">
        <v>150</v>
      </c>
      <c r="F2769" t="s">
        <v>271</v>
      </c>
      <c r="G2769" s="28">
        <v>3</v>
      </c>
      <c r="H2769" s="32">
        <v>0.55000000000000004</v>
      </c>
      <c r="I2769" s="32">
        <v>55.42</v>
      </c>
      <c r="J2769" t="s">
        <v>239</v>
      </c>
      <c r="K2769" t="s">
        <v>245</v>
      </c>
      <c r="L2769" t="s">
        <v>235</v>
      </c>
      <c r="M2769" t="s">
        <v>236</v>
      </c>
      <c r="N2769" t="s">
        <v>237</v>
      </c>
      <c r="O2769" s="27">
        <v>46063</v>
      </c>
    </row>
    <row r="2770" spans="2:15" hidden="1" x14ac:dyDescent="0.3">
      <c r="B2770">
        <v>3322497</v>
      </c>
      <c r="C2770" t="s">
        <v>231</v>
      </c>
      <c r="D2770">
        <v>40901</v>
      </c>
      <c r="E2770" t="s">
        <v>150</v>
      </c>
      <c r="F2770" t="s">
        <v>315</v>
      </c>
      <c r="G2770" s="28">
        <v>1</v>
      </c>
      <c r="H2770" s="32">
        <v>0.55000000000000004</v>
      </c>
      <c r="I2770" s="32">
        <v>88.81</v>
      </c>
      <c r="J2770" t="s">
        <v>267</v>
      </c>
      <c r="K2770" t="s">
        <v>245</v>
      </c>
      <c r="L2770" t="s">
        <v>235</v>
      </c>
      <c r="M2770" t="s">
        <v>236</v>
      </c>
      <c r="N2770" t="s">
        <v>237</v>
      </c>
      <c r="O2770" s="27">
        <v>46055</v>
      </c>
    </row>
    <row r="2771" spans="2:15" x14ac:dyDescent="0.3">
      <c r="B2771">
        <v>3105908</v>
      </c>
      <c r="C2771" t="s">
        <v>231</v>
      </c>
      <c r="D2771">
        <v>22103</v>
      </c>
      <c r="E2771" t="s">
        <v>150</v>
      </c>
      <c r="F2771" t="s">
        <v>160</v>
      </c>
      <c r="G2771" s="28">
        <v>1</v>
      </c>
      <c r="H2771" s="32">
        <v>0.55000000000000004</v>
      </c>
      <c r="I2771" s="32">
        <v>87.13</v>
      </c>
      <c r="J2771" t="s">
        <v>239</v>
      </c>
      <c r="K2771" t="s">
        <v>245</v>
      </c>
      <c r="L2771" t="s">
        <v>235</v>
      </c>
      <c r="M2771" t="s">
        <v>236</v>
      </c>
      <c r="N2771" t="s">
        <v>237</v>
      </c>
      <c r="O2771" s="27">
        <v>46063</v>
      </c>
    </row>
    <row r="2772" spans="2:15" hidden="1" x14ac:dyDescent="0.3">
      <c r="B2772">
        <v>3548394</v>
      </c>
      <c r="C2772" t="s">
        <v>260</v>
      </c>
      <c r="D2772">
        <v>25104</v>
      </c>
      <c r="E2772" t="s">
        <v>150</v>
      </c>
      <c r="F2772" t="s">
        <v>322</v>
      </c>
      <c r="G2772" s="28">
        <v>3</v>
      </c>
      <c r="H2772" s="32">
        <v>0.55000000000000004</v>
      </c>
      <c r="I2772" s="32">
        <v>308.22000000000003</v>
      </c>
      <c r="J2772" t="s">
        <v>267</v>
      </c>
      <c r="K2772" t="s">
        <v>245</v>
      </c>
      <c r="L2772" t="s">
        <v>235</v>
      </c>
      <c r="M2772" t="s">
        <v>236</v>
      </c>
      <c r="N2772" t="s">
        <v>237</v>
      </c>
      <c r="O2772" s="27">
        <v>46057</v>
      </c>
    </row>
    <row r="2773" spans="2:15" hidden="1" x14ac:dyDescent="0.3">
      <c r="B2773">
        <v>2802178</v>
      </c>
      <c r="C2773" t="s">
        <v>260</v>
      </c>
      <c r="D2773">
        <v>72444</v>
      </c>
      <c r="E2773" t="s">
        <v>150</v>
      </c>
      <c r="F2773" t="s">
        <v>271</v>
      </c>
      <c r="G2773" s="28">
        <v>2</v>
      </c>
      <c r="H2773" s="32">
        <v>0.55000000000000004</v>
      </c>
      <c r="I2773" s="32">
        <v>35.31</v>
      </c>
      <c r="J2773" t="s">
        <v>239</v>
      </c>
      <c r="K2773" t="s">
        <v>245</v>
      </c>
      <c r="L2773" t="s">
        <v>235</v>
      </c>
      <c r="M2773" t="s">
        <v>236</v>
      </c>
      <c r="N2773" t="s">
        <v>237</v>
      </c>
      <c r="O2773" s="27">
        <v>46055</v>
      </c>
    </row>
    <row r="2774" spans="2:15" x14ac:dyDescent="0.3">
      <c r="B2774">
        <v>8907980</v>
      </c>
      <c r="C2774" t="s">
        <v>231</v>
      </c>
      <c r="D2774">
        <v>22103</v>
      </c>
      <c r="E2774" t="s">
        <v>150</v>
      </c>
      <c r="F2774" t="s">
        <v>287</v>
      </c>
      <c r="G2774" s="28">
        <v>1</v>
      </c>
      <c r="H2774" s="32">
        <v>0.54</v>
      </c>
      <c r="I2774" s="32">
        <v>31.21</v>
      </c>
      <c r="J2774" t="s">
        <v>239</v>
      </c>
      <c r="K2774" t="s">
        <v>245</v>
      </c>
      <c r="L2774" t="s">
        <v>235</v>
      </c>
      <c r="M2774" t="s">
        <v>236</v>
      </c>
      <c r="N2774" t="s">
        <v>237</v>
      </c>
      <c r="O2774" s="27">
        <v>46055</v>
      </c>
    </row>
    <row r="2775" spans="2:15" hidden="1" x14ac:dyDescent="0.3">
      <c r="B2775">
        <v>4333412</v>
      </c>
      <c r="C2775" t="s">
        <v>231</v>
      </c>
      <c r="D2775">
        <v>69579</v>
      </c>
      <c r="E2775" t="s">
        <v>150</v>
      </c>
      <c r="F2775" t="s">
        <v>319</v>
      </c>
      <c r="G2775" s="28">
        <v>1</v>
      </c>
      <c r="H2775" s="32">
        <v>0.54</v>
      </c>
      <c r="I2775" s="32">
        <v>40.380000000000003</v>
      </c>
      <c r="J2775" t="s">
        <v>239</v>
      </c>
      <c r="K2775" t="s">
        <v>245</v>
      </c>
      <c r="L2775" t="s">
        <v>235</v>
      </c>
      <c r="M2775" t="s">
        <v>236</v>
      </c>
      <c r="N2775" t="s">
        <v>240</v>
      </c>
      <c r="O2775" s="27">
        <v>46063</v>
      </c>
    </row>
    <row r="2776" spans="2:15" hidden="1" x14ac:dyDescent="0.3">
      <c r="B2776">
        <v>4089266</v>
      </c>
      <c r="C2776" t="s">
        <v>260</v>
      </c>
      <c r="D2776">
        <v>22674</v>
      </c>
      <c r="E2776" t="s">
        <v>150</v>
      </c>
      <c r="F2776" t="s">
        <v>271</v>
      </c>
      <c r="G2776" s="28">
        <v>2</v>
      </c>
      <c r="H2776" s="32">
        <v>0.54</v>
      </c>
      <c r="I2776" s="32">
        <v>36.92</v>
      </c>
      <c r="J2776" t="s">
        <v>239</v>
      </c>
      <c r="K2776" t="s">
        <v>245</v>
      </c>
      <c r="L2776" t="s">
        <v>235</v>
      </c>
      <c r="M2776" t="s">
        <v>236</v>
      </c>
      <c r="N2776" t="s">
        <v>237</v>
      </c>
      <c r="O2776" s="27">
        <v>46063</v>
      </c>
    </row>
    <row r="2777" spans="2:15" hidden="1" x14ac:dyDescent="0.3">
      <c r="B2777">
        <v>6901714</v>
      </c>
      <c r="C2777" t="s">
        <v>260</v>
      </c>
      <c r="D2777">
        <v>71997</v>
      </c>
      <c r="E2777" t="s">
        <v>150</v>
      </c>
      <c r="F2777" t="s">
        <v>271</v>
      </c>
      <c r="G2777" s="28">
        <v>3</v>
      </c>
      <c r="H2777" s="32">
        <v>0.54</v>
      </c>
      <c r="I2777" s="32">
        <v>55.42</v>
      </c>
      <c r="J2777" t="s">
        <v>239</v>
      </c>
      <c r="K2777" t="s">
        <v>245</v>
      </c>
      <c r="L2777" t="s">
        <v>235</v>
      </c>
      <c r="M2777" t="s">
        <v>236</v>
      </c>
      <c r="N2777" t="s">
        <v>237</v>
      </c>
      <c r="O2777" s="27">
        <v>46063</v>
      </c>
    </row>
    <row r="2778" spans="2:15" hidden="1" x14ac:dyDescent="0.3">
      <c r="B2778">
        <v>2727239</v>
      </c>
      <c r="C2778" t="s">
        <v>231</v>
      </c>
      <c r="D2778">
        <v>21559</v>
      </c>
      <c r="E2778" t="s">
        <v>150</v>
      </c>
      <c r="F2778" t="s">
        <v>271</v>
      </c>
      <c r="G2778" s="28">
        <v>3</v>
      </c>
      <c r="H2778" s="32">
        <v>0.53</v>
      </c>
      <c r="I2778" s="32">
        <v>55.42</v>
      </c>
      <c r="J2778" t="s">
        <v>239</v>
      </c>
      <c r="K2778" t="s">
        <v>245</v>
      </c>
      <c r="L2778" t="s">
        <v>235</v>
      </c>
      <c r="M2778" t="s">
        <v>236</v>
      </c>
      <c r="N2778" t="s">
        <v>237</v>
      </c>
      <c r="O2778" s="27">
        <v>46063</v>
      </c>
    </row>
    <row r="2779" spans="2:15" hidden="1" x14ac:dyDescent="0.3">
      <c r="B2779">
        <v>325473</v>
      </c>
      <c r="C2779" t="s">
        <v>231</v>
      </c>
      <c r="D2779">
        <v>22674</v>
      </c>
      <c r="E2779" t="s">
        <v>150</v>
      </c>
      <c r="F2779" t="s">
        <v>271</v>
      </c>
      <c r="G2779" s="28">
        <v>3</v>
      </c>
      <c r="H2779" s="32">
        <v>0.53</v>
      </c>
      <c r="I2779" s="32">
        <v>55.42</v>
      </c>
      <c r="J2779" t="s">
        <v>239</v>
      </c>
      <c r="K2779" t="s">
        <v>245</v>
      </c>
      <c r="L2779" t="s">
        <v>235</v>
      </c>
      <c r="M2779" t="s">
        <v>236</v>
      </c>
      <c r="N2779" t="s">
        <v>237</v>
      </c>
      <c r="O2779" s="27">
        <v>46063</v>
      </c>
    </row>
    <row r="2780" spans="2:15" hidden="1" x14ac:dyDescent="0.3">
      <c r="B2780">
        <v>3321439</v>
      </c>
      <c r="C2780" t="s">
        <v>231</v>
      </c>
      <c r="D2780">
        <v>22674</v>
      </c>
      <c r="E2780" t="s">
        <v>150</v>
      </c>
      <c r="F2780" t="s">
        <v>276</v>
      </c>
      <c r="G2780" s="28">
        <v>1</v>
      </c>
      <c r="H2780" s="32">
        <v>0.53</v>
      </c>
      <c r="I2780" s="32">
        <v>30.27</v>
      </c>
      <c r="J2780" t="s">
        <v>239</v>
      </c>
      <c r="K2780" t="s">
        <v>245</v>
      </c>
      <c r="L2780" t="s">
        <v>235</v>
      </c>
      <c r="M2780" t="s">
        <v>236</v>
      </c>
      <c r="N2780" t="s">
        <v>240</v>
      </c>
      <c r="O2780" s="27">
        <v>46055</v>
      </c>
    </row>
    <row r="2781" spans="2:15" hidden="1" x14ac:dyDescent="0.3">
      <c r="B2781">
        <v>2405094</v>
      </c>
      <c r="C2781" t="s">
        <v>231</v>
      </c>
      <c r="D2781">
        <v>38517</v>
      </c>
      <c r="E2781" t="s">
        <v>150</v>
      </c>
      <c r="F2781" t="s">
        <v>246</v>
      </c>
      <c r="G2781" s="28">
        <v>1</v>
      </c>
      <c r="H2781" s="32">
        <v>0.53</v>
      </c>
      <c r="I2781" s="32">
        <v>36.94</v>
      </c>
      <c r="J2781" t="s">
        <v>239</v>
      </c>
      <c r="K2781" t="s">
        <v>245</v>
      </c>
      <c r="L2781" t="s">
        <v>235</v>
      </c>
      <c r="M2781" t="s">
        <v>236</v>
      </c>
      <c r="N2781" t="s">
        <v>240</v>
      </c>
      <c r="O2781" s="27">
        <v>46055</v>
      </c>
    </row>
    <row r="2782" spans="2:15" hidden="1" x14ac:dyDescent="0.3">
      <c r="B2782">
        <v>2590120</v>
      </c>
      <c r="C2782" t="s">
        <v>231</v>
      </c>
      <c r="D2782">
        <v>96553</v>
      </c>
      <c r="E2782" t="s">
        <v>150</v>
      </c>
      <c r="F2782" t="s">
        <v>272</v>
      </c>
      <c r="G2782" s="28">
        <v>6</v>
      </c>
      <c r="H2782" s="32">
        <v>0.53</v>
      </c>
      <c r="I2782" s="32">
        <v>39.229999999999997</v>
      </c>
      <c r="J2782" t="s">
        <v>239</v>
      </c>
      <c r="K2782" t="s">
        <v>245</v>
      </c>
      <c r="L2782" t="s">
        <v>235</v>
      </c>
      <c r="M2782" t="s">
        <v>236</v>
      </c>
      <c r="N2782" t="s">
        <v>237</v>
      </c>
      <c r="O2782" s="27">
        <v>46055</v>
      </c>
    </row>
    <row r="2783" spans="2:15" hidden="1" x14ac:dyDescent="0.3">
      <c r="B2783">
        <v>3322497</v>
      </c>
      <c r="C2783" t="s">
        <v>231</v>
      </c>
      <c r="D2783">
        <v>40901</v>
      </c>
      <c r="E2783" t="s">
        <v>150</v>
      </c>
      <c r="F2783" t="s">
        <v>327</v>
      </c>
      <c r="G2783" s="28">
        <v>1</v>
      </c>
      <c r="H2783" s="32">
        <v>0.53</v>
      </c>
      <c r="I2783" s="32">
        <v>85.01</v>
      </c>
      <c r="J2783" t="s">
        <v>267</v>
      </c>
      <c r="K2783" t="s">
        <v>245</v>
      </c>
      <c r="L2783" t="s">
        <v>235</v>
      </c>
      <c r="M2783" t="s">
        <v>236</v>
      </c>
      <c r="N2783" t="s">
        <v>240</v>
      </c>
      <c r="O2783" s="27">
        <v>46055</v>
      </c>
    </row>
    <row r="2784" spans="2:15" hidden="1" x14ac:dyDescent="0.3">
      <c r="B2784">
        <v>3270381</v>
      </c>
      <c r="C2784" t="s">
        <v>260</v>
      </c>
      <c r="D2784">
        <v>21559</v>
      </c>
      <c r="E2784" t="s">
        <v>150</v>
      </c>
      <c r="F2784" t="s">
        <v>287</v>
      </c>
      <c r="G2784" s="28">
        <v>1</v>
      </c>
      <c r="H2784" s="32">
        <v>0.53</v>
      </c>
      <c r="I2784" s="32">
        <v>31.21</v>
      </c>
      <c r="J2784" t="s">
        <v>239</v>
      </c>
      <c r="K2784" t="s">
        <v>245</v>
      </c>
      <c r="L2784" t="s">
        <v>235</v>
      </c>
      <c r="M2784" t="s">
        <v>236</v>
      </c>
      <c r="N2784" t="s">
        <v>237</v>
      </c>
      <c r="O2784" s="27">
        <v>46055</v>
      </c>
    </row>
    <row r="2785" spans="2:15" hidden="1" x14ac:dyDescent="0.3">
      <c r="B2785">
        <v>12629468</v>
      </c>
      <c r="C2785" t="s">
        <v>260</v>
      </c>
      <c r="D2785">
        <v>40901</v>
      </c>
      <c r="E2785" t="s">
        <v>150</v>
      </c>
      <c r="F2785" t="s">
        <v>319</v>
      </c>
      <c r="G2785" s="28">
        <v>1</v>
      </c>
      <c r="H2785" s="32">
        <v>0.53</v>
      </c>
      <c r="I2785" s="32">
        <v>40.39</v>
      </c>
      <c r="J2785" t="s">
        <v>239</v>
      </c>
      <c r="K2785" t="s">
        <v>245</v>
      </c>
      <c r="L2785" t="s">
        <v>235</v>
      </c>
      <c r="M2785" t="s">
        <v>236</v>
      </c>
      <c r="N2785" t="s">
        <v>240</v>
      </c>
      <c r="O2785" s="27">
        <v>46063</v>
      </c>
    </row>
    <row r="2786" spans="2:15" hidden="1" x14ac:dyDescent="0.3">
      <c r="B2786">
        <v>3496979</v>
      </c>
      <c r="C2786" t="s">
        <v>231</v>
      </c>
      <c r="D2786">
        <v>21468</v>
      </c>
      <c r="E2786" t="s">
        <v>150</v>
      </c>
      <c r="F2786" t="s">
        <v>287</v>
      </c>
      <c r="G2786" s="28">
        <v>1</v>
      </c>
      <c r="H2786" s="32">
        <v>0.52</v>
      </c>
      <c r="I2786" s="32">
        <v>31.21</v>
      </c>
      <c r="J2786" t="s">
        <v>239</v>
      </c>
      <c r="K2786" t="s">
        <v>245</v>
      </c>
      <c r="L2786" t="s">
        <v>235</v>
      </c>
      <c r="M2786" t="s">
        <v>236</v>
      </c>
      <c r="N2786" t="s">
        <v>237</v>
      </c>
      <c r="O2786" s="27">
        <v>46055</v>
      </c>
    </row>
    <row r="2787" spans="2:15" hidden="1" x14ac:dyDescent="0.3">
      <c r="B2787">
        <v>5555592</v>
      </c>
      <c r="C2787" t="s">
        <v>231</v>
      </c>
      <c r="D2787">
        <v>38517</v>
      </c>
      <c r="E2787" t="s">
        <v>150</v>
      </c>
      <c r="F2787" t="s">
        <v>337</v>
      </c>
      <c r="G2787" s="28">
        <v>1</v>
      </c>
      <c r="H2787" s="32">
        <v>0.52</v>
      </c>
      <c r="I2787" s="32">
        <v>36.340000000000003</v>
      </c>
      <c r="J2787" t="s">
        <v>239</v>
      </c>
      <c r="K2787" t="s">
        <v>245</v>
      </c>
      <c r="L2787" t="s">
        <v>235</v>
      </c>
      <c r="M2787" t="s">
        <v>236</v>
      </c>
      <c r="N2787" t="s">
        <v>237</v>
      </c>
      <c r="O2787" s="27">
        <v>46063</v>
      </c>
    </row>
    <row r="2788" spans="2:15" hidden="1" x14ac:dyDescent="0.3">
      <c r="B2788">
        <v>2084946</v>
      </c>
      <c r="C2788" t="s">
        <v>231</v>
      </c>
      <c r="D2788">
        <v>69493</v>
      </c>
      <c r="E2788" t="s">
        <v>150</v>
      </c>
      <c r="F2788" t="s">
        <v>319</v>
      </c>
      <c r="G2788" s="28">
        <v>2</v>
      </c>
      <c r="H2788" s="32">
        <v>0.52</v>
      </c>
      <c r="I2788" s="32">
        <v>75.28</v>
      </c>
      <c r="J2788" t="s">
        <v>239</v>
      </c>
      <c r="K2788" t="s">
        <v>245</v>
      </c>
      <c r="L2788" t="s">
        <v>235</v>
      </c>
      <c r="M2788" t="s">
        <v>236</v>
      </c>
      <c r="N2788" t="s">
        <v>237</v>
      </c>
      <c r="O2788" s="27">
        <v>46055</v>
      </c>
    </row>
    <row r="2789" spans="2:15" hidden="1" x14ac:dyDescent="0.3">
      <c r="B2789">
        <v>2495068</v>
      </c>
      <c r="C2789" t="s">
        <v>231</v>
      </c>
      <c r="D2789">
        <v>69493</v>
      </c>
      <c r="E2789" t="s">
        <v>150</v>
      </c>
      <c r="F2789" t="s">
        <v>319</v>
      </c>
      <c r="G2789" s="28">
        <v>2</v>
      </c>
      <c r="H2789" s="32">
        <v>0.52</v>
      </c>
      <c r="I2789" s="32">
        <v>75.28</v>
      </c>
      <c r="J2789" t="s">
        <v>239</v>
      </c>
      <c r="K2789" t="s">
        <v>245</v>
      </c>
      <c r="L2789" t="s">
        <v>235</v>
      </c>
      <c r="M2789" t="s">
        <v>236</v>
      </c>
      <c r="N2789" t="s">
        <v>237</v>
      </c>
      <c r="O2789" s="27">
        <v>46055</v>
      </c>
    </row>
    <row r="2790" spans="2:15" x14ac:dyDescent="0.3">
      <c r="B2790">
        <v>17711901</v>
      </c>
      <c r="C2790" t="s">
        <v>260</v>
      </c>
      <c r="D2790">
        <v>22103</v>
      </c>
      <c r="E2790" t="s">
        <v>150</v>
      </c>
      <c r="F2790" t="s">
        <v>271</v>
      </c>
      <c r="G2790" s="28">
        <v>2</v>
      </c>
      <c r="H2790" s="32">
        <v>0.52</v>
      </c>
      <c r="I2790" s="32">
        <v>36.92</v>
      </c>
      <c r="J2790" t="s">
        <v>239</v>
      </c>
      <c r="K2790" t="s">
        <v>245</v>
      </c>
      <c r="L2790" t="s">
        <v>235</v>
      </c>
      <c r="M2790" t="s">
        <v>236</v>
      </c>
      <c r="N2790" t="s">
        <v>237</v>
      </c>
      <c r="O2790" s="27">
        <v>46063</v>
      </c>
    </row>
    <row r="2791" spans="2:15" hidden="1" x14ac:dyDescent="0.3">
      <c r="B2791">
        <v>8218280</v>
      </c>
      <c r="C2791" t="s">
        <v>260</v>
      </c>
      <c r="D2791">
        <v>21559</v>
      </c>
      <c r="E2791" t="s">
        <v>150</v>
      </c>
      <c r="F2791" t="s">
        <v>337</v>
      </c>
      <c r="G2791" s="28">
        <v>1</v>
      </c>
      <c r="H2791" s="32">
        <v>0.52</v>
      </c>
      <c r="I2791" s="32">
        <v>36.31</v>
      </c>
      <c r="J2791" t="s">
        <v>239</v>
      </c>
      <c r="K2791" t="s">
        <v>245</v>
      </c>
      <c r="L2791" t="s">
        <v>235</v>
      </c>
      <c r="M2791" t="s">
        <v>236</v>
      </c>
      <c r="N2791" t="s">
        <v>237</v>
      </c>
      <c r="O2791" s="27">
        <v>46063</v>
      </c>
    </row>
    <row r="2792" spans="2:15" hidden="1" x14ac:dyDescent="0.3">
      <c r="B2792">
        <v>3528854</v>
      </c>
      <c r="C2792" t="s">
        <v>231</v>
      </c>
      <c r="D2792">
        <v>71881</v>
      </c>
      <c r="E2792" t="s">
        <v>150</v>
      </c>
      <c r="F2792" t="s">
        <v>287</v>
      </c>
      <c r="G2792" s="28">
        <v>1</v>
      </c>
      <c r="H2792" s="32">
        <v>0.51</v>
      </c>
      <c r="I2792" s="32">
        <v>31.36</v>
      </c>
      <c r="J2792" t="s">
        <v>239</v>
      </c>
      <c r="K2792" t="s">
        <v>245</v>
      </c>
      <c r="L2792" t="s">
        <v>235</v>
      </c>
      <c r="M2792" t="s">
        <v>236</v>
      </c>
      <c r="N2792" t="s">
        <v>237</v>
      </c>
      <c r="O2792" s="27">
        <v>46063</v>
      </c>
    </row>
    <row r="2793" spans="2:15" hidden="1" x14ac:dyDescent="0.3">
      <c r="B2793">
        <v>5555592</v>
      </c>
      <c r="C2793" t="s">
        <v>231</v>
      </c>
      <c r="D2793">
        <v>38517</v>
      </c>
      <c r="E2793" t="s">
        <v>150</v>
      </c>
      <c r="F2793" t="s">
        <v>287</v>
      </c>
      <c r="G2793" s="28">
        <v>1</v>
      </c>
      <c r="H2793" s="32">
        <v>0.51</v>
      </c>
      <c r="I2793" s="32">
        <v>31.36</v>
      </c>
      <c r="J2793" t="s">
        <v>239</v>
      </c>
      <c r="K2793" t="s">
        <v>245</v>
      </c>
      <c r="L2793" t="s">
        <v>235</v>
      </c>
      <c r="M2793" t="s">
        <v>236</v>
      </c>
      <c r="N2793" t="s">
        <v>237</v>
      </c>
      <c r="O2793" s="27">
        <v>46063</v>
      </c>
    </row>
    <row r="2794" spans="2:15" hidden="1" x14ac:dyDescent="0.3">
      <c r="B2794">
        <v>440722</v>
      </c>
      <c r="C2794" t="s">
        <v>231</v>
      </c>
      <c r="D2794">
        <v>21468</v>
      </c>
      <c r="E2794" t="s">
        <v>150</v>
      </c>
      <c r="F2794" t="s">
        <v>277</v>
      </c>
      <c r="G2794" s="28">
        <v>2</v>
      </c>
      <c r="H2794" s="32">
        <v>0.51</v>
      </c>
      <c r="I2794" s="32">
        <v>72.569999999999993</v>
      </c>
      <c r="J2794" t="s">
        <v>239</v>
      </c>
      <c r="K2794" t="s">
        <v>245</v>
      </c>
      <c r="L2794" t="s">
        <v>235</v>
      </c>
      <c r="M2794" t="s">
        <v>236</v>
      </c>
      <c r="N2794" t="s">
        <v>237</v>
      </c>
      <c r="O2794" s="27">
        <v>46055</v>
      </c>
    </row>
    <row r="2795" spans="2:15" hidden="1" x14ac:dyDescent="0.3">
      <c r="B2795">
        <v>560966</v>
      </c>
      <c r="C2795" t="s">
        <v>231</v>
      </c>
      <c r="D2795">
        <v>21468</v>
      </c>
      <c r="E2795" t="s">
        <v>150</v>
      </c>
      <c r="F2795" t="s">
        <v>272</v>
      </c>
      <c r="G2795" s="28">
        <v>6</v>
      </c>
      <c r="H2795" s="32">
        <v>0.51</v>
      </c>
      <c r="I2795" s="32">
        <v>39.229999999999997</v>
      </c>
      <c r="J2795" t="s">
        <v>239</v>
      </c>
      <c r="K2795" t="s">
        <v>245</v>
      </c>
      <c r="L2795" t="s">
        <v>235</v>
      </c>
      <c r="M2795" t="s">
        <v>236</v>
      </c>
      <c r="N2795" t="s">
        <v>237</v>
      </c>
      <c r="O2795" s="27">
        <v>46055</v>
      </c>
    </row>
    <row r="2796" spans="2:15" hidden="1" x14ac:dyDescent="0.3">
      <c r="B2796">
        <v>4333412</v>
      </c>
      <c r="C2796" t="s">
        <v>231</v>
      </c>
      <c r="D2796">
        <v>69579</v>
      </c>
      <c r="E2796" t="s">
        <v>150</v>
      </c>
      <c r="F2796" t="s">
        <v>337</v>
      </c>
      <c r="G2796" s="28">
        <v>1</v>
      </c>
      <c r="H2796" s="32">
        <v>0.51</v>
      </c>
      <c r="I2796" s="32">
        <v>36.33</v>
      </c>
      <c r="J2796" t="s">
        <v>239</v>
      </c>
      <c r="K2796" t="s">
        <v>245</v>
      </c>
      <c r="L2796" t="s">
        <v>235</v>
      </c>
      <c r="M2796" t="s">
        <v>236</v>
      </c>
      <c r="N2796" t="s">
        <v>237</v>
      </c>
      <c r="O2796" s="27">
        <v>46063</v>
      </c>
    </row>
    <row r="2797" spans="2:15" hidden="1" x14ac:dyDescent="0.3">
      <c r="B2797">
        <v>3413995</v>
      </c>
      <c r="C2797" t="s">
        <v>231</v>
      </c>
      <c r="D2797">
        <v>22674</v>
      </c>
      <c r="E2797" t="s">
        <v>150</v>
      </c>
      <c r="F2797" t="s">
        <v>319</v>
      </c>
      <c r="G2797" s="28">
        <v>1</v>
      </c>
      <c r="H2797" s="32">
        <v>0.51</v>
      </c>
      <c r="I2797" s="32">
        <v>37.49</v>
      </c>
      <c r="J2797" t="s">
        <v>239</v>
      </c>
      <c r="K2797" t="s">
        <v>245</v>
      </c>
      <c r="L2797" t="s">
        <v>235</v>
      </c>
      <c r="M2797" t="s">
        <v>236</v>
      </c>
      <c r="N2797" t="s">
        <v>240</v>
      </c>
      <c r="O2797" s="27">
        <v>46055</v>
      </c>
    </row>
    <row r="2798" spans="2:15" hidden="1" x14ac:dyDescent="0.3">
      <c r="B2798">
        <v>3906862</v>
      </c>
      <c r="C2798" t="s">
        <v>231</v>
      </c>
      <c r="D2798">
        <v>71881</v>
      </c>
      <c r="E2798" t="s">
        <v>150</v>
      </c>
      <c r="F2798" t="s">
        <v>319</v>
      </c>
      <c r="G2798" s="28">
        <v>1</v>
      </c>
      <c r="H2798" s="32">
        <v>0.51</v>
      </c>
      <c r="I2798" s="32">
        <v>40.380000000000003</v>
      </c>
      <c r="J2798" t="s">
        <v>239</v>
      </c>
      <c r="K2798" t="s">
        <v>245</v>
      </c>
      <c r="L2798" t="s">
        <v>235</v>
      </c>
      <c r="M2798" t="s">
        <v>236</v>
      </c>
      <c r="N2798" t="s">
        <v>240</v>
      </c>
      <c r="O2798" s="27">
        <v>46063</v>
      </c>
    </row>
    <row r="2799" spans="2:15" hidden="1" x14ac:dyDescent="0.3">
      <c r="B2799">
        <v>11593572</v>
      </c>
      <c r="C2799" t="s">
        <v>231</v>
      </c>
      <c r="D2799">
        <v>22674</v>
      </c>
      <c r="E2799" t="s">
        <v>150</v>
      </c>
      <c r="F2799" t="s">
        <v>327</v>
      </c>
      <c r="G2799" s="28">
        <v>3</v>
      </c>
      <c r="H2799" s="32">
        <v>0.51</v>
      </c>
      <c r="I2799" s="32">
        <v>258.14999999999998</v>
      </c>
      <c r="J2799" t="s">
        <v>267</v>
      </c>
      <c r="K2799" t="s">
        <v>245</v>
      </c>
      <c r="L2799" t="s">
        <v>235</v>
      </c>
      <c r="M2799" t="s">
        <v>236</v>
      </c>
      <c r="N2799" t="s">
        <v>237</v>
      </c>
      <c r="O2799" s="27">
        <v>46056</v>
      </c>
    </row>
    <row r="2800" spans="2:15" hidden="1" x14ac:dyDescent="0.3">
      <c r="B2800">
        <v>12429967</v>
      </c>
      <c r="C2800" t="s">
        <v>260</v>
      </c>
      <c r="D2800">
        <v>21468</v>
      </c>
      <c r="E2800" t="s">
        <v>150</v>
      </c>
      <c r="F2800" t="s">
        <v>271</v>
      </c>
      <c r="G2800" s="28">
        <v>2</v>
      </c>
      <c r="H2800" s="32">
        <v>0.51</v>
      </c>
      <c r="I2800" s="32">
        <v>35.31</v>
      </c>
      <c r="J2800" t="s">
        <v>239</v>
      </c>
      <c r="K2800" t="s">
        <v>245</v>
      </c>
      <c r="L2800" t="s">
        <v>235</v>
      </c>
      <c r="M2800" t="s">
        <v>236</v>
      </c>
      <c r="N2800" t="s">
        <v>237</v>
      </c>
      <c r="O2800" s="27">
        <v>46055</v>
      </c>
    </row>
    <row r="2801" spans="2:15" hidden="1" x14ac:dyDescent="0.3">
      <c r="B2801">
        <v>12629468</v>
      </c>
      <c r="C2801" t="s">
        <v>260</v>
      </c>
      <c r="D2801">
        <v>40901</v>
      </c>
      <c r="E2801" t="s">
        <v>150</v>
      </c>
      <c r="F2801" t="s">
        <v>337</v>
      </c>
      <c r="G2801" s="28">
        <v>1</v>
      </c>
      <c r="H2801" s="32">
        <v>0.51</v>
      </c>
      <c r="I2801" s="32">
        <v>36.31</v>
      </c>
      <c r="J2801" t="s">
        <v>239</v>
      </c>
      <c r="K2801" t="s">
        <v>245</v>
      </c>
      <c r="L2801" t="s">
        <v>235</v>
      </c>
      <c r="M2801" t="s">
        <v>236</v>
      </c>
      <c r="N2801" t="s">
        <v>237</v>
      </c>
      <c r="O2801" s="27">
        <v>46063</v>
      </c>
    </row>
    <row r="2802" spans="2:15" hidden="1" x14ac:dyDescent="0.3">
      <c r="B2802">
        <v>4842372</v>
      </c>
      <c r="C2802" t="s">
        <v>260</v>
      </c>
      <c r="D2802">
        <v>23648</v>
      </c>
      <c r="E2802" t="s">
        <v>150</v>
      </c>
      <c r="F2802" t="s">
        <v>319</v>
      </c>
      <c r="G2802" s="28">
        <v>1</v>
      </c>
      <c r="H2802" s="32">
        <v>0.51</v>
      </c>
      <c r="I2802" s="32">
        <v>37.49</v>
      </c>
      <c r="J2802" t="s">
        <v>239</v>
      </c>
      <c r="K2802" t="s">
        <v>245</v>
      </c>
      <c r="L2802" t="s">
        <v>235</v>
      </c>
      <c r="M2802" t="s">
        <v>236</v>
      </c>
      <c r="N2802" t="s">
        <v>240</v>
      </c>
      <c r="O2802" s="27">
        <v>46055</v>
      </c>
    </row>
    <row r="2803" spans="2:15" hidden="1" x14ac:dyDescent="0.3">
      <c r="B2803">
        <v>8581688</v>
      </c>
      <c r="C2803" t="s">
        <v>231</v>
      </c>
      <c r="D2803">
        <v>23648</v>
      </c>
      <c r="E2803" t="s">
        <v>150</v>
      </c>
      <c r="F2803" t="s">
        <v>287</v>
      </c>
      <c r="G2803" s="28">
        <v>1</v>
      </c>
      <c r="H2803" s="32">
        <v>0.5</v>
      </c>
      <c r="I2803" s="32">
        <v>31.21</v>
      </c>
      <c r="J2803" t="s">
        <v>239</v>
      </c>
      <c r="K2803" t="s">
        <v>245</v>
      </c>
      <c r="L2803" t="s">
        <v>235</v>
      </c>
      <c r="M2803" t="s">
        <v>236</v>
      </c>
      <c r="N2803" t="s">
        <v>237</v>
      </c>
      <c r="O2803" s="27">
        <v>46055</v>
      </c>
    </row>
    <row r="2804" spans="2:15" hidden="1" x14ac:dyDescent="0.3">
      <c r="B2804">
        <v>272204</v>
      </c>
      <c r="C2804" t="s">
        <v>231</v>
      </c>
      <c r="D2804">
        <v>23648</v>
      </c>
      <c r="E2804" t="s">
        <v>150</v>
      </c>
      <c r="F2804" t="s">
        <v>160</v>
      </c>
      <c r="G2804" s="28">
        <v>3</v>
      </c>
      <c r="H2804" s="32">
        <v>0.5</v>
      </c>
      <c r="I2804" s="32">
        <v>261.62</v>
      </c>
      <c r="J2804" t="s">
        <v>239</v>
      </c>
      <c r="K2804" t="s">
        <v>245</v>
      </c>
      <c r="L2804" t="s">
        <v>235</v>
      </c>
      <c r="M2804" t="s">
        <v>236</v>
      </c>
      <c r="N2804" t="s">
        <v>240</v>
      </c>
      <c r="O2804" s="27">
        <v>46063</v>
      </c>
    </row>
    <row r="2805" spans="2:15" hidden="1" x14ac:dyDescent="0.3">
      <c r="B2805">
        <v>9303108</v>
      </c>
      <c r="C2805" t="s">
        <v>260</v>
      </c>
      <c r="D2805">
        <v>69493</v>
      </c>
      <c r="E2805" t="s">
        <v>150</v>
      </c>
      <c r="F2805" t="s">
        <v>295</v>
      </c>
      <c r="G2805" s="28">
        <v>1</v>
      </c>
      <c r="H2805" s="32">
        <v>0.5</v>
      </c>
      <c r="I2805" s="32">
        <v>97.08</v>
      </c>
      <c r="J2805" t="s">
        <v>267</v>
      </c>
      <c r="K2805" t="s">
        <v>245</v>
      </c>
      <c r="L2805" t="s">
        <v>235</v>
      </c>
      <c r="M2805" t="s">
        <v>236</v>
      </c>
      <c r="N2805" t="s">
        <v>237</v>
      </c>
      <c r="O2805" s="27">
        <v>46057</v>
      </c>
    </row>
    <row r="2806" spans="2:15" x14ac:dyDescent="0.3">
      <c r="B2806">
        <v>79379</v>
      </c>
      <c r="C2806" t="s">
        <v>260</v>
      </c>
      <c r="D2806">
        <v>22103</v>
      </c>
      <c r="E2806" t="s">
        <v>150</v>
      </c>
      <c r="F2806" t="s">
        <v>337</v>
      </c>
      <c r="G2806" s="28">
        <v>1</v>
      </c>
      <c r="H2806" s="32">
        <v>0.5</v>
      </c>
      <c r="I2806" s="32">
        <v>36.32</v>
      </c>
      <c r="J2806" t="s">
        <v>239</v>
      </c>
      <c r="K2806" t="s">
        <v>245</v>
      </c>
      <c r="L2806" t="s">
        <v>235</v>
      </c>
      <c r="M2806" t="s">
        <v>236</v>
      </c>
      <c r="N2806" t="s">
        <v>237</v>
      </c>
      <c r="O2806" s="27">
        <v>46063</v>
      </c>
    </row>
    <row r="2807" spans="2:15" hidden="1" x14ac:dyDescent="0.3">
      <c r="B2807">
        <v>3430907</v>
      </c>
      <c r="C2807" t="s">
        <v>260</v>
      </c>
      <c r="D2807">
        <v>21468</v>
      </c>
      <c r="E2807" t="s">
        <v>150</v>
      </c>
      <c r="F2807" t="s">
        <v>160</v>
      </c>
      <c r="G2807" s="28">
        <v>1</v>
      </c>
      <c r="H2807" s="32">
        <v>0.5</v>
      </c>
      <c r="I2807" s="32">
        <v>84.85</v>
      </c>
      <c r="J2807" t="s">
        <v>239</v>
      </c>
      <c r="K2807" t="s">
        <v>245</v>
      </c>
      <c r="L2807" t="s">
        <v>235</v>
      </c>
      <c r="M2807" t="s">
        <v>236</v>
      </c>
      <c r="N2807" t="s">
        <v>240</v>
      </c>
      <c r="O2807" s="27">
        <v>46055</v>
      </c>
    </row>
    <row r="2808" spans="2:15" hidden="1" x14ac:dyDescent="0.3">
      <c r="B2808">
        <v>3666312</v>
      </c>
      <c r="C2808" t="s">
        <v>231</v>
      </c>
      <c r="D2808">
        <v>21468</v>
      </c>
      <c r="E2808" t="s">
        <v>150</v>
      </c>
      <c r="F2808" t="s">
        <v>287</v>
      </c>
      <c r="G2808" s="28">
        <v>1</v>
      </c>
      <c r="H2808" s="32">
        <v>0.49</v>
      </c>
      <c r="I2808" s="32">
        <v>31.21</v>
      </c>
      <c r="J2808" t="s">
        <v>239</v>
      </c>
      <c r="K2808" t="s">
        <v>245</v>
      </c>
      <c r="L2808" t="s">
        <v>235</v>
      </c>
      <c r="M2808" t="s">
        <v>236</v>
      </c>
      <c r="N2808" t="s">
        <v>237</v>
      </c>
      <c r="O2808" s="27">
        <v>46055</v>
      </c>
    </row>
    <row r="2809" spans="2:15" hidden="1" x14ac:dyDescent="0.3">
      <c r="B2809">
        <v>18533421</v>
      </c>
      <c r="C2809" t="s">
        <v>231</v>
      </c>
      <c r="D2809">
        <v>40901</v>
      </c>
      <c r="E2809" t="s">
        <v>150</v>
      </c>
      <c r="F2809" t="s">
        <v>277</v>
      </c>
      <c r="G2809" s="28">
        <v>1</v>
      </c>
      <c r="H2809" s="32">
        <v>0.49</v>
      </c>
      <c r="I2809" s="32">
        <v>36.28</v>
      </c>
      <c r="J2809" t="s">
        <v>239</v>
      </c>
      <c r="K2809" t="s">
        <v>245</v>
      </c>
      <c r="L2809" t="s">
        <v>235</v>
      </c>
      <c r="M2809" t="s">
        <v>236</v>
      </c>
      <c r="N2809" t="s">
        <v>237</v>
      </c>
      <c r="O2809" s="27">
        <v>46055</v>
      </c>
    </row>
    <row r="2810" spans="2:15" x14ac:dyDescent="0.3">
      <c r="B2810">
        <v>3105908</v>
      </c>
      <c r="C2810" t="s">
        <v>231</v>
      </c>
      <c r="D2810">
        <v>22103</v>
      </c>
      <c r="E2810" t="s">
        <v>150</v>
      </c>
      <c r="F2810" t="s">
        <v>277</v>
      </c>
      <c r="G2810" s="28">
        <v>2</v>
      </c>
      <c r="H2810" s="32">
        <v>0.49</v>
      </c>
      <c r="I2810" s="32">
        <v>72.569999999999993</v>
      </c>
      <c r="J2810" t="s">
        <v>239</v>
      </c>
      <c r="K2810" t="s">
        <v>245</v>
      </c>
      <c r="L2810" t="s">
        <v>235</v>
      </c>
      <c r="M2810" t="s">
        <v>236</v>
      </c>
      <c r="N2810" t="s">
        <v>237</v>
      </c>
      <c r="O2810" s="27">
        <v>46055</v>
      </c>
    </row>
    <row r="2811" spans="2:15" hidden="1" x14ac:dyDescent="0.3">
      <c r="B2811">
        <v>2562251</v>
      </c>
      <c r="C2811" t="s">
        <v>231</v>
      </c>
      <c r="D2811">
        <v>23648</v>
      </c>
      <c r="E2811" t="s">
        <v>150</v>
      </c>
      <c r="F2811" t="s">
        <v>271</v>
      </c>
      <c r="G2811" s="28">
        <v>2</v>
      </c>
      <c r="H2811" s="32">
        <v>0.49</v>
      </c>
      <c r="I2811" s="32">
        <v>36.92</v>
      </c>
      <c r="J2811" t="s">
        <v>239</v>
      </c>
      <c r="K2811" t="s">
        <v>245</v>
      </c>
      <c r="L2811" t="s">
        <v>235</v>
      </c>
      <c r="M2811" t="s">
        <v>236</v>
      </c>
      <c r="N2811" t="s">
        <v>237</v>
      </c>
      <c r="O2811" s="27">
        <v>46063</v>
      </c>
    </row>
    <row r="2812" spans="2:15" hidden="1" x14ac:dyDescent="0.3">
      <c r="B2812">
        <v>5555592</v>
      </c>
      <c r="C2812" t="s">
        <v>231</v>
      </c>
      <c r="D2812">
        <v>38517</v>
      </c>
      <c r="E2812" t="s">
        <v>150</v>
      </c>
      <c r="F2812" t="s">
        <v>271</v>
      </c>
      <c r="G2812" s="28">
        <v>1</v>
      </c>
      <c r="H2812" s="32">
        <v>0.49</v>
      </c>
      <c r="I2812" s="32">
        <v>18.440000000000001</v>
      </c>
      <c r="J2812" t="s">
        <v>239</v>
      </c>
      <c r="K2812" t="s">
        <v>245</v>
      </c>
      <c r="L2812" t="s">
        <v>235</v>
      </c>
      <c r="M2812" t="s">
        <v>236</v>
      </c>
      <c r="N2812" t="s">
        <v>237</v>
      </c>
      <c r="O2812" s="27">
        <v>46063</v>
      </c>
    </row>
    <row r="2813" spans="2:15" hidden="1" x14ac:dyDescent="0.3">
      <c r="B2813">
        <v>3953521</v>
      </c>
      <c r="C2813" t="s">
        <v>231</v>
      </c>
      <c r="D2813">
        <v>38517</v>
      </c>
      <c r="E2813" t="s">
        <v>150</v>
      </c>
      <c r="F2813" t="s">
        <v>282</v>
      </c>
      <c r="G2813" s="28">
        <v>2</v>
      </c>
      <c r="H2813" s="32">
        <v>0.49</v>
      </c>
      <c r="I2813" s="32">
        <v>102.18</v>
      </c>
      <c r="J2813" t="s">
        <v>239</v>
      </c>
      <c r="K2813" t="s">
        <v>245</v>
      </c>
      <c r="L2813" t="s">
        <v>235</v>
      </c>
      <c r="M2813" t="s">
        <v>236</v>
      </c>
      <c r="N2813" t="s">
        <v>237</v>
      </c>
      <c r="O2813" s="27">
        <v>46063</v>
      </c>
    </row>
    <row r="2814" spans="2:15" hidden="1" x14ac:dyDescent="0.3">
      <c r="B2814">
        <v>6468519</v>
      </c>
      <c r="C2814" t="s">
        <v>231</v>
      </c>
      <c r="D2814">
        <v>72444</v>
      </c>
      <c r="E2814" t="s">
        <v>150</v>
      </c>
      <c r="F2814" t="s">
        <v>337</v>
      </c>
      <c r="G2814" s="28">
        <v>2</v>
      </c>
      <c r="H2814" s="32">
        <v>0.49</v>
      </c>
      <c r="I2814" s="32">
        <v>73.5</v>
      </c>
      <c r="J2814" t="s">
        <v>239</v>
      </c>
      <c r="K2814" t="s">
        <v>245</v>
      </c>
      <c r="L2814" t="s">
        <v>235</v>
      </c>
      <c r="M2814" t="s">
        <v>236</v>
      </c>
      <c r="N2814" t="s">
        <v>237</v>
      </c>
      <c r="O2814" s="27">
        <v>46055</v>
      </c>
    </row>
    <row r="2815" spans="2:15" hidden="1" x14ac:dyDescent="0.3">
      <c r="B2815">
        <v>18547873</v>
      </c>
      <c r="C2815" t="s">
        <v>260</v>
      </c>
      <c r="D2815">
        <v>38517</v>
      </c>
      <c r="E2815" t="s">
        <v>150</v>
      </c>
      <c r="F2815" t="s">
        <v>271</v>
      </c>
      <c r="G2815" s="28">
        <v>4</v>
      </c>
      <c r="H2815" s="32">
        <v>0.49</v>
      </c>
      <c r="I2815" s="32">
        <v>70.62</v>
      </c>
      <c r="J2815" t="s">
        <v>239</v>
      </c>
      <c r="K2815" t="s">
        <v>245</v>
      </c>
      <c r="L2815" t="s">
        <v>235</v>
      </c>
      <c r="M2815" t="s">
        <v>236</v>
      </c>
      <c r="N2815" t="s">
        <v>237</v>
      </c>
      <c r="O2815" s="27">
        <v>46055</v>
      </c>
    </row>
    <row r="2816" spans="2:15" hidden="1" x14ac:dyDescent="0.3">
      <c r="B2816">
        <v>18702217</v>
      </c>
      <c r="C2816" t="s">
        <v>260</v>
      </c>
      <c r="D2816">
        <v>74304</v>
      </c>
      <c r="E2816" t="s">
        <v>150</v>
      </c>
      <c r="F2816" t="s">
        <v>274</v>
      </c>
      <c r="G2816" s="28">
        <v>5</v>
      </c>
      <c r="H2816" s="32">
        <v>0.49</v>
      </c>
      <c r="I2816" s="32">
        <v>73.430000000000007</v>
      </c>
      <c r="J2816" t="s">
        <v>239</v>
      </c>
      <c r="K2816" t="s">
        <v>245</v>
      </c>
      <c r="L2816" t="s">
        <v>235</v>
      </c>
      <c r="M2816" t="s">
        <v>236</v>
      </c>
      <c r="N2816" t="s">
        <v>237</v>
      </c>
      <c r="O2816" s="27">
        <v>46055</v>
      </c>
    </row>
    <row r="2817" spans="2:15" hidden="1" x14ac:dyDescent="0.3">
      <c r="B2817">
        <v>284340</v>
      </c>
      <c r="C2817" t="s">
        <v>260</v>
      </c>
      <c r="D2817">
        <v>23410</v>
      </c>
      <c r="E2817" t="s">
        <v>150</v>
      </c>
      <c r="F2817" t="s">
        <v>164</v>
      </c>
      <c r="G2817" s="28">
        <v>1</v>
      </c>
      <c r="H2817" s="32">
        <v>0.49</v>
      </c>
      <c r="I2817" s="32">
        <v>45.83</v>
      </c>
      <c r="J2817" t="s">
        <v>239</v>
      </c>
      <c r="K2817" t="s">
        <v>245</v>
      </c>
      <c r="L2817" t="s">
        <v>235</v>
      </c>
      <c r="M2817" t="s">
        <v>236</v>
      </c>
      <c r="N2817" t="s">
        <v>240</v>
      </c>
      <c r="O2817" s="27">
        <v>46055</v>
      </c>
    </row>
    <row r="2818" spans="2:15" hidden="1" x14ac:dyDescent="0.3">
      <c r="B2818">
        <v>1579</v>
      </c>
      <c r="C2818" t="s">
        <v>231</v>
      </c>
      <c r="D2818">
        <v>21468</v>
      </c>
      <c r="E2818" t="s">
        <v>150</v>
      </c>
      <c r="F2818" t="s">
        <v>277</v>
      </c>
      <c r="G2818" s="28">
        <v>1</v>
      </c>
      <c r="H2818" s="32">
        <v>0.48</v>
      </c>
      <c r="I2818" s="32">
        <v>36.28</v>
      </c>
      <c r="J2818" t="s">
        <v>239</v>
      </c>
      <c r="K2818" t="s">
        <v>245</v>
      </c>
      <c r="L2818" t="s">
        <v>235</v>
      </c>
      <c r="M2818" t="s">
        <v>236</v>
      </c>
      <c r="N2818" t="s">
        <v>237</v>
      </c>
      <c r="O2818" s="27">
        <v>46055</v>
      </c>
    </row>
    <row r="2819" spans="2:15" hidden="1" x14ac:dyDescent="0.3">
      <c r="B2819">
        <v>2190399</v>
      </c>
      <c r="C2819" t="s">
        <v>231</v>
      </c>
      <c r="D2819">
        <v>68542</v>
      </c>
      <c r="E2819" t="s">
        <v>150</v>
      </c>
      <c r="F2819" t="s">
        <v>263</v>
      </c>
      <c r="G2819" s="28">
        <v>2</v>
      </c>
      <c r="H2819" s="32">
        <v>0.48</v>
      </c>
      <c r="I2819" s="32">
        <v>27.63</v>
      </c>
      <c r="J2819" t="s">
        <v>239</v>
      </c>
      <c r="K2819" t="s">
        <v>245</v>
      </c>
      <c r="L2819" t="s">
        <v>235</v>
      </c>
      <c r="M2819" t="s">
        <v>236</v>
      </c>
      <c r="N2819" t="s">
        <v>240</v>
      </c>
      <c r="O2819" s="27">
        <v>46055</v>
      </c>
    </row>
    <row r="2820" spans="2:15" x14ac:dyDescent="0.3">
      <c r="B2820">
        <v>7397602</v>
      </c>
      <c r="C2820" t="s">
        <v>231</v>
      </c>
      <c r="D2820">
        <v>22103</v>
      </c>
      <c r="E2820" t="s">
        <v>150</v>
      </c>
      <c r="F2820" t="s">
        <v>319</v>
      </c>
      <c r="G2820" s="28">
        <v>2</v>
      </c>
      <c r="H2820" s="32">
        <v>0.48</v>
      </c>
      <c r="I2820" s="32">
        <v>75.28</v>
      </c>
      <c r="J2820" t="s">
        <v>239</v>
      </c>
      <c r="K2820" t="s">
        <v>245</v>
      </c>
      <c r="L2820" t="s">
        <v>235</v>
      </c>
      <c r="M2820" t="s">
        <v>236</v>
      </c>
      <c r="N2820" t="s">
        <v>237</v>
      </c>
      <c r="O2820" s="27">
        <v>46055</v>
      </c>
    </row>
    <row r="2821" spans="2:15" hidden="1" x14ac:dyDescent="0.3">
      <c r="B2821">
        <v>9303108</v>
      </c>
      <c r="C2821" t="s">
        <v>260</v>
      </c>
      <c r="D2821">
        <v>69493</v>
      </c>
      <c r="E2821" t="s">
        <v>150</v>
      </c>
      <c r="F2821" t="s">
        <v>417</v>
      </c>
      <c r="G2821" s="28">
        <v>1</v>
      </c>
      <c r="H2821" s="32">
        <v>0.48</v>
      </c>
      <c r="I2821" s="32">
        <v>91.49</v>
      </c>
      <c r="J2821" t="s">
        <v>267</v>
      </c>
      <c r="K2821" t="s">
        <v>245</v>
      </c>
      <c r="L2821" t="s">
        <v>235</v>
      </c>
      <c r="M2821" t="s">
        <v>236</v>
      </c>
      <c r="N2821" t="s">
        <v>240</v>
      </c>
      <c r="O2821" s="27">
        <v>46057</v>
      </c>
    </row>
    <row r="2822" spans="2:15" hidden="1" x14ac:dyDescent="0.3">
      <c r="B2822">
        <v>74468</v>
      </c>
      <c r="C2822" t="s">
        <v>260</v>
      </c>
      <c r="D2822">
        <v>69519</v>
      </c>
      <c r="E2822" t="s">
        <v>150</v>
      </c>
      <c r="F2822" t="s">
        <v>295</v>
      </c>
      <c r="G2822" s="28">
        <v>3</v>
      </c>
      <c r="H2822" s="32">
        <v>0.48</v>
      </c>
      <c r="I2822" s="32">
        <v>289.87</v>
      </c>
      <c r="J2822" t="s">
        <v>267</v>
      </c>
      <c r="K2822" t="s">
        <v>245</v>
      </c>
      <c r="L2822" t="s">
        <v>235</v>
      </c>
      <c r="M2822" t="s">
        <v>236</v>
      </c>
      <c r="N2822" t="s">
        <v>237</v>
      </c>
      <c r="O2822" s="27">
        <v>46063</v>
      </c>
    </row>
    <row r="2823" spans="2:15" x14ac:dyDescent="0.3">
      <c r="B2823">
        <v>3105908</v>
      </c>
      <c r="C2823" t="s">
        <v>231</v>
      </c>
      <c r="D2823">
        <v>22103</v>
      </c>
      <c r="E2823" t="s">
        <v>150</v>
      </c>
      <c r="F2823" t="s">
        <v>271</v>
      </c>
      <c r="G2823" s="28">
        <v>2</v>
      </c>
      <c r="H2823" s="32">
        <v>0.47</v>
      </c>
      <c r="I2823" s="32">
        <v>36.92</v>
      </c>
      <c r="J2823" t="s">
        <v>239</v>
      </c>
      <c r="K2823" t="s">
        <v>245</v>
      </c>
      <c r="L2823" t="s">
        <v>235</v>
      </c>
      <c r="M2823" t="s">
        <v>236</v>
      </c>
      <c r="N2823" t="s">
        <v>237</v>
      </c>
      <c r="O2823" s="27">
        <v>46063</v>
      </c>
    </row>
    <row r="2824" spans="2:15" hidden="1" x14ac:dyDescent="0.3">
      <c r="B2824">
        <v>7296870</v>
      </c>
      <c r="C2824" t="s">
        <v>231</v>
      </c>
      <c r="D2824">
        <v>96553</v>
      </c>
      <c r="E2824" t="s">
        <v>150</v>
      </c>
      <c r="F2824" t="s">
        <v>276</v>
      </c>
      <c r="G2824" s="28">
        <v>1</v>
      </c>
      <c r="H2824" s="32">
        <v>0.47</v>
      </c>
      <c r="I2824" s="32">
        <v>30.27</v>
      </c>
      <c r="J2824" t="s">
        <v>239</v>
      </c>
      <c r="K2824" t="s">
        <v>245</v>
      </c>
      <c r="L2824" t="s">
        <v>235</v>
      </c>
      <c r="M2824" t="s">
        <v>236</v>
      </c>
      <c r="N2824" t="s">
        <v>240</v>
      </c>
      <c r="O2824" s="27">
        <v>46055</v>
      </c>
    </row>
    <row r="2825" spans="2:15" hidden="1" x14ac:dyDescent="0.3">
      <c r="B2825">
        <v>9303108</v>
      </c>
      <c r="C2825" t="s">
        <v>260</v>
      </c>
      <c r="D2825">
        <v>69493</v>
      </c>
      <c r="E2825" t="s">
        <v>150</v>
      </c>
      <c r="F2825" t="s">
        <v>263</v>
      </c>
      <c r="G2825" s="28">
        <v>6</v>
      </c>
      <c r="H2825" s="32">
        <v>0.47</v>
      </c>
      <c r="I2825" s="32">
        <v>82.9</v>
      </c>
      <c r="J2825" t="s">
        <v>239</v>
      </c>
      <c r="K2825" t="s">
        <v>245</v>
      </c>
      <c r="L2825" t="s">
        <v>235</v>
      </c>
      <c r="M2825" t="s">
        <v>236</v>
      </c>
      <c r="N2825" t="s">
        <v>240</v>
      </c>
      <c r="O2825" s="27">
        <v>46055</v>
      </c>
    </row>
    <row r="2826" spans="2:15" hidden="1" x14ac:dyDescent="0.3">
      <c r="B2826">
        <v>3687422</v>
      </c>
      <c r="C2826" t="s">
        <v>260</v>
      </c>
      <c r="D2826">
        <v>68542</v>
      </c>
      <c r="E2826" t="s">
        <v>150</v>
      </c>
      <c r="F2826" t="s">
        <v>418</v>
      </c>
      <c r="G2826" s="28">
        <v>1</v>
      </c>
      <c r="H2826" s="32">
        <v>0.47</v>
      </c>
      <c r="I2826" s="32">
        <v>108.79</v>
      </c>
      <c r="J2826" t="s">
        <v>267</v>
      </c>
      <c r="K2826" t="s">
        <v>245</v>
      </c>
      <c r="L2826" t="s">
        <v>235</v>
      </c>
      <c r="M2826" t="s">
        <v>236</v>
      </c>
      <c r="N2826" t="s">
        <v>237</v>
      </c>
      <c r="O2826" s="27">
        <v>46057</v>
      </c>
    </row>
    <row r="2827" spans="2:15" hidden="1" x14ac:dyDescent="0.3">
      <c r="B2827">
        <v>9260624</v>
      </c>
      <c r="C2827" t="s">
        <v>231</v>
      </c>
      <c r="D2827">
        <v>24415</v>
      </c>
      <c r="E2827" t="s">
        <v>150</v>
      </c>
      <c r="F2827" t="s">
        <v>271</v>
      </c>
      <c r="G2827" s="28">
        <v>3</v>
      </c>
      <c r="H2827" s="32">
        <v>0.46</v>
      </c>
      <c r="I2827" s="32">
        <v>52.97</v>
      </c>
      <c r="J2827" t="s">
        <v>239</v>
      </c>
      <c r="K2827" t="s">
        <v>245</v>
      </c>
      <c r="L2827" t="s">
        <v>235</v>
      </c>
      <c r="M2827" t="s">
        <v>236</v>
      </c>
      <c r="N2827" t="s">
        <v>237</v>
      </c>
      <c r="O2827" s="27">
        <v>46055</v>
      </c>
    </row>
    <row r="2828" spans="2:15" hidden="1" x14ac:dyDescent="0.3">
      <c r="B2828">
        <v>5567161</v>
      </c>
      <c r="C2828" t="s">
        <v>231</v>
      </c>
      <c r="D2828">
        <v>24415</v>
      </c>
      <c r="E2828" t="s">
        <v>150</v>
      </c>
      <c r="F2828" t="s">
        <v>347</v>
      </c>
      <c r="G2828" s="28">
        <v>9</v>
      </c>
      <c r="H2828" s="32">
        <v>0.46</v>
      </c>
      <c r="I2828" s="32">
        <v>88.74</v>
      </c>
      <c r="J2828" t="s">
        <v>330</v>
      </c>
      <c r="K2828" t="s">
        <v>245</v>
      </c>
      <c r="L2828" t="s">
        <v>235</v>
      </c>
      <c r="M2828" t="s">
        <v>236</v>
      </c>
      <c r="N2828" t="s">
        <v>240</v>
      </c>
      <c r="O2828" s="27">
        <v>46063</v>
      </c>
    </row>
    <row r="2829" spans="2:15" hidden="1" x14ac:dyDescent="0.3">
      <c r="B2829">
        <v>2538267</v>
      </c>
      <c r="C2829" t="s">
        <v>231</v>
      </c>
      <c r="D2829">
        <v>69579</v>
      </c>
      <c r="E2829" t="s">
        <v>150</v>
      </c>
      <c r="F2829" t="s">
        <v>160</v>
      </c>
      <c r="G2829" s="28">
        <v>1</v>
      </c>
      <c r="H2829" s="32">
        <v>0.46</v>
      </c>
      <c r="I2829" s="32">
        <v>84.85</v>
      </c>
      <c r="J2829" t="s">
        <v>239</v>
      </c>
      <c r="K2829" t="s">
        <v>245</v>
      </c>
      <c r="L2829" t="s">
        <v>235</v>
      </c>
      <c r="M2829" t="s">
        <v>236</v>
      </c>
      <c r="N2829" t="s">
        <v>240</v>
      </c>
      <c r="O2829" s="27">
        <v>46055</v>
      </c>
    </row>
    <row r="2830" spans="2:15" hidden="1" x14ac:dyDescent="0.3">
      <c r="B2830">
        <v>4382412</v>
      </c>
      <c r="C2830" t="s">
        <v>231</v>
      </c>
      <c r="D2830">
        <v>49894</v>
      </c>
      <c r="E2830" t="s">
        <v>150</v>
      </c>
      <c r="F2830" t="s">
        <v>160</v>
      </c>
      <c r="G2830" s="28">
        <v>1</v>
      </c>
      <c r="H2830" s="32">
        <v>0.45</v>
      </c>
      <c r="I2830" s="32">
        <v>87.27</v>
      </c>
      <c r="J2830" t="s">
        <v>239</v>
      </c>
      <c r="K2830" t="s">
        <v>245</v>
      </c>
      <c r="L2830" t="s">
        <v>235</v>
      </c>
      <c r="M2830" t="s">
        <v>236</v>
      </c>
      <c r="N2830" t="s">
        <v>240</v>
      </c>
      <c r="O2830" s="27">
        <v>46063</v>
      </c>
    </row>
    <row r="2831" spans="2:15" hidden="1" x14ac:dyDescent="0.3">
      <c r="B2831">
        <v>18702217</v>
      </c>
      <c r="C2831" t="s">
        <v>260</v>
      </c>
      <c r="D2831">
        <v>74304</v>
      </c>
      <c r="E2831" t="s">
        <v>150</v>
      </c>
      <c r="F2831" t="s">
        <v>384</v>
      </c>
      <c r="G2831" s="28">
        <v>4</v>
      </c>
      <c r="H2831" s="32">
        <v>0.45</v>
      </c>
      <c r="I2831" s="32">
        <v>85.8</v>
      </c>
      <c r="J2831" t="s">
        <v>330</v>
      </c>
      <c r="K2831" t="s">
        <v>234</v>
      </c>
      <c r="L2831" t="s">
        <v>235</v>
      </c>
      <c r="M2831" t="s">
        <v>236</v>
      </c>
      <c r="N2831" t="s">
        <v>237</v>
      </c>
      <c r="O2831" s="27">
        <v>46072</v>
      </c>
    </row>
    <row r="2832" spans="2:15" hidden="1" x14ac:dyDescent="0.3">
      <c r="B2832">
        <v>3687422</v>
      </c>
      <c r="C2832" t="s">
        <v>260</v>
      </c>
      <c r="D2832">
        <v>68542</v>
      </c>
      <c r="E2832" t="s">
        <v>150</v>
      </c>
      <c r="F2832" t="s">
        <v>322</v>
      </c>
      <c r="G2832" s="28">
        <v>1</v>
      </c>
      <c r="H2832" s="32">
        <v>0.45</v>
      </c>
      <c r="I2832" s="32">
        <v>102.75</v>
      </c>
      <c r="J2832" t="s">
        <v>267</v>
      </c>
      <c r="K2832" t="s">
        <v>245</v>
      </c>
      <c r="L2832" t="s">
        <v>235</v>
      </c>
      <c r="M2832" t="s">
        <v>236</v>
      </c>
      <c r="N2832" t="s">
        <v>237</v>
      </c>
      <c r="O2832" s="27">
        <v>46057</v>
      </c>
    </row>
    <row r="2833" spans="2:15" hidden="1" x14ac:dyDescent="0.3">
      <c r="B2833">
        <v>3911170</v>
      </c>
      <c r="C2833" t="s">
        <v>231</v>
      </c>
      <c r="D2833">
        <v>21468</v>
      </c>
      <c r="E2833" t="s">
        <v>150</v>
      </c>
      <c r="F2833" t="s">
        <v>271</v>
      </c>
      <c r="G2833" s="28">
        <v>2</v>
      </c>
      <c r="H2833" s="32">
        <v>0.44</v>
      </c>
      <c r="I2833" s="32">
        <v>36.92</v>
      </c>
      <c r="J2833" t="s">
        <v>239</v>
      </c>
      <c r="K2833" t="s">
        <v>245</v>
      </c>
      <c r="L2833" t="s">
        <v>235</v>
      </c>
      <c r="M2833" t="s">
        <v>236</v>
      </c>
      <c r="N2833" t="s">
        <v>237</v>
      </c>
      <c r="O2833" s="27">
        <v>46063</v>
      </c>
    </row>
    <row r="2834" spans="2:15" hidden="1" x14ac:dyDescent="0.3">
      <c r="B2834">
        <v>2405094</v>
      </c>
      <c r="C2834" t="s">
        <v>231</v>
      </c>
      <c r="D2834">
        <v>38517</v>
      </c>
      <c r="E2834" t="s">
        <v>150</v>
      </c>
      <c r="F2834" t="s">
        <v>276</v>
      </c>
      <c r="G2834" s="28">
        <v>1</v>
      </c>
      <c r="H2834" s="32">
        <v>0.44</v>
      </c>
      <c r="I2834" s="32">
        <v>30.27</v>
      </c>
      <c r="J2834" t="s">
        <v>239</v>
      </c>
      <c r="K2834" t="s">
        <v>245</v>
      </c>
      <c r="L2834" t="s">
        <v>235</v>
      </c>
      <c r="M2834" t="s">
        <v>236</v>
      </c>
      <c r="N2834" t="s">
        <v>240</v>
      </c>
      <c r="O2834" s="27">
        <v>46055</v>
      </c>
    </row>
    <row r="2835" spans="2:15" hidden="1" x14ac:dyDescent="0.3">
      <c r="B2835">
        <v>18533421</v>
      </c>
      <c r="C2835" t="s">
        <v>231</v>
      </c>
      <c r="D2835">
        <v>40901</v>
      </c>
      <c r="E2835" t="s">
        <v>150</v>
      </c>
      <c r="F2835" t="s">
        <v>272</v>
      </c>
      <c r="G2835" s="28">
        <v>5</v>
      </c>
      <c r="H2835" s="32">
        <v>0.44</v>
      </c>
      <c r="I2835" s="32">
        <v>32.69</v>
      </c>
      <c r="J2835" t="s">
        <v>239</v>
      </c>
      <c r="K2835" t="s">
        <v>245</v>
      </c>
      <c r="L2835" t="s">
        <v>235</v>
      </c>
      <c r="M2835" t="s">
        <v>236</v>
      </c>
      <c r="N2835" t="s">
        <v>237</v>
      </c>
      <c r="O2835" s="27">
        <v>46055</v>
      </c>
    </row>
    <row r="2836" spans="2:15" hidden="1" x14ac:dyDescent="0.3">
      <c r="B2836">
        <v>6859448</v>
      </c>
      <c r="C2836" t="s">
        <v>231</v>
      </c>
      <c r="D2836">
        <v>25619</v>
      </c>
      <c r="E2836" t="s">
        <v>150</v>
      </c>
      <c r="F2836" t="s">
        <v>160</v>
      </c>
      <c r="G2836" s="28">
        <v>1</v>
      </c>
      <c r="H2836" s="32">
        <v>0.44</v>
      </c>
      <c r="I2836" s="32">
        <v>87.05</v>
      </c>
      <c r="J2836" t="s">
        <v>239</v>
      </c>
      <c r="K2836" t="s">
        <v>245</v>
      </c>
      <c r="L2836" t="s">
        <v>235</v>
      </c>
      <c r="M2836" t="s">
        <v>236</v>
      </c>
      <c r="N2836" t="s">
        <v>240</v>
      </c>
      <c r="O2836" s="27">
        <v>46063</v>
      </c>
    </row>
    <row r="2837" spans="2:15" hidden="1" x14ac:dyDescent="0.3">
      <c r="B2837">
        <v>8218280</v>
      </c>
      <c r="C2837" t="s">
        <v>260</v>
      </c>
      <c r="D2837">
        <v>21559</v>
      </c>
      <c r="E2837" t="s">
        <v>150</v>
      </c>
      <c r="F2837" t="s">
        <v>299</v>
      </c>
      <c r="G2837" s="28">
        <v>1</v>
      </c>
      <c r="H2837" s="32">
        <v>0.44</v>
      </c>
      <c r="I2837" s="32">
        <v>76.459999999999994</v>
      </c>
      <c r="J2837" t="s">
        <v>267</v>
      </c>
      <c r="K2837" t="s">
        <v>245</v>
      </c>
      <c r="L2837" t="s">
        <v>235</v>
      </c>
      <c r="M2837" t="s">
        <v>236</v>
      </c>
      <c r="N2837" t="s">
        <v>240</v>
      </c>
      <c r="O2837" s="27">
        <v>46062</v>
      </c>
    </row>
    <row r="2838" spans="2:15" hidden="1" x14ac:dyDescent="0.3">
      <c r="B2838">
        <v>17005725</v>
      </c>
      <c r="C2838" t="s">
        <v>260</v>
      </c>
      <c r="D2838">
        <v>22674</v>
      </c>
      <c r="E2838" t="s">
        <v>150</v>
      </c>
      <c r="F2838" t="s">
        <v>271</v>
      </c>
      <c r="G2838" s="28">
        <v>2</v>
      </c>
      <c r="H2838" s="32">
        <v>0.44</v>
      </c>
      <c r="I2838" s="32">
        <v>36.92</v>
      </c>
      <c r="J2838" t="s">
        <v>239</v>
      </c>
      <c r="K2838" t="s">
        <v>245</v>
      </c>
      <c r="L2838" t="s">
        <v>235</v>
      </c>
      <c r="M2838" t="s">
        <v>236</v>
      </c>
      <c r="N2838" t="s">
        <v>237</v>
      </c>
      <c r="O2838" s="27">
        <v>46063</v>
      </c>
    </row>
    <row r="2839" spans="2:15" hidden="1" x14ac:dyDescent="0.3">
      <c r="B2839">
        <v>11593572</v>
      </c>
      <c r="C2839" t="s">
        <v>231</v>
      </c>
      <c r="D2839">
        <v>22674</v>
      </c>
      <c r="E2839" t="s">
        <v>150</v>
      </c>
      <c r="F2839" t="s">
        <v>425</v>
      </c>
      <c r="G2839" s="28">
        <v>3</v>
      </c>
      <c r="H2839" s="32">
        <v>0.43</v>
      </c>
      <c r="I2839" s="32">
        <v>175.4</v>
      </c>
      <c r="J2839" t="s">
        <v>267</v>
      </c>
      <c r="K2839" t="s">
        <v>245</v>
      </c>
      <c r="L2839" t="s">
        <v>235</v>
      </c>
      <c r="M2839" t="s">
        <v>236</v>
      </c>
      <c r="N2839" t="s">
        <v>240</v>
      </c>
      <c r="O2839" s="27">
        <v>46056</v>
      </c>
    </row>
    <row r="2840" spans="2:15" hidden="1" x14ac:dyDescent="0.3">
      <c r="B2840">
        <v>4535206</v>
      </c>
      <c r="C2840" t="s">
        <v>231</v>
      </c>
      <c r="D2840">
        <v>68542</v>
      </c>
      <c r="E2840" t="s">
        <v>150</v>
      </c>
      <c r="F2840" t="s">
        <v>420</v>
      </c>
      <c r="G2840" s="28">
        <v>1</v>
      </c>
      <c r="H2840" s="32">
        <v>0.43</v>
      </c>
      <c r="I2840" s="32">
        <v>96.6</v>
      </c>
      <c r="J2840" t="s">
        <v>330</v>
      </c>
      <c r="K2840" t="s">
        <v>245</v>
      </c>
      <c r="L2840" t="s">
        <v>235</v>
      </c>
      <c r="M2840" t="s">
        <v>236</v>
      </c>
      <c r="N2840" t="s">
        <v>240</v>
      </c>
      <c r="O2840" s="27">
        <v>46055</v>
      </c>
    </row>
    <row r="2841" spans="2:15" hidden="1" x14ac:dyDescent="0.3">
      <c r="B2841">
        <v>7296870</v>
      </c>
      <c r="C2841" t="s">
        <v>231</v>
      </c>
      <c r="D2841">
        <v>96553</v>
      </c>
      <c r="E2841" t="s">
        <v>150</v>
      </c>
      <c r="F2841" t="s">
        <v>263</v>
      </c>
      <c r="G2841" s="28">
        <v>2</v>
      </c>
      <c r="H2841" s="32">
        <v>0.43</v>
      </c>
      <c r="I2841" s="32">
        <v>27.63</v>
      </c>
      <c r="J2841" t="s">
        <v>239</v>
      </c>
      <c r="K2841" t="s">
        <v>245</v>
      </c>
      <c r="L2841" t="s">
        <v>235</v>
      </c>
      <c r="M2841" t="s">
        <v>236</v>
      </c>
      <c r="N2841" t="s">
        <v>240</v>
      </c>
      <c r="O2841" s="27">
        <v>46055</v>
      </c>
    </row>
    <row r="2842" spans="2:15" hidden="1" x14ac:dyDescent="0.3">
      <c r="B2842">
        <v>8518733</v>
      </c>
      <c r="C2842" t="s">
        <v>260</v>
      </c>
      <c r="D2842">
        <v>40901</v>
      </c>
      <c r="E2842" t="s">
        <v>150</v>
      </c>
      <c r="F2842" t="s">
        <v>276</v>
      </c>
      <c r="G2842" s="28">
        <v>1</v>
      </c>
      <c r="H2842" s="32">
        <v>0.43</v>
      </c>
      <c r="I2842" s="32">
        <v>30.27</v>
      </c>
      <c r="J2842" t="s">
        <v>239</v>
      </c>
      <c r="K2842" t="s">
        <v>245</v>
      </c>
      <c r="L2842" t="s">
        <v>235</v>
      </c>
      <c r="M2842" t="s">
        <v>236</v>
      </c>
      <c r="N2842" t="s">
        <v>240</v>
      </c>
      <c r="O2842" s="27">
        <v>46055</v>
      </c>
    </row>
    <row r="2843" spans="2:15" hidden="1" x14ac:dyDescent="0.3">
      <c r="B2843">
        <v>3430907</v>
      </c>
      <c r="C2843" t="s">
        <v>260</v>
      </c>
      <c r="D2843">
        <v>21468</v>
      </c>
      <c r="E2843" t="s">
        <v>150</v>
      </c>
      <c r="F2843" t="s">
        <v>337</v>
      </c>
      <c r="G2843" s="28">
        <v>2</v>
      </c>
      <c r="H2843" s="32">
        <v>0.43</v>
      </c>
      <c r="I2843" s="32">
        <v>73.5</v>
      </c>
      <c r="J2843" t="s">
        <v>239</v>
      </c>
      <c r="K2843" t="s">
        <v>245</v>
      </c>
      <c r="L2843" t="s">
        <v>235</v>
      </c>
      <c r="M2843" t="s">
        <v>236</v>
      </c>
      <c r="N2843" t="s">
        <v>237</v>
      </c>
      <c r="O2843" s="27">
        <v>46055</v>
      </c>
    </row>
    <row r="2844" spans="2:15" hidden="1" x14ac:dyDescent="0.3">
      <c r="B2844">
        <v>3907511</v>
      </c>
      <c r="C2844" t="s">
        <v>231</v>
      </c>
      <c r="D2844">
        <v>23648</v>
      </c>
      <c r="E2844" t="s">
        <v>150</v>
      </c>
      <c r="F2844" t="s">
        <v>263</v>
      </c>
      <c r="G2844" s="28">
        <v>4</v>
      </c>
      <c r="H2844" s="32">
        <v>0.42</v>
      </c>
      <c r="I2844" s="32">
        <v>55.26</v>
      </c>
      <c r="J2844" t="s">
        <v>239</v>
      </c>
      <c r="K2844" t="s">
        <v>245</v>
      </c>
      <c r="L2844" t="s">
        <v>235</v>
      </c>
      <c r="M2844" t="s">
        <v>236</v>
      </c>
      <c r="N2844" t="s">
        <v>240</v>
      </c>
      <c r="O2844" s="27">
        <v>46055</v>
      </c>
    </row>
    <row r="2845" spans="2:15" hidden="1" x14ac:dyDescent="0.3">
      <c r="B2845">
        <v>535004</v>
      </c>
      <c r="C2845" t="s">
        <v>231</v>
      </c>
      <c r="D2845">
        <v>22674</v>
      </c>
      <c r="E2845" t="s">
        <v>150</v>
      </c>
      <c r="F2845" t="s">
        <v>164</v>
      </c>
      <c r="G2845" s="28">
        <v>1</v>
      </c>
      <c r="H2845" s="32">
        <v>0.42</v>
      </c>
      <c r="I2845" s="32">
        <v>45.83</v>
      </c>
      <c r="J2845" t="s">
        <v>239</v>
      </c>
      <c r="K2845" t="s">
        <v>245</v>
      </c>
      <c r="L2845" t="s">
        <v>235</v>
      </c>
      <c r="M2845" t="s">
        <v>236</v>
      </c>
      <c r="N2845" t="s">
        <v>237</v>
      </c>
      <c r="O2845" s="27">
        <v>46055</v>
      </c>
    </row>
    <row r="2846" spans="2:15" hidden="1" x14ac:dyDescent="0.3">
      <c r="B2846">
        <v>3430907</v>
      </c>
      <c r="C2846" t="s">
        <v>260</v>
      </c>
      <c r="D2846">
        <v>21468</v>
      </c>
      <c r="E2846" t="s">
        <v>150</v>
      </c>
      <c r="F2846" t="s">
        <v>271</v>
      </c>
      <c r="G2846" s="28">
        <v>4</v>
      </c>
      <c r="H2846" s="32">
        <v>0.42</v>
      </c>
      <c r="I2846" s="32">
        <v>70.62</v>
      </c>
      <c r="J2846" t="s">
        <v>239</v>
      </c>
      <c r="K2846" t="s">
        <v>245</v>
      </c>
      <c r="L2846" t="s">
        <v>235</v>
      </c>
      <c r="M2846" t="s">
        <v>236</v>
      </c>
      <c r="N2846" t="s">
        <v>237</v>
      </c>
      <c r="O2846" s="27">
        <v>46055</v>
      </c>
    </row>
    <row r="2847" spans="2:15" hidden="1" x14ac:dyDescent="0.3">
      <c r="B2847">
        <v>3548394</v>
      </c>
      <c r="C2847" t="s">
        <v>260</v>
      </c>
      <c r="D2847">
        <v>25104</v>
      </c>
      <c r="E2847" t="s">
        <v>150</v>
      </c>
      <c r="F2847" t="s">
        <v>406</v>
      </c>
      <c r="G2847" s="28">
        <v>2</v>
      </c>
      <c r="H2847" s="32">
        <v>0.42</v>
      </c>
      <c r="I2847" s="32">
        <v>252.97</v>
      </c>
      <c r="J2847" t="s">
        <v>267</v>
      </c>
      <c r="K2847" t="s">
        <v>245</v>
      </c>
      <c r="L2847" t="s">
        <v>235</v>
      </c>
      <c r="M2847" t="s">
        <v>236</v>
      </c>
      <c r="N2847" t="s">
        <v>237</v>
      </c>
      <c r="O2847" s="27">
        <v>46057</v>
      </c>
    </row>
    <row r="2848" spans="2:15" hidden="1" x14ac:dyDescent="0.3">
      <c r="B2848">
        <v>2051406</v>
      </c>
      <c r="C2848" t="s">
        <v>231</v>
      </c>
      <c r="D2848">
        <v>25104</v>
      </c>
      <c r="E2848" t="s">
        <v>150</v>
      </c>
      <c r="F2848" t="s">
        <v>277</v>
      </c>
      <c r="G2848" s="28">
        <v>1</v>
      </c>
      <c r="H2848" s="32">
        <v>0.41</v>
      </c>
      <c r="I2848" s="32">
        <v>36.28</v>
      </c>
      <c r="J2848" t="s">
        <v>239</v>
      </c>
      <c r="K2848" t="s">
        <v>245</v>
      </c>
      <c r="L2848" t="s">
        <v>235</v>
      </c>
      <c r="M2848" t="s">
        <v>236</v>
      </c>
      <c r="N2848" t="s">
        <v>237</v>
      </c>
      <c r="O2848" s="27">
        <v>46055</v>
      </c>
    </row>
    <row r="2849" spans="2:15" hidden="1" x14ac:dyDescent="0.3">
      <c r="B2849">
        <v>2255037</v>
      </c>
      <c r="C2849" t="s">
        <v>231</v>
      </c>
      <c r="D2849">
        <v>22674</v>
      </c>
      <c r="E2849" t="s">
        <v>150</v>
      </c>
      <c r="F2849" t="s">
        <v>160</v>
      </c>
      <c r="G2849" s="28">
        <v>1</v>
      </c>
      <c r="H2849" s="32">
        <v>0.41</v>
      </c>
      <c r="I2849" s="32">
        <v>87.25</v>
      </c>
      <c r="J2849" t="s">
        <v>239</v>
      </c>
      <c r="K2849" t="s">
        <v>245</v>
      </c>
      <c r="L2849" t="s">
        <v>235</v>
      </c>
      <c r="M2849" t="s">
        <v>236</v>
      </c>
      <c r="N2849" t="s">
        <v>240</v>
      </c>
      <c r="O2849" s="27">
        <v>46063</v>
      </c>
    </row>
    <row r="2850" spans="2:15" hidden="1" x14ac:dyDescent="0.3">
      <c r="B2850">
        <v>2987541</v>
      </c>
      <c r="C2850" t="s">
        <v>231</v>
      </c>
      <c r="D2850">
        <v>23648</v>
      </c>
      <c r="E2850" t="s">
        <v>150</v>
      </c>
      <c r="F2850" t="s">
        <v>160</v>
      </c>
      <c r="G2850" s="28">
        <v>1</v>
      </c>
      <c r="H2850" s="32">
        <v>0.41</v>
      </c>
      <c r="I2850" s="32">
        <v>87.17</v>
      </c>
      <c r="J2850" t="s">
        <v>239</v>
      </c>
      <c r="K2850" t="s">
        <v>245</v>
      </c>
      <c r="L2850" t="s">
        <v>235</v>
      </c>
      <c r="M2850" t="s">
        <v>236</v>
      </c>
      <c r="N2850" t="s">
        <v>240</v>
      </c>
      <c r="O2850" s="27">
        <v>46063</v>
      </c>
    </row>
    <row r="2851" spans="2:15" hidden="1" x14ac:dyDescent="0.3">
      <c r="B2851">
        <v>12629468</v>
      </c>
      <c r="C2851" t="s">
        <v>260</v>
      </c>
      <c r="D2851">
        <v>40901</v>
      </c>
      <c r="E2851" t="s">
        <v>150</v>
      </c>
      <c r="F2851" t="s">
        <v>271</v>
      </c>
      <c r="G2851" s="28">
        <v>1</v>
      </c>
      <c r="H2851" s="32">
        <v>0.41</v>
      </c>
      <c r="I2851" s="32">
        <v>18.47</v>
      </c>
      <c r="J2851" t="s">
        <v>239</v>
      </c>
      <c r="K2851" t="s">
        <v>245</v>
      </c>
      <c r="L2851" t="s">
        <v>235</v>
      </c>
      <c r="M2851" t="s">
        <v>236</v>
      </c>
      <c r="N2851" t="s">
        <v>240</v>
      </c>
      <c r="O2851" s="27">
        <v>46063</v>
      </c>
    </row>
    <row r="2852" spans="2:15" hidden="1" x14ac:dyDescent="0.3">
      <c r="B2852">
        <v>3065087</v>
      </c>
      <c r="C2852" t="s">
        <v>231</v>
      </c>
      <c r="D2852">
        <v>22674</v>
      </c>
      <c r="E2852" t="s">
        <v>150</v>
      </c>
      <c r="F2852" t="s">
        <v>271</v>
      </c>
      <c r="G2852" s="28">
        <v>2</v>
      </c>
      <c r="H2852" s="32">
        <v>0.4</v>
      </c>
      <c r="I2852" s="32">
        <v>36.9</v>
      </c>
      <c r="J2852" t="s">
        <v>239</v>
      </c>
      <c r="K2852" t="s">
        <v>245</v>
      </c>
      <c r="L2852" t="s">
        <v>235</v>
      </c>
      <c r="M2852" t="s">
        <v>236</v>
      </c>
      <c r="N2852" t="s">
        <v>240</v>
      </c>
      <c r="O2852" s="27">
        <v>46063</v>
      </c>
    </row>
    <row r="2853" spans="2:15" hidden="1" x14ac:dyDescent="0.3">
      <c r="B2853">
        <v>3906862</v>
      </c>
      <c r="C2853" t="s">
        <v>231</v>
      </c>
      <c r="D2853">
        <v>71881</v>
      </c>
      <c r="E2853" t="s">
        <v>150</v>
      </c>
      <c r="F2853" t="s">
        <v>271</v>
      </c>
      <c r="G2853" s="28">
        <v>1</v>
      </c>
      <c r="H2853" s="32">
        <v>0.4</v>
      </c>
      <c r="I2853" s="32">
        <v>18.48</v>
      </c>
      <c r="J2853" t="s">
        <v>239</v>
      </c>
      <c r="K2853" t="s">
        <v>245</v>
      </c>
      <c r="L2853" t="s">
        <v>235</v>
      </c>
      <c r="M2853" t="s">
        <v>236</v>
      </c>
      <c r="N2853" t="s">
        <v>237</v>
      </c>
      <c r="O2853" s="27">
        <v>46063</v>
      </c>
    </row>
    <row r="2854" spans="2:15" hidden="1" x14ac:dyDescent="0.3">
      <c r="B2854">
        <v>2412490</v>
      </c>
      <c r="C2854" t="s">
        <v>231</v>
      </c>
      <c r="D2854">
        <v>71881</v>
      </c>
      <c r="E2854" t="s">
        <v>150</v>
      </c>
      <c r="F2854" t="s">
        <v>345</v>
      </c>
      <c r="G2854" s="28">
        <v>1</v>
      </c>
      <c r="H2854" s="32">
        <v>0.4</v>
      </c>
      <c r="I2854" s="32">
        <v>45.21</v>
      </c>
      <c r="J2854" t="s">
        <v>330</v>
      </c>
      <c r="K2854" t="s">
        <v>234</v>
      </c>
      <c r="L2854" t="s">
        <v>235</v>
      </c>
      <c r="M2854" t="s">
        <v>236</v>
      </c>
      <c r="N2854" t="s">
        <v>237</v>
      </c>
      <c r="O2854" s="27">
        <v>46057</v>
      </c>
    </row>
    <row r="2855" spans="2:15" hidden="1" x14ac:dyDescent="0.3">
      <c r="B2855">
        <v>2411460</v>
      </c>
      <c r="C2855" t="s">
        <v>231</v>
      </c>
      <c r="D2855">
        <v>72444</v>
      </c>
      <c r="E2855" t="s">
        <v>150</v>
      </c>
      <c r="F2855" t="s">
        <v>411</v>
      </c>
      <c r="G2855" s="28">
        <v>8</v>
      </c>
      <c r="H2855" s="32">
        <v>0.4</v>
      </c>
      <c r="I2855" s="32">
        <v>51.68</v>
      </c>
      <c r="J2855" t="s">
        <v>239</v>
      </c>
      <c r="K2855" t="s">
        <v>245</v>
      </c>
      <c r="L2855" t="s">
        <v>235</v>
      </c>
      <c r="M2855" t="s">
        <v>236</v>
      </c>
      <c r="N2855" t="s">
        <v>240</v>
      </c>
      <c r="O2855" s="27">
        <v>46055</v>
      </c>
    </row>
    <row r="2856" spans="2:15" hidden="1" x14ac:dyDescent="0.3">
      <c r="B2856">
        <v>3065087</v>
      </c>
      <c r="C2856" t="s">
        <v>231</v>
      </c>
      <c r="D2856">
        <v>22674</v>
      </c>
      <c r="E2856" t="s">
        <v>150</v>
      </c>
      <c r="F2856" t="s">
        <v>160</v>
      </c>
      <c r="G2856" s="28">
        <v>1</v>
      </c>
      <c r="H2856" s="32">
        <v>0.4</v>
      </c>
      <c r="I2856" s="32">
        <v>87.17</v>
      </c>
      <c r="J2856" t="s">
        <v>239</v>
      </c>
      <c r="K2856" t="s">
        <v>245</v>
      </c>
      <c r="L2856" t="s">
        <v>235</v>
      </c>
      <c r="M2856" t="s">
        <v>236</v>
      </c>
      <c r="N2856" t="s">
        <v>240</v>
      </c>
      <c r="O2856" s="27">
        <v>46063</v>
      </c>
    </row>
    <row r="2857" spans="2:15" hidden="1" x14ac:dyDescent="0.3">
      <c r="B2857">
        <v>4535206</v>
      </c>
      <c r="C2857" t="s">
        <v>231</v>
      </c>
      <c r="D2857">
        <v>68542</v>
      </c>
      <c r="E2857" t="s">
        <v>150</v>
      </c>
      <c r="F2857" t="s">
        <v>329</v>
      </c>
      <c r="G2857" s="28">
        <v>1</v>
      </c>
      <c r="H2857" s="32">
        <v>0.4</v>
      </c>
      <c r="I2857" s="32">
        <v>84.97</v>
      </c>
      <c r="J2857" t="s">
        <v>330</v>
      </c>
      <c r="K2857" t="s">
        <v>245</v>
      </c>
      <c r="L2857" t="s">
        <v>235</v>
      </c>
      <c r="M2857" t="s">
        <v>236</v>
      </c>
      <c r="N2857" t="s">
        <v>240</v>
      </c>
      <c r="O2857" s="27">
        <v>46055</v>
      </c>
    </row>
    <row r="2858" spans="2:15" x14ac:dyDescent="0.3">
      <c r="B2858">
        <v>79379</v>
      </c>
      <c r="C2858" t="s">
        <v>260</v>
      </c>
      <c r="D2858">
        <v>22103</v>
      </c>
      <c r="E2858" t="s">
        <v>150</v>
      </c>
      <c r="F2858" t="s">
        <v>271</v>
      </c>
      <c r="G2858" s="28">
        <v>1</v>
      </c>
      <c r="H2858" s="32">
        <v>0.4</v>
      </c>
      <c r="I2858" s="32">
        <v>18.46</v>
      </c>
      <c r="J2858" t="s">
        <v>239</v>
      </c>
      <c r="K2858" t="s">
        <v>245</v>
      </c>
      <c r="L2858" t="s">
        <v>235</v>
      </c>
      <c r="M2858" t="s">
        <v>236</v>
      </c>
      <c r="N2858" t="s">
        <v>237</v>
      </c>
      <c r="O2858" s="27">
        <v>46063</v>
      </c>
    </row>
    <row r="2859" spans="2:15" hidden="1" x14ac:dyDescent="0.3">
      <c r="B2859">
        <v>3687422</v>
      </c>
      <c r="C2859" t="s">
        <v>260</v>
      </c>
      <c r="D2859">
        <v>68542</v>
      </c>
      <c r="E2859" t="s">
        <v>150</v>
      </c>
      <c r="F2859" t="s">
        <v>315</v>
      </c>
      <c r="G2859" s="28">
        <v>1</v>
      </c>
      <c r="H2859" s="32">
        <v>0.4</v>
      </c>
      <c r="I2859" s="32">
        <v>88.08</v>
      </c>
      <c r="J2859" t="s">
        <v>267</v>
      </c>
      <c r="K2859" t="s">
        <v>245</v>
      </c>
      <c r="L2859" t="s">
        <v>235</v>
      </c>
      <c r="M2859" t="s">
        <v>236</v>
      </c>
      <c r="N2859" t="s">
        <v>237</v>
      </c>
      <c r="O2859" s="27">
        <v>46057</v>
      </c>
    </row>
    <row r="2860" spans="2:15" hidden="1" x14ac:dyDescent="0.3">
      <c r="B2860">
        <v>4339096</v>
      </c>
      <c r="C2860" t="s">
        <v>231</v>
      </c>
      <c r="D2860">
        <v>25619</v>
      </c>
      <c r="E2860" t="s">
        <v>150</v>
      </c>
      <c r="F2860" t="s">
        <v>271</v>
      </c>
      <c r="G2860" s="28">
        <v>2</v>
      </c>
      <c r="H2860" s="32">
        <v>0.39</v>
      </c>
      <c r="I2860" s="32">
        <v>36.92</v>
      </c>
      <c r="J2860" t="s">
        <v>239</v>
      </c>
      <c r="K2860" t="s">
        <v>245</v>
      </c>
      <c r="L2860" t="s">
        <v>235</v>
      </c>
      <c r="M2860" t="s">
        <v>236</v>
      </c>
      <c r="N2860" t="s">
        <v>237</v>
      </c>
      <c r="O2860" s="27">
        <v>46063</v>
      </c>
    </row>
    <row r="2861" spans="2:15" hidden="1" x14ac:dyDescent="0.3">
      <c r="B2861">
        <v>560966</v>
      </c>
      <c r="C2861" t="s">
        <v>231</v>
      </c>
      <c r="D2861">
        <v>21468</v>
      </c>
      <c r="E2861" t="s">
        <v>150</v>
      </c>
      <c r="F2861" t="s">
        <v>276</v>
      </c>
      <c r="G2861" s="28">
        <v>1</v>
      </c>
      <c r="H2861" s="32">
        <v>0.39</v>
      </c>
      <c r="I2861" s="32">
        <v>30.27</v>
      </c>
      <c r="J2861" t="s">
        <v>239</v>
      </c>
      <c r="K2861" t="s">
        <v>245</v>
      </c>
      <c r="L2861" t="s">
        <v>235</v>
      </c>
      <c r="M2861" t="s">
        <v>236</v>
      </c>
      <c r="N2861" t="s">
        <v>240</v>
      </c>
      <c r="O2861" s="27">
        <v>46055</v>
      </c>
    </row>
    <row r="2862" spans="2:15" hidden="1" x14ac:dyDescent="0.3">
      <c r="B2862">
        <v>2143207</v>
      </c>
      <c r="C2862" t="s">
        <v>231</v>
      </c>
      <c r="D2862">
        <v>21468</v>
      </c>
      <c r="E2862" t="s">
        <v>150</v>
      </c>
      <c r="F2862" t="s">
        <v>381</v>
      </c>
      <c r="G2862" s="28">
        <v>4</v>
      </c>
      <c r="H2862" s="32">
        <v>0.39</v>
      </c>
      <c r="I2862" s="32">
        <v>57.08</v>
      </c>
      <c r="J2862" t="s">
        <v>330</v>
      </c>
      <c r="K2862" t="s">
        <v>234</v>
      </c>
      <c r="L2862" t="s">
        <v>235</v>
      </c>
      <c r="M2862" t="s">
        <v>236</v>
      </c>
      <c r="N2862" t="s">
        <v>237</v>
      </c>
      <c r="O2862" s="27">
        <v>46057</v>
      </c>
    </row>
    <row r="2863" spans="2:15" hidden="1" x14ac:dyDescent="0.3">
      <c r="B2863">
        <v>366105</v>
      </c>
      <c r="C2863" t="s">
        <v>231</v>
      </c>
      <c r="D2863">
        <v>69519</v>
      </c>
      <c r="E2863" t="s">
        <v>150</v>
      </c>
      <c r="F2863" t="s">
        <v>416</v>
      </c>
      <c r="G2863" s="28">
        <v>4</v>
      </c>
      <c r="H2863" s="32">
        <v>0.39</v>
      </c>
      <c r="I2863" s="32">
        <v>332.68</v>
      </c>
      <c r="J2863" t="s">
        <v>267</v>
      </c>
      <c r="K2863" t="s">
        <v>245</v>
      </c>
      <c r="L2863" t="s">
        <v>235</v>
      </c>
      <c r="M2863" t="s">
        <v>236</v>
      </c>
      <c r="N2863" t="s">
        <v>240</v>
      </c>
      <c r="O2863" s="27">
        <v>46063</v>
      </c>
    </row>
    <row r="2864" spans="2:15" hidden="1" x14ac:dyDescent="0.3">
      <c r="B2864">
        <v>15112761</v>
      </c>
      <c r="C2864" t="s">
        <v>231</v>
      </c>
      <c r="D2864">
        <v>25619</v>
      </c>
      <c r="E2864" t="s">
        <v>150</v>
      </c>
      <c r="F2864" t="s">
        <v>263</v>
      </c>
      <c r="G2864" s="28">
        <v>3</v>
      </c>
      <c r="H2864" s="32">
        <v>0.39</v>
      </c>
      <c r="I2864" s="32">
        <v>41.45</v>
      </c>
      <c r="J2864" t="s">
        <v>239</v>
      </c>
      <c r="K2864" t="s">
        <v>245</v>
      </c>
      <c r="L2864" t="s">
        <v>235</v>
      </c>
      <c r="M2864" t="s">
        <v>236</v>
      </c>
      <c r="N2864" t="s">
        <v>237</v>
      </c>
      <c r="O2864" s="27">
        <v>46055</v>
      </c>
    </row>
    <row r="2865" spans="2:15" hidden="1" x14ac:dyDescent="0.3">
      <c r="B2865">
        <v>4686193</v>
      </c>
      <c r="C2865" t="s">
        <v>231</v>
      </c>
      <c r="D2865">
        <v>21468</v>
      </c>
      <c r="E2865" t="s">
        <v>150</v>
      </c>
      <c r="F2865" t="s">
        <v>160</v>
      </c>
      <c r="G2865" s="28">
        <v>1</v>
      </c>
      <c r="H2865" s="32">
        <v>0.39</v>
      </c>
      <c r="I2865" s="32">
        <v>87.32</v>
      </c>
      <c r="J2865" t="s">
        <v>239</v>
      </c>
      <c r="K2865" t="s">
        <v>245</v>
      </c>
      <c r="L2865" t="s">
        <v>235</v>
      </c>
      <c r="M2865" t="s">
        <v>236</v>
      </c>
      <c r="N2865" t="s">
        <v>240</v>
      </c>
      <c r="O2865" s="27">
        <v>46063</v>
      </c>
    </row>
    <row r="2866" spans="2:15" hidden="1" x14ac:dyDescent="0.3">
      <c r="B2866">
        <v>245239</v>
      </c>
      <c r="C2866" t="s">
        <v>231</v>
      </c>
      <c r="D2866">
        <v>21468</v>
      </c>
      <c r="E2866" t="s">
        <v>150</v>
      </c>
      <c r="F2866" t="s">
        <v>319</v>
      </c>
      <c r="G2866" s="28">
        <v>1</v>
      </c>
      <c r="H2866" s="32">
        <v>0.39</v>
      </c>
      <c r="I2866" s="32">
        <v>37.49</v>
      </c>
      <c r="J2866" t="s">
        <v>239</v>
      </c>
      <c r="K2866" t="s">
        <v>245</v>
      </c>
      <c r="L2866" t="s">
        <v>235</v>
      </c>
      <c r="M2866" t="s">
        <v>236</v>
      </c>
      <c r="N2866" t="s">
        <v>240</v>
      </c>
      <c r="O2866" s="27">
        <v>46055</v>
      </c>
    </row>
    <row r="2867" spans="2:15" hidden="1" x14ac:dyDescent="0.3">
      <c r="B2867">
        <v>9303108</v>
      </c>
      <c r="C2867" t="s">
        <v>260</v>
      </c>
      <c r="D2867">
        <v>69493</v>
      </c>
      <c r="E2867" t="s">
        <v>150</v>
      </c>
      <c r="F2867" t="s">
        <v>353</v>
      </c>
      <c r="G2867" s="28">
        <v>3</v>
      </c>
      <c r="H2867" s="32">
        <v>0.39</v>
      </c>
      <c r="I2867" s="32">
        <v>27.84</v>
      </c>
      <c r="J2867" t="s">
        <v>267</v>
      </c>
      <c r="K2867" t="s">
        <v>245</v>
      </c>
      <c r="L2867" t="s">
        <v>235</v>
      </c>
      <c r="M2867" t="s">
        <v>236</v>
      </c>
      <c r="N2867" t="s">
        <v>237</v>
      </c>
      <c r="O2867" s="27">
        <v>46057</v>
      </c>
    </row>
    <row r="2868" spans="2:15" hidden="1" x14ac:dyDescent="0.3">
      <c r="B2868">
        <v>2411460</v>
      </c>
      <c r="C2868" t="s">
        <v>231</v>
      </c>
      <c r="D2868">
        <v>72444</v>
      </c>
      <c r="E2868" t="s">
        <v>150</v>
      </c>
      <c r="F2868" t="s">
        <v>403</v>
      </c>
      <c r="G2868" s="28">
        <v>2</v>
      </c>
      <c r="H2868" s="32">
        <v>0.38</v>
      </c>
      <c r="I2868" s="32">
        <v>49.76</v>
      </c>
      <c r="J2868" t="s">
        <v>239</v>
      </c>
      <c r="K2868" t="s">
        <v>245</v>
      </c>
      <c r="L2868" t="s">
        <v>235</v>
      </c>
      <c r="M2868" t="s">
        <v>236</v>
      </c>
      <c r="N2868" t="s">
        <v>240</v>
      </c>
      <c r="O2868" s="27">
        <v>46055</v>
      </c>
    </row>
    <row r="2869" spans="2:15" hidden="1" x14ac:dyDescent="0.3">
      <c r="B2869">
        <v>9799059</v>
      </c>
      <c r="C2869" t="s">
        <v>260</v>
      </c>
      <c r="D2869">
        <v>38675</v>
      </c>
      <c r="E2869" t="s">
        <v>150</v>
      </c>
      <c r="F2869" t="s">
        <v>163</v>
      </c>
      <c r="G2869" s="28">
        <v>5</v>
      </c>
      <c r="H2869" s="32">
        <v>0.38</v>
      </c>
      <c r="I2869" s="32">
        <v>71.14</v>
      </c>
      <c r="J2869" t="s">
        <v>239</v>
      </c>
      <c r="K2869" t="s">
        <v>245</v>
      </c>
      <c r="L2869" t="s">
        <v>235</v>
      </c>
      <c r="M2869" t="s">
        <v>236</v>
      </c>
      <c r="N2869" t="s">
        <v>240</v>
      </c>
      <c r="O2869" s="27">
        <v>46072</v>
      </c>
    </row>
    <row r="2870" spans="2:15" hidden="1" x14ac:dyDescent="0.3">
      <c r="B2870">
        <v>542586</v>
      </c>
      <c r="C2870" t="s">
        <v>260</v>
      </c>
      <c r="D2870">
        <v>21468</v>
      </c>
      <c r="E2870" t="s">
        <v>150</v>
      </c>
      <c r="F2870" t="s">
        <v>381</v>
      </c>
      <c r="G2870" s="28">
        <v>5</v>
      </c>
      <c r="H2870" s="32">
        <v>0.38</v>
      </c>
      <c r="I2870" s="32">
        <v>74.099999999999994</v>
      </c>
      <c r="J2870" t="s">
        <v>330</v>
      </c>
      <c r="K2870" t="s">
        <v>234</v>
      </c>
      <c r="L2870" t="s">
        <v>235</v>
      </c>
      <c r="M2870" t="s">
        <v>236</v>
      </c>
      <c r="N2870" t="s">
        <v>237</v>
      </c>
      <c r="O2870" s="27">
        <v>46058</v>
      </c>
    </row>
    <row r="2871" spans="2:15" hidden="1" x14ac:dyDescent="0.3">
      <c r="B2871">
        <v>2973255</v>
      </c>
      <c r="C2871" t="s">
        <v>260</v>
      </c>
      <c r="D2871">
        <v>69519</v>
      </c>
      <c r="E2871" t="s">
        <v>150</v>
      </c>
      <c r="F2871" t="s">
        <v>304</v>
      </c>
      <c r="G2871" s="28">
        <v>4</v>
      </c>
      <c r="H2871" s="32">
        <v>0.38</v>
      </c>
      <c r="I2871" s="32">
        <v>382.63</v>
      </c>
      <c r="J2871" t="s">
        <v>267</v>
      </c>
      <c r="K2871" t="s">
        <v>245</v>
      </c>
      <c r="L2871" t="s">
        <v>235</v>
      </c>
      <c r="M2871" t="s">
        <v>236</v>
      </c>
      <c r="N2871" t="s">
        <v>237</v>
      </c>
      <c r="O2871" s="27">
        <v>46063</v>
      </c>
    </row>
    <row r="2872" spans="2:15" hidden="1" x14ac:dyDescent="0.3">
      <c r="B2872">
        <v>11593572</v>
      </c>
      <c r="C2872" t="s">
        <v>231</v>
      </c>
      <c r="D2872">
        <v>22674</v>
      </c>
      <c r="E2872" t="s">
        <v>150</v>
      </c>
      <c r="F2872" t="s">
        <v>397</v>
      </c>
      <c r="G2872" s="28">
        <v>4</v>
      </c>
      <c r="H2872" s="32">
        <v>0.37</v>
      </c>
      <c r="I2872" s="32">
        <v>42.9</v>
      </c>
      <c r="J2872" t="s">
        <v>267</v>
      </c>
      <c r="K2872" t="s">
        <v>245</v>
      </c>
      <c r="L2872" t="s">
        <v>235</v>
      </c>
      <c r="M2872" t="s">
        <v>236</v>
      </c>
      <c r="N2872" t="s">
        <v>237</v>
      </c>
      <c r="O2872" s="27">
        <v>46056</v>
      </c>
    </row>
    <row r="2873" spans="2:15" hidden="1" x14ac:dyDescent="0.3">
      <c r="B2873">
        <v>14690888</v>
      </c>
      <c r="C2873" t="s">
        <v>231</v>
      </c>
      <c r="D2873">
        <v>21468</v>
      </c>
      <c r="E2873" t="s">
        <v>150</v>
      </c>
      <c r="F2873" t="s">
        <v>277</v>
      </c>
      <c r="G2873" s="28">
        <v>1</v>
      </c>
      <c r="H2873" s="32">
        <v>0.37</v>
      </c>
      <c r="I2873" s="32">
        <v>36.28</v>
      </c>
      <c r="J2873" t="s">
        <v>239</v>
      </c>
      <c r="K2873" t="s">
        <v>245</v>
      </c>
      <c r="L2873" t="s">
        <v>235</v>
      </c>
      <c r="M2873" t="s">
        <v>236</v>
      </c>
      <c r="N2873" t="s">
        <v>237</v>
      </c>
      <c r="O2873" s="27">
        <v>46055</v>
      </c>
    </row>
    <row r="2874" spans="2:15" hidden="1" x14ac:dyDescent="0.3">
      <c r="B2874">
        <v>6304689</v>
      </c>
      <c r="C2874" t="s">
        <v>231</v>
      </c>
      <c r="D2874">
        <v>25619</v>
      </c>
      <c r="E2874" t="s">
        <v>150</v>
      </c>
      <c r="F2874" t="s">
        <v>271</v>
      </c>
      <c r="G2874" s="28">
        <v>1</v>
      </c>
      <c r="H2874" s="32">
        <v>0.37</v>
      </c>
      <c r="I2874" s="32">
        <v>18.440000000000001</v>
      </c>
      <c r="J2874" t="s">
        <v>239</v>
      </c>
      <c r="K2874" t="s">
        <v>245</v>
      </c>
      <c r="L2874" t="s">
        <v>235</v>
      </c>
      <c r="M2874" t="s">
        <v>236</v>
      </c>
      <c r="N2874" t="s">
        <v>237</v>
      </c>
      <c r="O2874" s="27">
        <v>46063</v>
      </c>
    </row>
    <row r="2875" spans="2:15" hidden="1" x14ac:dyDescent="0.3">
      <c r="B2875">
        <v>9673848</v>
      </c>
      <c r="C2875" t="s">
        <v>231</v>
      </c>
      <c r="D2875">
        <v>22674</v>
      </c>
      <c r="E2875" t="s">
        <v>150</v>
      </c>
      <c r="F2875" t="s">
        <v>271</v>
      </c>
      <c r="G2875" s="28">
        <v>1</v>
      </c>
      <c r="H2875" s="32">
        <v>0.37</v>
      </c>
      <c r="I2875" s="32">
        <v>18.45</v>
      </c>
      <c r="J2875" t="s">
        <v>239</v>
      </c>
      <c r="K2875" t="s">
        <v>245</v>
      </c>
      <c r="L2875" t="s">
        <v>235</v>
      </c>
      <c r="M2875" t="s">
        <v>236</v>
      </c>
      <c r="N2875" t="s">
        <v>237</v>
      </c>
      <c r="O2875" s="27">
        <v>46063</v>
      </c>
    </row>
    <row r="2876" spans="2:15" hidden="1" x14ac:dyDescent="0.3">
      <c r="B2876">
        <v>2590120</v>
      </c>
      <c r="C2876" t="s">
        <v>231</v>
      </c>
      <c r="D2876">
        <v>96553</v>
      </c>
      <c r="E2876" t="s">
        <v>150</v>
      </c>
      <c r="F2876" t="s">
        <v>263</v>
      </c>
      <c r="G2876" s="28">
        <v>2</v>
      </c>
      <c r="H2876" s="32">
        <v>0.37</v>
      </c>
      <c r="I2876" s="32">
        <v>27.63</v>
      </c>
      <c r="J2876" t="s">
        <v>239</v>
      </c>
      <c r="K2876" t="s">
        <v>245</v>
      </c>
      <c r="L2876" t="s">
        <v>235</v>
      </c>
      <c r="M2876" t="s">
        <v>236</v>
      </c>
      <c r="N2876" t="s">
        <v>240</v>
      </c>
      <c r="O2876" s="27">
        <v>46055</v>
      </c>
    </row>
    <row r="2877" spans="2:15" hidden="1" x14ac:dyDescent="0.3">
      <c r="B2877">
        <v>310157</v>
      </c>
      <c r="C2877" t="s">
        <v>231</v>
      </c>
      <c r="D2877">
        <v>68542</v>
      </c>
      <c r="E2877" t="s">
        <v>150</v>
      </c>
      <c r="F2877" t="s">
        <v>413</v>
      </c>
      <c r="G2877" s="28">
        <v>3</v>
      </c>
      <c r="H2877" s="32">
        <v>0.37</v>
      </c>
      <c r="I2877" s="32">
        <v>484.49</v>
      </c>
      <c r="J2877" t="s">
        <v>267</v>
      </c>
      <c r="K2877" t="s">
        <v>245</v>
      </c>
      <c r="L2877" t="s">
        <v>235</v>
      </c>
      <c r="M2877" t="s">
        <v>236</v>
      </c>
      <c r="N2877" t="s">
        <v>240</v>
      </c>
      <c r="O2877" s="27">
        <v>46057</v>
      </c>
    </row>
    <row r="2878" spans="2:15" hidden="1" x14ac:dyDescent="0.3">
      <c r="B2878">
        <v>2411460</v>
      </c>
      <c r="C2878" t="s">
        <v>231</v>
      </c>
      <c r="D2878">
        <v>72444</v>
      </c>
      <c r="E2878" t="s">
        <v>150</v>
      </c>
      <c r="F2878" t="s">
        <v>307</v>
      </c>
      <c r="G2878" s="28">
        <v>10</v>
      </c>
      <c r="H2878" s="32">
        <v>0.37</v>
      </c>
      <c r="I2878" s="32">
        <v>48.42</v>
      </c>
      <c r="J2878" t="s">
        <v>239</v>
      </c>
      <c r="K2878" t="s">
        <v>245</v>
      </c>
      <c r="L2878" t="s">
        <v>235</v>
      </c>
      <c r="M2878" t="s">
        <v>236</v>
      </c>
      <c r="N2878" t="s">
        <v>240</v>
      </c>
      <c r="O2878" s="27">
        <v>46055</v>
      </c>
    </row>
    <row r="2879" spans="2:15" hidden="1" x14ac:dyDescent="0.3">
      <c r="B2879">
        <v>325473</v>
      </c>
      <c r="C2879" t="s">
        <v>231</v>
      </c>
      <c r="D2879">
        <v>22674</v>
      </c>
      <c r="E2879" t="s">
        <v>150</v>
      </c>
      <c r="F2879" t="s">
        <v>308</v>
      </c>
      <c r="G2879" s="28">
        <v>1</v>
      </c>
      <c r="H2879" s="32">
        <v>0.37</v>
      </c>
      <c r="I2879" s="32">
        <v>84.61</v>
      </c>
      <c r="J2879" t="s">
        <v>267</v>
      </c>
      <c r="K2879" t="s">
        <v>245</v>
      </c>
      <c r="L2879" t="s">
        <v>235</v>
      </c>
      <c r="M2879" t="s">
        <v>236</v>
      </c>
      <c r="N2879" t="s">
        <v>237</v>
      </c>
      <c r="O2879" s="27">
        <v>46056</v>
      </c>
    </row>
    <row r="2880" spans="2:15" hidden="1" x14ac:dyDescent="0.3">
      <c r="B2880">
        <v>7372714</v>
      </c>
      <c r="C2880" t="s">
        <v>231</v>
      </c>
      <c r="D2880">
        <v>22674</v>
      </c>
      <c r="E2880" t="s">
        <v>150</v>
      </c>
      <c r="F2880" t="s">
        <v>160</v>
      </c>
      <c r="G2880" s="28">
        <v>1</v>
      </c>
      <c r="H2880" s="32">
        <v>0.37</v>
      </c>
      <c r="I2880" s="32">
        <v>86.94</v>
      </c>
      <c r="J2880" t="s">
        <v>239</v>
      </c>
      <c r="K2880" t="s">
        <v>245</v>
      </c>
      <c r="L2880" t="s">
        <v>235</v>
      </c>
      <c r="M2880" t="s">
        <v>236</v>
      </c>
      <c r="N2880" t="s">
        <v>240</v>
      </c>
      <c r="O2880" s="27">
        <v>46063</v>
      </c>
    </row>
    <row r="2881" spans="2:15" hidden="1" x14ac:dyDescent="0.3">
      <c r="B2881">
        <v>5555592</v>
      </c>
      <c r="C2881" t="s">
        <v>231</v>
      </c>
      <c r="D2881">
        <v>38517</v>
      </c>
      <c r="E2881" t="s">
        <v>150</v>
      </c>
      <c r="F2881" t="s">
        <v>319</v>
      </c>
      <c r="G2881" s="28">
        <v>1</v>
      </c>
      <c r="H2881" s="32">
        <v>0.37</v>
      </c>
      <c r="I2881" s="32">
        <v>37.64</v>
      </c>
      <c r="J2881" t="s">
        <v>239</v>
      </c>
      <c r="K2881" t="s">
        <v>245</v>
      </c>
      <c r="L2881" t="s">
        <v>235</v>
      </c>
      <c r="M2881" t="s">
        <v>236</v>
      </c>
      <c r="N2881" t="s">
        <v>237</v>
      </c>
      <c r="O2881" s="27">
        <v>46055</v>
      </c>
    </row>
    <row r="2882" spans="2:15" hidden="1" x14ac:dyDescent="0.3">
      <c r="B2882">
        <v>325473</v>
      </c>
      <c r="C2882" t="s">
        <v>231</v>
      </c>
      <c r="D2882">
        <v>22674</v>
      </c>
      <c r="E2882" t="s">
        <v>150</v>
      </c>
      <c r="F2882" t="s">
        <v>327</v>
      </c>
      <c r="G2882" s="28">
        <v>1</v>
      </c>
      <c r="H2882" s="32">
        <v>0.37</v>
      </c>
      <c r="I2882" s="32">
        <v>86.07</v>
      </c>
      <c r="J2882" t="s">
        <v>267</v>
      </c>
      <c r="K2882" t="s">
        <v>245</v>
      </c>
      <c r="L2882" t="s">
        <v>235</v>
      </c>
      <c r="M2882" t="s">
        <v>236</v>
      </c>
      <c r="N2882" t="s">
        <v>237</v>
      </c>
      <c r="O2882" s="27">
        <v>46056</v>
      </c>
    </row>
    <row r="2883" spans="2:15" hidden="1" x14ac:dyDescent="0.3">
      <c r="B2883">
        <v>3430907</v>
      </c>
      <c r="C2883" t="s">
        <v>260</v>
      </c>
      <c r="D2883">
        <v>21468</v>
      </c>
      <c r="E2883" t="s">
        <v>150</v>
      </c>
      <c r="F2883" t="s">
        <v>287</v>
      </c>
      <c r="G2883" s="28">
        <v>2</v>
      </c>
      <c r="H2883" s="32">
        <v>0.37</v>
      </c>
      <c r="I2883" s="32">
        <v>62.42</v>
      </c>
      <c r="J2883" t="s">
        <v>239</v>
      </c>
      <c r="K2883" t="s">
        <v>245</v>
      </c>
      <c r="L2883" t="s">
        <v>235</v>
      </c>
      <c r="M2883" t="s">
        <v>236</v>
      </c>
      <c r="N2883" t="s">
        <v>237</v>
      </c>
      <c r="O2883" s="27">
        <v>46055</v>
      </c>
    </row>
    <row r="2884" spans="2:15" hidden="1" x14ac:dyDescent="0.3">
      <c r="B2884">
        <v>7768707</v>
      </c>
      <c r="C2884" t="s">
        <v>260</v>
      </c>
      <c r="D2884">
        <v>21559</v>
      </c>
      <c r="E2884" t="s">
        <v>150</v>
      </c>
      <c r="F2884" t="s">
        <v>271</v>
      </c>
      <c r="G2884" s="28">
        <v>1</v>
      </c>
      <c r="H2884" s="32">
        <v>0.37</v>
      </c>
      <c r="I2884" s="32">
        <v>18.48</v>
      </c>
      <c r="J2884" t="s">
        <v>239</v>
      </c>
      <c r="K2884" t="s">
        <v>245</v>
      </c>
      <c r="L2884" t="s">
        <v>235</v>
      </c>
      <c r="M2884" t="s">
        <v>236</v>
      </c>
      <c r="N2884" t="s">
        <v>237</v>
      </c>
      <c r="O2884" s="27">
        <v>46063</v>
      </c>
    </row>
    <row r="2885" spans="2:15" hidden="1" x14ac:dyDescent="0.3">
      <c r="B2885">
        <v>3430907</v>
      </c>
      <c r="C2885" t="s">
        <v>260</v>
      </c>
      <c r="D2885">
        <v>21468</v>
      </c>
      <c r="E2885" t="s">
        <v>150</v>
      </c>
      <c r="F2885" t="s">
        <v>160</v>
      </c>
      <c r="G2885" s="28">
        <v>1</v>
      </c>
      <c r="H2885" s="32">
        <v>0.37</v>
      </c>
      <c r="I2885" s="32">
        <v>87.29</v>
      </c>
      <c r="J2885" t="s">
        <v>239</v>
      </c>
      <c r="K2885" t="s">
        <v>245</v>
      </c>
      <c r="L2885" t="s">
        <v>235</v>
      </c>
      <c r="M2885" t="s">
        <v>236</v>
      </c>
      <c r="N2885" t="s">
        <v>240</v>
      </c>
      <c r="O2885" s="27">
        <v>46063</v>
      </c>
    </row>
    <row r="2886" spans="2:15" hidden="1" x14ac:dyDescent="0.3">
      <c r="B2886">
        <v>5933489</v>
      </c>
      <c r="C2886" t="s">
        <v>231</v>
      </c>
      <c r="D2886">
        <v>23648</v>
      </c>
      <c r="E2886" t="s">
        <v>150</v>
      </c>
      <c r="F2886" t="s">
        <v>271</v>
      </c>
      <c r="G2886" s="28">
        <v>2</v>
      </c>
      <c r="H2886" s="32">
        <v>0.36</v>
      </c>
      <c r="I2886" s="32">
        <v>36.92</v>
      </c>
      <c r="J2886" t="s">
        <v>239</v>
      </c>
      <c r="K2886" t="s">
        <v>245</v>
      </c>
      <c r="L2886" t="s">
        <v>235</v>
      </c>
      <c r="M2886" t="s">
        <v>236</v>
      </c>
      <c r="N2886" t="s">
        <v>240</v>
      </c>
      <c r="O2886" s="27">
        <v>46063</v>
      </c>
    </row>
    <row r="2887" spans="2:15" hidden="1" x14ac:dyDescent="0.3">
      <c r="B2887">
        <v>560966</v>
      </c>
      <c r="C2887" t="s">
        <v>231</v>
      </c>
      <c r="D2887">
        <v>21468</v>
      </c>
      <c r="E2887" t="s">
        <v>150</v>
      </c>
      <c r="F2887" t="s">
        <v>263</v>
      </c>
      <c r="G2887" s="28">
        <v>2</v>
      </c>
      <c r="H2887" s="32">
        <v>0.36</v>
      </c>
      <c r="I2887" s="32">
        <v>27.63</v>
      </c>
      <c r="J2887" t="s">
        <v>239</v>
      </c>
      <c r="K2887" t="s">
        <v>245</v>
      </c>
      <c r="L2887" t="s">
        <v>235</v>
      </c>
      <c r="M2887" t="s">
        <v>236</v>
      </c>
      <c r="N2887" t="s">
        <v>237</v>
      </c>
      <c r="O2887" s="27">
        <v>46055</v>
      </c>
    </row>
    <row r="2888" spans="2:15" hidden="1" x14ac:dyDescent="0.3">
      <c r="B2888">
        <v>2411460</v>
      </c>
      <c r="C2888" t="s">
        <v>231</v>
      </c>
      <c r="D2888">
        <v>72444</v>
      </c>
      <c r="E2888" t="s">
        <v>150</v>
      </c>
      <c r="F2888" t="s">
        <v>414</v>
      </c>
      <c r="G2888" s="28">
        <v>3</v>
      </c>
      <c r="H2888" s="32">
        <v>0.36</v>
      </c>
      <c r="I2888" s="32">
        <v>46.94</v>
      </c>
      <c r="J2888" t="s">
        <v>239</v>
      </c>
      <c r="K2888" t="s">
        <v>245</v>
      </c>
      <c r="L2888" t="s">
        <v>235</v>
      </c>
      <c r="M2888" t="s">
        <v>236</v>
      </c>
      <c r="N2888" t="s">
        <v>240</v>
      </c>
      <c r="O2888" s="27">
        <v>46055</v>
      </c>
    </row>
    <row r="2889" spans="2:15" hidden="1" x14ac:dyDescent="0.3">
      <c r="B2889">
        <v>8668372</v>
      </c>
      <c r="C2889" t="s">
        <v>231</v>
      </c>
      <c r="D2889">
        <v>25619</v>
      </c>
      <c r="E2889" t="s">
        <v>150</v>
      </c>
      <c r="F2889" t="s">
        <v>337</v>
      </c>
      <c r="G2889" s="28">
        <v>1</v>
      </c>
      <c r="H2889" s="32">
        <v>0.36</v>
      </c>
      <c r="I2889" s="32">
        <v>36.75</v>
      </c>
      <c r="J2889" t="s">
        <v>239</v>
      </c>
      <c r="K2889" t="s">
        <v>245</v>
      </c>
      <c r="L2889" t="s">
        <v>235</v>
      </c>
      <c r="M2889" t="s">
        <v>236</v>
      </c>
      <c r="N2889" t="s">
        <v>237</v>
      </c>
      <c r="O2889" s="27">
        <v>46055</v>
      </c>
    </row>
    <row r="2890" spans="2:15" hidden="1" x14ac:dyDescent="0.3">
      <c r="B2890">
        <v>3306352</v>
      </c>
      <c r="C2890" t="s">
        <v>231</v>
      </c>
      <c r="D2890">
        <v>21468</v>
      </c>
      <c r="E2890" t="s">
        <v>150</v>
      </c>
      <c r="F2890" t="s">
        <v>271</v>
      </c>
      <c r="G2890" s="28">
        <v>1</v>
      </c>
      <c r="H2890" s="32">
        <v>0.35</v>
      </c>
      <c r="I2890" s="32">
        <v>17.649999999999999</v>
      </c>
      <c r="J2890" t="s">
        <v>239</v>
      </c>
      <c r="K2890" t="s">
        <v>245</v>
      </c>
      <c r="L2890" t="s">
        <v>235</v>
      </c>
      <c r="M2890" t="s">
        <v>236</v>
      </c>
      <c r="N2890" t="s">
        <v>237</v>
      </c>
      <c r="O2890" s="27">
        <v>46055</v>
      </c>
    </row>
    <row r="2891" spans="2:15" hidden="1" x14ac:dyDescent="0.3">
      <c r="B2891">
        <v>4381878</v>
      </c>
      <c r="C2891" t="s">
        <v>231</v>
      </c>
      <c r="D2891">
        <v>74304</v>
      </c>
      <c r="E2891" t="s">
        <v>150</v>
      </c>
      <c r="F2891" t="s">
        <v>271</v>
      </c>
      <c r="G2891" s="28">
        <v>1</v>
      </c>
      <c r="H2891" s="32">
        <v>0.35</v>
      </c>
      <c r="I2891" s="32">
        <v>17.649999999999999</v>
      </c>
      <c r="J2891" t="s">
        <v>239</v>
      </c>
      <c r="K2891" t="s">
        <v>245</v>
      </c>
      <c r="L2891" t="s">
        <v>235</v>
      </c>
      <c r="M2891" t="s">
        <v>236</v>
      </c>
      <c r="N2891" t="s">
        <v>237</v>
      </c>
      <c r="O2891" s="27">
        <v>46055</v>
      </c>
    </row>
    <row r="2892" spans="2:15" hidden="1" x14ac:dyDescent="0.3">
      <c r="B2892">
        <v>11493548</v>
      </c>
      <c r="C2892" t="s">
        <v>231</v>
      </c>
      <c r="D2892">
        <v>38517</v>
      </c>
      <c r="E2892" t="s">
        <v>150</v>
      </c>
      <c r="F2892" t="s">
        <v>160</v>
      </c>
      <c r="G2892" s="28">
        <v>1</v>
      </c>
      <c r="H2892" s="32">
        <v>0.35</v>
      </c>
      <c r="I2892" s="32">
        <v>87.19</v>
      </c>
      <c r="J2892" t="s">
        <v>239</v>
      </c>
      <c r="K2892" t="s">
        <v>245</v>
      </c>
      <c r="L2892" t="s">
        <v>235</v>
      </c>
      <c r="M2892" t="s">
        <v>236</v>
      </c>
      <c r="N2892" t="s">
        <v>240</v>
      </c>
      <c r="O2892" s="27">
        <v>46063</v>
      </c>
    </row>
    <row r="2893" spans="2:15" hidden="1" x14ac:dyDescent="0.3">
      <c r="B2893">
        <v>3478209</v>
      </c>
      <c r="C2893" t="s">
        <v>231</v>
      </c>
      <c r="D2893">
        <v>21559</v>
      </c>
      <c r="E2893" t="s">
        <v>150</v>
      </c>
      <c r="F2893" t="s">
        <v>160</v>
      </c>
      <c r="G2893" s="28">
        <v>2</v>
      </c>
      <c r="H2893" s="32">
        <v>0.35</v>
      </c>
      <c r="I2893" s="32">
        <v>174.18</v>
      </c>
      <c r="J2893" t="s">
        <v>239</v>
      </c>
      <c r="K2893" t="s">
        <v>245</v>
      </c>
      <c r="L2893" t="s">
        <v>235</v>
      </c>
      <c r="M2893" t="s">
        <v>236</v>
      </c>
      <c r="N2893" t="s">
        <v>240</v>
      </c>
      <c r="O2893" s="27">
        <v>46063</v>
      </c>
    </row>
    <row r="2894" spans="2:15" hidden="1" x14ac:dyDescent="0.3">
      <c r="B2894">
        <v>3270381</v>
      </c>
      <c r="C2894" t="s">
        <v>260</v>
      </c>
      <c r="D2894">
        <v>21559</v>
      </c>
      <c r="E2894" t="s">
        <v>150</v>
      </c>
      <c r="F2894" t="s">
        <v>355</v>
      </c>
      <c r="G2894" s="28">
        <v>2</v>
      </c>
      <c r="H2894" s="32">
        <v>0.35</v>
      </c>
      <c r="I2894" s="32">
        <v>19.940000000000001</v>
      </c>
      <c r="J2894" t="s">
        <v>267</v>
      </c>
      <c r="K2894" t="s">
        <v>245</v>
      </c>
      <c r="L2894" t="s">
        <v>235</v>
      </c>
      <c r="M2894" t="s">
        <v>236</v>
      </c>
      <c r="N2894" t="s">
        <v>240</v>
      </c>
      <c r="O2894" s="27">
        <v>46057</v>
      </c>
    </row>
    <row r="2895" spans="2:15" hidden="1" x14ac:dyDescent="0.3">
      <c r="B2895">
        <v>2033851</v>
      </c>
      <c r="C2895" t="s">
        <v>231</v>
      </c>
      <c r="D2895">
        <v>24415</v>
      </c>
      <c r="E2895" t="s">
        <v>150</v>
      </c>
      <c r="F2895" t="s">
        <v>342</v>
      </c>
      <c r="G2895" s="28">
        <v>1</v>
      </c>
      <c r="H2895" s="32">
        <v>0.34</v>
      </c>
      <c r="I2895" s="32">
        <v>57.76</v>
      </c>
      <c r="J2895" t="s">
        <v>330</v>
      </c>
      <c r="K2895" t="s">
        <v>245</v>
      </c>
      <c r="L2895" t="s">
        <v>235</v>
      </c>
      <c r="M2895" t="s">
        <v>236</v>
      </c>
      <c r="N2895" t="s">
        <v>237</v>
      </c>
      <c r="O2895" s="27">
        <v>46072</v>
      </c>
    </row>
    <row r="2896" spans="2:15" hidden="1" x14ac:dyDescent="0.3">
      <c r="B2896">
        <v>2923617</v>
      </c>
      <c r="C2896" t="s">
        <v>231</v>
      </c>
      <c r="D2896">
        <v>37111</v>
      </c>
      <c r="E2896" t="s">
        <v>150</v>
      </c>
      <c r="F2896" t="s">
        <v>271</v>
      </c>
      <c r="G2896" s="28">
        <v>1</v>
      </c>
      <c r="H2896" s="32">
        <v>0.34</v>
      </c>
      <c r="I2896" s="32">
        <v>17.649999999999999</v>
      </c>
      <c r="J2896" t="s">
        <v>239</v>
      </c>
      <c r="K2896" t="s">
        <v>245</v>
      </c>
      <c r="L2896" t="s">
        <v>235</v>
      </c>
      <c r="M2896" t="s">
        <v>236</v>
      </c>
      <c r="N2896" t="s">
        <v>237</v>
      </c>
      <c r="O2896" s="27">
        <v>46055</v>
      </c>
    </row>
    <row r="2897" spans="2:15" hidden="1" x14ac:dyDescent="0.3">
      <c r="B2897">
        <v>15112761</v>
      </c>
      <c r="C2897" t="s">
        <v>231</v>
      </c>
      <c r="D2897">
        <v>25619</v>
      </c>
      <c r="E2897" t="s">
        <v>150</v>
      </c>
      <c r="F2897" t="s">
        <v>246</v>
      </c>
      <c r="G2897" s="28">
        <v>1</v>
      </c>
      <c r="H2897" s="32">
        <v>0.34</v>
      </c>
      <c r="I2897" s="32">
        <v>36.94</v>
      </c>
      <c r="J2897" t="s">
        <v>239</v>
      </c>
      <c r="K2897" t="s">
        <v>245</v>
      </c>
      <c r="L2897" t="s">
        <v>235</v>
      </c>
      <c r="M2897" t="s">
        <v>236</v>
      </c>
      <c r="N2897" t="s">
        <v>240</v>
      </c>
      <c r="O2897" s="27">
        <v>46055</v>
      </c>
    </row>
    <row r="2898" spans="2:15" hidden="1" x14ac:dyDescent="0.3">
      <c r="B2898">
        <v>3310896</v>
      </c>
      <c r="C2898" t="s">
        <v>260</v>
      </c>
      <c r="D2898">
        <v>21559</v>
      </c>
      <c r="E2898" t="s">
        <v>150</v>
      </c>
      <c r="F2898" t="s">
        <v>319</v>
      </c>
      <c r="G2898" s="28">
        <v>1</v>
      </c>
      <c r="H2898" s="32">
        <v>0.34</v>
      </c>
      <c r="I2898" s="32">
        <v>40.380000000000003</v>
      </c>
      <c r="J2898" t="s">
        <v>239</v>
      </c>
      <c r="K2898" t="s">
        <v>245</v>
      </c>
      <c r="L2898" t="s">
        <v>235</v>
      </c>
      <c r="M2898" t="s">
        <v>236</v>
      </c>
      <c r="N2898" t="s">
        <v>240</v>
      </c>
      <c r="O2898" s="27">
        <v>46063</v>
      </c>
    </row>
    <row r="2899" spans="2:15" hidden="1" x14ac:dyDescent="0.3">
      <c r="B2899">
        <v>6468519</v>
      </c>
      <c r="C2899" t="s">
        <v>231</v>
      </c>
      <c r="D2899">
        <v>72444</v>
      </c>
      <c r="E2899" t="s">
        <v>150</v>
      </c>
      <c r="F2899" t="s">
        <v>403</v>
      </c>
      <c r="G2899" s="28">
        <v>2</v>
      </c>
      <c r="H2899" s="32">
        <v>0.33</v>
      </c>
      <c r="I2899" s="32">
        <v>49.76</v>
      </c>
      <c r="J2899" t="s">
        <v>239</v>
      </c>
      <c r="K2899" t="s">
        <v>245</v>
      </c>
      <c r="L2899" t="s">
        <v>235</v>
      </c>
      <c r="M2899" t="s">
        <v>236</v>
      </c>
      <c r="N2899" t="s">
        <v>240</v>
      </c>
      <c r="O2899" s="27">
        <v>46055</v>
      </c>
    </row>
    <row r="2900" spans="2:15" hidden="1" x14ac:dyDescent="0.3">
      <c r="B2900">
        <v>535004</v>
      </c>
      <c r="C2900" t="s">
        <v>231</v>
      </c>
      <c r="D2900">
        <v>22674</v>
      </c>
      <c r="E2900" t="s">
        <v>150</v>
      </c>
      <c r="F2900" t="s">
        <v>277</v>
      </c>
      <c r="G2900" s="28">
        <v>1</v>
      </c>
      <c r="H2900" s="32">
        <v>0.33</v>
      </c>
      <c r="I2900" s="32">
        <v>36.21</v>
      </c>
      <c r="J2900" t="s">
        <v>239</v>
      </c>
      <c r="K2900" t="s">
        <v>245</v>
      </c>
      <c r="L2900" t="s">
        <v>235</v>
      </c>
      <c r="M2900" t="s">
        <v>236</v>
      </c>
      <c r="N2900" t="s">
        <v>240</v>
      </c>
      <c r="O2900" s="27">
        <v>46055</v>
      </c>
    </row>
    <row r="2901" spans="2:15" hidden="1" x14ac:dyDescent="0.3">
      <c r="B2901">
        <v>6468519</v>
      </c>
      <c r="C2901" t="s">
        <v>231</v>
      </c>
      <c r="D2901">
        <v>72444</v>
      </c>
      <c r="E2901" t="s">
        <v>150</v>
      </c>
      <c r="F2901" t="s">
        <v>159</v>
      </c>
      <c r="G2901" s="28">
        <v>1</v>
      </c>
      <c r="H2901" s="32">
        <v>0.33</v>
      </c>
      <c r="I2901" s="32">
        <v>49.68</v>
      </c>
      <c r="J2901" t="s">
        <v>256</v>
      </c>
      <c r="K2901" t="s">
        <v>245</v>
      </c>
      <c r="L2901" t="s">
        <v>235</v>
      </c>
      <c r="M2901" t="s">
        <v>236</v>
      </c>
      <c r="N2901" t="s">
        <v>240</v>
      </c>
      <c r="O2901" s="27">
        <v>46055</v>
      </c>
    </row>
    <row r="2902" spans="2:15" hidden="1" x14ac:dyDescent="0.3">
      <c r="B2902">
        <v>3548394</v>
      </c>
      <c r="C2902" t="s">
        <v>260</v>
      </c>
      <c r="D2902">
        <v>25104</v>
      </c>
      <c r="E2902" t="s">
        <v>150</v>
      </c>
      <c r="F2902" t="s">
        <v>315</v>
      </c>
      <c r="G2902" s="28">
        <v>2</v>
      </c>
      <c r="H2902" s="32">
        <v>0.33</v>
      </c>
      <c r="I2902" s="32">
        <v>176.15</v>
      </c>
      <c r="J2902" t="s">
        <v>267</v>
      </c>
      <c r="K2902" t="s">
        <v>245</v>
      </c>
      <c r="L2902" t="s">
        <v>235</v>
      </c>
      <c r="M2902" t="s">
        <v>236</v>
      </c>
      <c r="N2902" t="s">
        <v>237</v>
      </c>
      <c r="O2902" s="27">
        <v>46057</v>
      </c>
    </row>
    <row r="2903" spans="2:15" hidden="1" x14ac:dyDescent="0.3">
      <c r="B2903">
        <v>2091913</v>
      </c>
      <c r="C2903" t="s">
        <v>260</v>
      </c>
      <c r="D2903">
        <v>49894</v>
      </c>
      <c r="E2903" t="s">
        <v>150</v>
      </c>
      <c r="F2903" t="s">
        <v>160</v>
      </c>
      <c r="G2903" s="28">
        <v>1</v>
      </c>
      <c r="H2903" s="32">
        <v>0.33</v>
      </c>
      <c r="I2903" s="32">
        <v>87.18</v>
      </c>
      <c r="J2903" t="s">
        <v>239</v>
      </c>
      <c r="K2903" t="s">
        <v>245</v>
      </c>
      <c r="L2903" t="s">
        <v>235</v>
      </c>
      <c r="M2903" t="s">
        <v>236</v>
      </c>
      <c r="N2903" t="s">
        <v>240</v>
      </c>
      <c r="O2903" s="27">
        <v>46063</v>
      </c>
    </row>
    <row r="2904" spans="2:15" hidden="1" x14ac:dyDescent="0.3">
      <c r="B2904">
        <v>4535206</v>
      </c>
      <c r="C2904" t="s">
        <v>231</v>
      </c>
      <c r="D2904">
        <v>68542</v>
      </c>
      <c r="E2904" t="s">
        <v>150</v>
      </c>
      <c r="F2904" t="s">
        <v>162</v>
      </c>
      <c r="G2904" s="28">
        <v>1</v>
      </c>
      <c r="H2904" s="32">
        <v>0.32</v>
      </c>
      <c r="I2904" s="32">
        <v>55.65</v>
      </c>
      <c r="J2904" t="s">
        <v>239</v>
      </c>
      <c r="K2904" t="s">
        <v>245</v>
      </c>
      <c r="L2904" t="s">
        <v>235</v>
      </c>
      <c r="M2904" t="s">
        <v>236</v>
      </c>
      <c r="N2904" t="s">
        <v>237</v>
      </c>
      <c r="O2904" s="27">
        <v>46055</v>
      </c>
    </row>
    <row r="2905" spans="2:15" hidden="1" x14ac:dyDescent="0.3">
      <c r="B2905">
        <v>4927477</v>
      </c>
      <c r="C2905" t="s">
        <v>231</v>
      </c>
      <c r="D2905">
        <v>21468</v>
      </c>
      <c r="E2905" t="s">
        <v>150</v>
      </c>
      <c r="F2905" t="s">
        <v>271</v>
      </c>
      <c r="G2905" s="28">
        <v>1</v>
      </c>
      <c r="H2905" s="32">
        <v>0.32</v>
      </c>
      <c r="I2905" s="32">
        <v>17.649999999999999</v>
      </c>
      <c r="J2905" t="s">
        <v>239</v>
      </c>
      <c r="K2905" t="s">
        <v>245</v>
      </c>
      <c r="L2905" t="s">
        <v>235</v>
      </c>
      <c r="M2905" t="s">
        <v>236</v>
      </c>
      <c r="N2905" t="s">
        <v>237</v>
      </c>
      <c r="O2905" s="27">
        <v>46055</v>
      </c>
    </row>
    <row r="2906" spans="2:15" hidden="1" x14ac:dyDescent="0.3">
      <c r="B2906">
        <v>2412490</v>
      </c>
      <c r="C2906" t="s">
        <v>231</v>
      </c>
      <c r="D2906">
        <v>71881</v>
      </c>
      <c r="E2906" t="s">
        <v>150</v>
      </c>
      <c r="F2906" t="s">
        <v>380</v>
      </c>
      <c r="G2906" s="28">
        <v>2</v>
      </c>
      <c r="H2906" s="32">
        <v>0.32</v>
      </c>
      <c r="I2906" s="32">
        <v>36.18</v>
      </c>
      <c r="J2906" t="s">
        <v>330</v>
      </c>
      <c r="K2906" t="s">
        <v>234</v>
      </c>
      <c r="L2906" t="s">
        <v>235</v>
      </c>
      <c r="M2906" t="s">
        <v>236</v>
      </c>
      <c r="N2906" t="s">
        <v>237</v>
      </c>
      <c r="O2906" s="27">
        <v>46057</v>
      </c>
    </row>
    <row r="2907" spans="2:15" hidden="1" x14ac:dyDescent="0.3">
      <c r="B2907">
        <v>3343807</v>
      </c>
      <c r="C2907" t="s">
        <v>231</v>
      </c>
      <c r="D2907">
        <v>69519</v>
      </c>
      <c r="E2907" t="s">
        <v>150</v>
      </c>
      <c r="F2907" t="s">
        <v>327</v>
      </c>
      <c r="G2907" s="28">
        <v>1</v>
      </c>
      <c r="H2907" s="32">
        <v>0.32</v>
      </c>
      <c r="I2907" s="32">
        <v>83.26</v>
      </c>
      <c r="J2907" t="s">
        <v>267</v>
      </c>
      <c r="K2907" t="s">
        <v>245</v>
      </c>
      <c r="L2907" t="s">
        <v>235</v>
      </c>
      <c r="M2907" t="s">
        <v>236</v>
      </c>
      <c r="N2907" t="s">
        <v>240</v>
      </c>
      <c r="O2907" s="27">
        <v>46063</v>
      </c>
    </row>
    <row r="2908" spans="2:15" hidden="1" x14ac:dyDescent="0.3">
      <c r="B2908">
        <v>3310896</v>
      </c>
      <c r="C2908" t="s">
        <v>260</v>
      </c>
      <c r="D2908">
        <v>21559</v>
      </c>
      <c r="E2908" t="s">
        <v>150</v>
      </c>
      <c r="F2908" t="s">
        <v>337</v>
      </c>
      <c r="G2908" s="28">
        <v>1</v>
      </c>
      <c r="H2908" s="32">
        <v>0.32</v>
      </c>
      <c r="I2908" s="32">
        <v>36.33</v>
      </c>
      <c r="J2908" t="s">
        <v>239</v>
      </c>
      <c r="K2908" t="s">
        <v>245</v>
      </c>
      <c r="L2908" t="s">
        <v>235</v>
      </c>
      <c r="M2908" t="s">
        <v>236</v>
      </c>
      <c r="N2908" t="s">
        <v>237</v>
      </c>
      <c r="O2908" s="27">
        <v>46063</v>
      </c>
    </row>
    <row r="2909" spans="2:15" hidden="1" x14ac:dyDescent="0.3">
      <c r="B2909">
        <v>3321439</v>
      </c>
      <c r="C2909" t="s">
        <v>231</v>
      </c>
      <c r="D2909">
        <v>22674</v>
      </c>
      <c r="E2909" t="s">
        <v>150</v>
      </c>
      <c r="F2909" t="s">
        <v>271</v>
      </c>
      <c r="G2909" s="28">
        <v>1</v>
      </c>
      <c r="H2909" s="32">
        <v>0.31</v>
      </c>
      <c r="I2909" s="32">
        <v>17.649999999999999</v>
      </c>
      <c r="J2909" t="s">
        <v>239</v>
      </c>
      <c r="K2909" t="s">
        <v>245</v>
      </c>
      <c r="L2909" t="s">
        <v>235</v>
      </c>
      <c r="M2909" t="s">
        <v>236</v>
      </c>
      <c r="N2909" t="s">
        <v>237</v>
      </c>
      <c r="O2909" s="27">
        <v>46055</v>
      </c>
    </row>
    <row r="2910" spans="2:15" hidden="1" x14ac:dyDescent="0.3">
      <c r="B2910">
        <v>590816</v>
      </c>
      <c r="C2910" t="s">
        <v>231</v>
      </c>
      <c r="D2910">
        <v>38517</v>
      </c>
      <c r="E2910" t="s">
        <v>150</v>
      </c>
      <c r="F2910" t="s">
        <v>271</v>
      </c>
      <c r="G2910" s="28">
        <v>2</v>
      </c>
      <c r="H2910" s="32">
        <v>0.31</v>
      </c>
      <c r="I2910" s="32">
        <v>35.31</v>
      </c>
      <c r="J2910" t="s">
        <v>239</v>
      </c>
      <c r="K2910" t="s">
        <v>245</v>
      </c>
      <c r="L2910" t="s">
        <v>235</v>
      </c>
      <c r="M2910" t="s">
        <v>236</v>
      </c>
      <c r="N2910" t="s">
        <v>237</v>
      </c>
      <c r="O2910" s="27">
        <v>46055</v>
      </c>
    </row>
    <row r="2911" spans="2:15" hidden="1" x14ac:dyDescent="0.3">
      <c r="B2911">
        <v>9673848</v>
      </c>
      <c r="C2911" t="s">
        <v>231</v>
      </c>
      <c r="D2911">
        <v>22674</v>
      </c>
      <c r="E2911" t="s">
        <v>150</v>
      </c>
      <c r="F2911" t="s">
        <v>271</v>
      </c>
      <c r="G2911" s="28">
        <v>1</v>
      </c>
      <c r="H2911" s="32">
        <v>0.31</v>
      </c>
      <c r="I2911" s="32">
        <v>17.649999999999999</v>
      </c>
      <c r="J2911" t="s">
        <v>239</v>
      </c>
      <c r="K2911" t="s">
        <v>245</v>
      </c>
      <c r="L2911" t="s">
        <v>235</v>
      </c>
      <c r="M2911" t="s">
        <v>236</v>
      </c>
      <c r="N2911" t="s">
        <v>237</v>
      </c>
      <c r="O2911" s="27">
        <v>46055</v>
      </c>
    </row>
    <row r="2912" spans="2:15" hidden="1" x14ac:dyDescent="0.3">
      <c r="B2912">
        <v>6468519</v>
      </c>
      <c r="C2912" t="s">
        <v>231</v>
      </c>
      <c r="D2912">
        <v>72444</v>
      </c>
      <c r="E2912" t="s">
        <v>150</v>
      </c>
      <c r="F2912" t="s">
        <v>414</v>
      </c>
      <c r="G2912" s="28">
        <v>3</v>
      </c>
      <c r="H2912" s="32">
        <v>0.31</v>
      </c>
      <c r="I2912" s="32">
        <v>46.94</v>
      </c>
      <c r="J2912" t="s">
        <v>239</v>
      </c>
      <c r="K2912" t="s">
        <v>245</v>
      </c>
      <c r="L2912" t="s">
        <v>235</v>
      </c>
      <c r="M2912" t="s">
        <v>236</v>
      </c>
      <c r="N2912" t="s">
        <v>240</v>
      </c>
      <c r="O2912" s="27">
        <v>46055</v>
      </c>
    </row>
    <row r="2913" spans="2:15" hidden="1" x14ac:dyDescent="0.3">
      <c r="B2913">
        <v>4535206</v>
      </c>
      <c r="C2913" t="s">
        <v>231</v>
      </c>
      <c r="D2913">
        <v>68542</v>
      </c>
      <c r="E2913" t="s">
        <v>150</v>
      </c>
      <c r="F2913" t="s">
        <v>350</v>
      </c>
      <c r="G2913" s="28">
        <v>1</v>
      </c>
      <c r="H2913" s="32">
        <v>0.31</v>
      </c>
      <c r="I2913" s="32">
        <v>50.19</v>
      </c>
      <c r="J2913" t="s">
        <v>330</v>
      </c>
      <c r="K2913" t="s">
        <v>245</v>
      </c>
      <c r="L2913" t="s">
        <v>235</v>
      </c>
      <c r="M2913" t="s">
        <v>236</v>
      </c>
      <c r="N2913" t="s">
        <v>240</v>
      </c>
      <c r="O2913" s="27">
        <v>46055</v>
      </c>
    </row>
    <row r="2914" spans="2:15" hidden="1" x14ac:dyDescent="0.3">
      <c r="B2914">
        <v>4535206</v>
      </c>
      <c r="C2914" t="s">
        <v>231</v>
      </c>
      <c r="D2914">
        <v>68542</v>
      </c>
      <c r="E2914" t="s">
        <v>150</v>
      </c>
      <c r="F2914" t="s">
        <v>352</v>
      </c>
      <c r="G2914" s="28">
        <v>1</v>
      </c>
      <c r="H2914" s="32">
        <v>0.31</v>
      </c>
      <c r="I2914" s="32">
        <v>51.39</v>
      </c>
      <c r="J2914" t="s">
        <v>330</v>
      </c>
      <c r="K2914" t="s">
        <v>245</v>
      </c>
      <c r="L2914" t="s">
        <v>235</v>
      </c>
      <c r="M2914" t="s">
        <v>236</v>
      </c>
      <c r="N2914" t="s">
        <v>237</v>
      </c>
      <c r="O2914" s="27">
        <v>46055</v>
      </c>
    </row>
    <row r="2915" spans="2:15" hidden="1" x14ac:dyDescent="0.3">
      <c r="B2915">
        <v>4078178</v>
      </c>
      <c r="C2915" t="s">
        <v>231</v>
      </c>
      <c r="D2915">
        <v>49894</v>
      </c>
      <c r="E2915" t="s">
        <v>150</v>
      </c>
      <c r="F2915" t="s">
        <v>160</v>
      </c>
      <c r="G2915" s="28">
        <v>1</v>
      </c>
      <c r="H2915" s="32">
        <v>0.31</v>
      </c>
      <c r="I2915" s="32">
        <v>87.28</v>
      </c>
      <c r="J2915" t="s">
        <v>239</v>
      </c>
      <c r="K2915" t="s">
        <v>245</v>
      </c>
      <c r="L2915" t="s">
        <v>235</v>
      </c>
      <c r="M2915" t="s">
        <v>236</v>
      </c>
      <c r="N2915" t="s">
        <v>240</v>
      </c>
      <c r="O2915" s="27">
        <v>46063</v>
      </c>
    </row>
    <row r="2916" spans="2:15" hidden="1" x14ac:dyDescent="0.3">
      <c r="B2916">
        <v>4535206</v>
      </c>
      <c r="C2916" t="s">
        <v>231</v>
      </c>
      <c r="D2916">
        <v>68542</v>
      </c>
      <c r="E2916" t="s">
        <v>150</v>
      </c>
      <c r="F2916" t="s">
        <v>407</v>
      </c>
      <c r="G2916" s="28">
        <v>1</v>
      </c>
      <c r="H2916" s="32">
        <v>0.31</v>
      </c>
      <c r="I2916" s="32">
        <v>51.69</v>
      </c>
      <c r="J2916" t="s">
        <v>239</v>
      </c>
      <c r="K2916" t="s">
        <v>245</v>
      </c>
      <c r="L2916" t="s">
        <v>235</v>
      </c>
      <c r="M2916" t="s">
        <v>236</v>
      </c>
      <c r="N2916" t="s">
        <v>237</v>
      </c>
      <c r="O2916" s="27">
        <v>46055</v>
      </c>
    </row>
    <row r="2917" spans="2:15" hidden="1" x14ac:dyDescent="0.3">
      <c r="B2917">
        <v>4535206</v>
      </c>
      <c r="C2917" t="s">
        <v>231</v>
      </c>
      <c r="D2917">
        <v>68542</v>
      </c>
      <c r="E2917" t="s">
        <v>150</v>
      </c>
      <c r="F2917" t="s">
        <v>408</v>
      </c>
      <c r="G2917" s="28">
        <v>1</v>
      </c>
      <c r="H2917" s="32">
        <v>0.31</v>
      </c>
      <c r="I2917" s="32">
        <v>51.9</v>
      </c>
      <c r="J2917" t="s">
        <v>330</v>
      </c>
      <c r="K2917" t="s">
        <v>245</v>
      </c>
      <c r="L2917" t="s">
        <v>235</v>
      </c>
      <c r="M2917" t="s">
        <v>236</v>
      </c>
      <c r="N2917" t="s">
        <v>237</v>
      </c>
      <c r="O2917" s="27">
        <v>46055</v>
      </c>
    </row>
    <row r="2918" spans="2:15" hidden="1" x14ac:dyDescent="0.3">
      <c r="B2918">
        <v>284340</v>
      </c>
      <c r="C2918" t="s">
        <v>260</v>
      </c>
      <c r="D2918">
        <v>23410</v>
      </c>
      <c r="E2918" t="s">
        <v>150</v>
      </c>
      <c r="F2918" t="s">
        <v>274</v>
      </c>
      <c r="G2918" s="28">
        <v>2</v>
      </c>
      <c r="H2918" s="32">
        <v>0.31</v>
      </c>
      <c r="I2918" s="32">
        <v>29.35</v>
      </c>
      <c r="J2918" t="s">
        <v>239</v>
      </c>
      <c r="K2918" t="s">
        <v>245</v>
      </c>
      <c r="L2918" t="s">
        <v>235</v>
      </c>
      <c r="M2918" t="s">
        <v>236</v>
      </c>
      <c r="N2918" t="s">
        <v>240</v>
      </c>
      <c r="O2918" s="27">
        <v>46055</v>
      </c>
    </row>
    <row r="2919" spans="2:15" hidden="1" x14ac:dyDescent="0.3">
      <c r="B2919">
        <v>4415330</v>
      </c>
      <c r="C2919" t="s">
        <v>260</v>
      </c>
      <c r="D2919">
        <v>22674</v>
      </c>
      <c r="E2919" t="s">
        <v>150</v>
      </c>
      <c r="F2919" t="s">
        <v>160</v>
      </c>
      <c r="G2919" s="28">
        <v>1</v>
      </c>
      <c r="H2919" s="32">
        <v>0.31</v>
      </c>
      <c r="I2919" s="32">
        <v>87.28</v>
      </c>
      <c r="J2919" t="s">
        <v>239</v>
      </c>
      <c r="K2919" t="s">
        <v>245</v>
      </c>
      <c r="L2919" t="s">
        <v>235</v>
      </c>
      <c r="M2919" t="s">
        <v>236</v>
      </c>
      <c r="N2919" t="s">
        <v>240</v>
      </c>
      <c r="O2919" s="27">
        <v>46063</v>
      </c>
    </row>
    <row r="2920" spans="2:15" hidden="1" x14ac:dyDescent="0.3">
      <c r="B2920">
        <v>8668372</v>
      </c>
      <c r="C2920" t="s">
        <v>231</v>
      </c>
      <c r="D2920">
        <v>25619</v>
      </c>
      <c r="E2920" t="s">
        <v>150</v>
      </c>
      <c r="F2920" t="s">
        <v>287</v>
      </c>
      <c r="G2920" s="28">
        <v>1</v>
      </c>
      <c r="H2920" s="32">
        <v>0.3</v>
      </c>
      <c r="I2920" s="32">
        <v>31.21</v>
      </c>
      <c r="J2920" t="s">
        <v>239</v>
      </c>
      <c r="K2920" t="s">
        <v>245</v>
      </c>
      <c r="L2920" t="s">
        <v>235</v>
      </c>
      <c r="M2920" t="s">
        <v>236</v>
      </c>
      <c r="N2920" t="s">
        <v>237</v>
      </c>
      <c r="O2920" s="27">
        <v>46055</v>
      </c>
    </row>
    <row r="2921" spans="2:15" hidden="1" x14ac:dyDescent="0.3">
      <c r="B2921">
        <v>2190399</v>
      </c>
      <c r="C2921" t="s">
        <v>231</v>
      </c>
      <c r="D2921">
        <v>68542</v>
      </c>
      <c r="E2921" t="s">
        <v>150</v>
      </c>
      <c r="F2921" t="s">
        <v>271</v>
      </c>
      <c r="G2921" s="28">
        <v>1</v>
      </c>
      <c r="H2921" s="32">
        <v>0.3</v>
      </c>
      <c r="I2921" s="32">
        <v>17.649999999999999</v>
      </c>
      <c r="J2921" t="s">
        <v>239</v>
      </c>
      <c r="K2921" t="s">
        <v>245</v>
      </c>
      <c r="L2921" t="s">
        <v>235</v>
      </c>
      <c r="M2921" t="s">
        <v>236</v>
      </c>
      <c r="N2921" t="s">
        <v>237</v>
      </c>
      <c r="O2921" s="27">
        <v>46055</v>
      </c>
    </row>
    <row r="2922" spans="2:15" hidden="1" x14ac:dyDescent="0.3">
      <c r="B2922">
        <v>366105</v>
      </c>
      <c r="C2922" t="s">
        <v>231</v>
      </c>
      <c r="D2922">
        <v>69519</v>
      </c>
      <c r="E2922" t="s">
        <v>150</v>
      </c>
      <c r="F2922" t="s">
        <v>304</v>
      </c>
      <c r="G2922" s="28">
        <v>3</v>
      </c>
      <c r="H2922" s="32">
        <v>0.3</v>
      </c>
      <c r="I2922" s="32">
        <v>287.02999999999997</v>
      </c>
      <c r="J2922" t="s">
        <v>267</v>
      </c>
      <c r="K2922" t="s">
        <v>245</v>
      </c>
      <c r="L2922" t="s">
        <v>235</v>
      </c>
      <c r="M2922" t="s">
        <v>236</v>
      </c>
      <c r="N2922" t="s">
        <v>237</v>
      </c>
      <c r="O2922" s="27">
        <v>46063</v>
      </c>
    </row>
    <row r="2923" spans="2:15" hidden="1" x14ac:dyDescent="0.3">
      <c r="B2923">
        <v>2041860</v>
      </c>
      <c r="C2923" t="s">
        <v>231</v>
      </c>
      <c r="D2923">
        <v>40901</v>
      </c>
      <c r="E2923" t="s">
        <v>150</v>
      </c>
      <c r="F2923" t="s">
        <v>325</v>
      </c>
      <c r="G2923" s="28">
        <v>1</v>
      </c>
      <c r="H2923" s="32">
        <v>0.3</v>
      </c>
      <c r="I2923" s="32">
        <v>8.85</v>
      </c>
      <c r="J2923" t="s">
        <v>267</v>
      </c>
      <c r="K2923" t="s">
        <v>245</v>
      </c>
      <c r="L2923" t="s">
        <v>235</v>
      </c>
      <c r="M2923" t="s">
        <v>236</v>
      </c>
      <c r="N2923" t="s">
        <v>237</v>
      </c>
      <c r="O2923" s="27">
        <v>46055</v>
      </c>
    </row>
    <row r="2924" spans="2:15" hidden="1" x14ac:dyDescent="0.3">
      <c r="B2924">
        <v>366105</v>
      </c>
      <c r="C2924" t="s">
        <v>231</v>
      </c>
      <c r="D2924">
        <v>69519</v>
      </c>
      <c r="E2924" t="s">
        <v>150</v>
      </c>
      <c r="F2924" t="s">
        <v>295</v>
      </c>
      <c r="G2924" s="28">
        <v>3</v>
      </c>
      <c r="H2924" s="32">
        <v>0.3</v>
      </c>
      <c r="I2924" s="32">
        <v>289.87</v>
      </c>
      <c r="J2924" t="s">
        <v>267</v>
      </c>
      <c r="K2924" t="s">
        <v>245</v>
      </c>
      <c r="L2924" t="s">
        <v>235</v>
      </c>
      <c r="M2924" t="s">
        <v>236</v>
      </c>
      <c r="N2924" t="s">
        <v>237</v>
      </c>
      <c r="O2924" s="27">
        <v>46063</v>
      </c>
    </row>
    <row r="2925" spans="2:15" hidden="1" x14ac:dyDescent="0.3">
      <c r="B2925">
        <v>4535206</v>
      </c>
      <c r="C2925" t="s">
        <v>231</v>
      </c>
      <c r="D2925">
        <v>68542</v>
      </c>
      <c r="E2925" t="s">
        <v>150</v>
      </c>
      <c r="F2925" t="s">
        <v>356</v>
      </c>
      <c r="G2925" s="28">
        <v>1</v>
      </c>
      <c r="H2925" s="32">
        <v>0.3</v>
      </c>
      <c r="I2925" s="32">
        <v>48.83</v>
      </c>
      <c r="J2925" t="s">
        <v>330</v>
      </c>
      <c r="K2925" t="s">
        <v>245</v>
      </c>
      <c r="L2925" t="s">
        <v>235</v>
      </c>
      <c r="M2925" t="s">
        <v>236</v>
      </c>
      <c r="N2925" t="s">
        <v>237</v>
      </c>
      <c r="O2925" s="27">
        <v>46055</v>
      </c>
    </row>
    <row r="2926" spans="2:15" hidden="1" x14ac:dyDescent="0.3">
      <c r="B2926">
        <v>5933489</v>
      </c>
      <c r="C2926" t="s">
        <v>231</v>
      </c>
      <c r="D2926">
        <v>23648</v>
      </c>
      <c r="E2926" t="s">
        <v>150</v>
      </c>
      <c r="F2926" t="s">
        <v>160</v>
      </c>
      <c r="G2926" s="28">
        <v>1</v>
      </c>
      <c r="H2926" s="32">
        <v>0.3</v>
      </c>
      <c r="I2926" s="32">
        <v>87.27</v>
      </c>
      <c r="J2926" t="s">
        <v>239</v>
      </c>
      <c r="K2926" t="s">
        <v>245</v>
      </c>
      <c r="L2926" t="s">
        <v>235</v>
      </c>
      <c r="M2926" t="s">
        <v>236</v>
      </c>
      <c r="N2926" t="s">
        <v>240</v>
      </c>
      <c r="O2926" s="27">
        <v>46063</v>
      </c>
    </row>
    <row r="2927" spans="2:15" hidden="1" x14ac:dyDescent="0.3">
      <c r="B2927">
        <v>15389148</v>
      </c>
      <c r="C2927" t="s">
        <v>260</v>
      </c>
      <c r="D2927">
        <v>40901</v>
      </c>
      <c r="E2927" t="s">
        <v>150</v>
      </c>
      <c r="F2927" t="s">
        <v>271</v>
      </c>
      <c r="G2927" s="28">
        <v>1</v>
      </c>
      <c r="H2927" s="32">
        <v>0.3</v>
      </c>
      <c r="I2927" s="32">
        <v>17.649999999999999</v>
      </c>
      <c r="J2927" t="s">
        <v>239</v>
      </c>
      <c r="K2927" t="s">
        <v>245</v>
      </c>
      <c r="L2927" t="s">
        <v>235</v>
      </c>
      <c r="M2927" t="s">
        <v>236</v>
      </c>
      <c r="N2927" t="s">
        <v>237</v>
      </c>
      <c r="O2927" s="27">
        <v>46055</v>
      </c>
    </row>
    <row r="2928" spans="2:15" hidden="1" x14ac:dyDescent="0.3">
      <c r="B2928">
        <v>18702217</v>
      </c>
      <c r="C2928" t="s">
        <v>260</v>
      </c>
      <c r="D2928">
        <v>74304</v>
      </c>
      <c r="E2928" t="s">
        <v>150</v>
      </c>
      <c r="F2928" t="s">
        <v>164</v>
      </c>
      <c r="G2928" s="28">
        <v>1</v>
      </c>
      <c r="H2928" s="32">
        <v>0.3</v>
      </c>
      <c r="I2928" s="32">
        <v>45.83</v>
      </c>
      <c r="J2928" t="s">
        <v>239</v>
      </c>
      <c r="K2928" t="s">
        <v>245</v>
      </c>
      <c r="L2928" t="s">
        <v>235</v>
      </c>
      <c r="M2928" t="s">
        <v>236</v>
      </c>
      <c r="N2928" t="s">
        <v>237</v>
      </c>
      <c r="O2928" s="27">
        <v>46055</v>
      </c>
    </row>
    <row r="2929" spans="2:15" hidden="1" x14ac:dyDescent="0.3">
      <c r="B2929">
        <v>74468</v>
      </c>
      <c r="C2929" t="s">
        <v>260</v>
      </c>
      <c r="D2929">
        <v>69519</v>
      </c>
      <c r="E2929" t="s">
        <v>150</v>
      </c>
      <c r="F2929" t="s">
        <v>327</v>
      </c>
      <c r="G2929" s="28">
        <v>2</v>
      </c>
      <c r="H2929" s="32">
        <v>0.3</v>
      </c>
      <c r="I2929" s="32">
        <v>166.58</v>
      </c>
      <c r="J2929" t="s">
        <v>267</v>
      </c>
      <c r="K2929" t="s">
        <v>245</v>
      </c>
      <c r="L2929" t="s">
        <v>235</v>
      </c>
      <c r="M2929" t="s">
        <v>236</v>
      </c>
      <c r="N2929" t="s">
        <v>240</v>
      </c>
      <c r="O2929" s="27">
        <v>46063</v>
      </c>
    </row>
    <row r="2930" spans="2:15" hidden="1" x14ac:dyDescent="0.3">
      <c r="B2930">
        <v>4535206</v>
      </c>
      <c r="C2930" t="s">
        <v>231</v>
      </c>
      <c r="D2930">
        <v>68542</v>
      </c>
      <c r="E2930" t="s">
        <v>150</v>
      </c>
      <c r="F2930" t="s">
        <v>284</v>
      </c>
      <c r="G2930" s="28">
        <v>1</v>
      </c>
      <c r="H2930" s="32">
        <v>0.28999999999999998</v>
      </c>
      <c r="I2930" s="32">
        <v>43.01</v>
      </c>
      <c r="J2930" t="s">
        <v>239</v>
      </c>
      <c r="K2930" t="s">
        <v>245</v>
      </c>
      <c r="L2930" t="s">
        <v>235</v>
      </c>
      <c r="M2930" t="s">
        <v>236</v>
      </c>
      <c r="N2930" t="s">
        <v>237</v>
      </c>
      <c r="O2930" s="27">
        <v>46055</v>
      </c>
    </row>
    <row r="2931" spans="2:15" hidden="1" x14ac:dyDescent="0.3">
      <c r="B2931">
        <v>4535206</v>
      </c>
      <c r="C2931" t="s">
        <v>231</v>
      </c>
      <c r="D2931">
        <v>68542</v>
      </c>
      <c r="E2931" t="s">
        <v>150</v>
      </c>
      <c r="F2931" t="s">
        <v>344</v>
      </c>
      <c r="G2931" s="28">
        <v>1</v>
      </c>
      <c r="H2931" s="32">
        <v>0.28999999999999998</v>
      </c>
      <c r="I2931" s="32">
        <v>42.86</v>
      </c>
      <c r="J2931" t="s">
        <v>330</v>
      </c>
      <c r="K2931" t="s">
        <v>245</v>
      </c>
      <c r="L2931" t="s">
        <v>235</v>
      </c>
      <c r="M2931" t="s">
        <v>236</v>
      </c>
      <c r="N2931" t="s">
        <v>237</v>
      </c>
      <c r="O2931" s="27">
        <v>46055</v>
      </c>
    </row>
    <row r="2932" spans="2:15" hidden="1" x14ac:dyDescent="0.3">
      <c r="B2932">
        <v>3914788</v>
      </c>
      <c r="C2932" t="s">
        <v>260</v>
      </c>
      <c r="D2932">
        <v>21468</v>
      </c>
      <c r="E2932" t="s">
        <v>150</v>
      </c>
      <c r="F2932" t="s">
        <v>271</v>
      </c>
      <c r="G2932" s="28">
        <v>1</v>
      </c>
      <c r="H2932" s="32">
        <v>0.28999999999999998</v>
      </c>
      <c r="I2932" s="32">
        <v>18.48</v>
      </c>
      <c r="J2932" t="s">
        <v>239</v>
      </c>
      <c r="K2932" t="s">
        <v>245</v>
      </c>
      <c r="L2932" t="s">
        <v>235</v>
      </c>
      <c r="M2932" t="s">
        <v>236</v>
      </c>
      <c r="N2932" t="s">
        <v>237</v>
      </c>
      <c r="O2932" s="27">
        <v>46063</v>
      </c>
    </row>
    <row r="2933" spans="2:15" hidden="1" x14ac:dyDescent="0.3">
      <c r="B2933">
        <v>5362471</v>
      </c>
      <c r="C2933" t="s">
        <v>260</v>
      </c>
      <c r="D2933">
        <v>22674</v>
      </c>
      <c r="E2933" t="s">
        <v>150</v>
      </c>
      <c r="F2933" t="s">
        <v>271</v>
      </c>
      <c r="G2933" s="28">
        <v>1</v>
      </c>
      <c r="H2933" s="32">
        <v>0.28999999999999998</v>
      </c>
      <c r="I2933" s="32">
        <v>18.440000000000001</v>
      </c>
      <c r="J2933" t="s">
        <v>239</v>
      </c>
      <c r="K2933" t="s">
        <v>245</v>
      </c>
      <c r="L2933" t="s">
        <v>235</v>
      </c>
      <c r="M2933" t="s">
        <v>236</v>
      </c>
      <c r="N2933" t="s">
        <v>237</v>
      </c>
      <c r="O2933" s="27">
        <v>46063</v>
      </c>
    </row>
    <row r="2934" spans="2:15" hidden="1" x14ac:dyDescent="0.3">
      <c r="B2934">
        <v>2973255</v>
      </c>
      <c r="C2934" t="s">
        <v>260</v>
      </c>
      <c r="D2934">
        <v>69519</v>
      </c>
      <c r="E2934" t="s">
        <v>150</v>
      </c>
      <c r="F2934" t="s">
        <v>295</v>
      </c>
      <c r="G2934" s="28">
        <v>3</v>
      </c>
      <c r="H2934" s="32">
        <v>0.28999999999999998</v>
      </c>
      <c r="I2934" s="32">
        <v>289.87</v>
      </c>
      <c r="J2934" t="s">
        <v>267</v>
      </c>
      <c r="K2934" t="s">
        <v>245</v>
      </c>
      <c r="L2934" t="s">
        <v>235</v>
      </c>
      <c r="M2934" t="s">
        <v>236</v>
      </c>
      <c r="N2934" t="s">
        <v>237</v>
      </c>
      <c r="O2934" s="27">
        <v>46063</v>
      </c>
    </row>
    <row r="2935" spans="2:15" hidden="1" x14ac:dyDescent="0.3">
      <c r="B2935">
        <v>4072213</v>
      </c>
      <c r="C2935" t="s">
        <v>231</v>
      </c>
      <c r="D2935">
        <v>22674</v>
      </c>
      <c r="E2935" t="s">
        <v>150</v>
      </c>
      <c r="F2935" t="s">
        <v>271</v>
      </c>
      <c r="G2935" s="28">
        <v>1</v>
      </c>
      <c r="H2935" s="32">
        <v>0.28000000000000003</v>
      </c>
      <c r="I2935" s="32">
        <v>18.45</v>
      </c>
      <c r="J2935" t="s">
        <v>239</v>
      </c>
      <c r="K2935" t="s">
        <v>245</v>
      </c>
      <c r="L2935" t="s">
        <v>235</v>
      </c>
      <c r="M2935" t="s">
        <v>236</v>
      </c>
      <c r="N2935" t="s">
        <v>237</v>
      </c>
      <c r="O2935" s="27">
        <v>46063</v>
      </c>
    </row>
    <row r="2936" spans="2:15" hidden="1" x14ac:dyDescent="0.3">
      <c r="B2936">
        <v>2405094</v>
      </c>
      <c r="C2936" t="s">
        <v>231</v>
      </c>
      <c r="D2936">
        <v>38517</v>
      </c>
      <c r="E2936" t="s">
        <v>150</v>
      </c>
      <c r="F2936" t="s">
        <v>272</v>
      </c>
      <c r="G2936" s="28">
        <v>3</v>
      </c>
      <c r="H2936" s="32">
        <v>0.28000000000000003</v>
      </c>
      <c r="I2936" s="32">
        <v>19.61</v>
      </c>
      <c r="J2936" t="s">
        <v>239</v>
      </c>
      <c r="K2936" t="s">
        <v>245</v>
      </c>
      <c r="L2936" t="s">
        <v>235</v>
      </c>
      <c r="M2936" t="s">
        <v>236</v>
      </c>
      <c r="N2936" t="s">
        <v>237</v>
      </c>
      <c r="O2936" s="27">
        <v>46055</v>
      </c>
    </row>
    <row r="2937" spans="2:15" hidden="1" x14ac:dyDescent="0.3">
      <c r="B2937">
        <v>3317498</v>
      </c>
      <c r="C2937" t="s">
        <v>231</v>
      </c>
      <c r="D2937">
        <v>69493</v>
      </c>
      <c r="E2937" t="s">
        <v>150</v>
      </c>
      <c r="F2937" t="s">
        <v>160</v>
      </c>
      <c r="G2937" s="28">
        <v>1</v>
      </c>
      <c r="H2937" s="32">
        <v>0.28000000000000003</v>
      </c>
      <c r="I2937" s="32">
        <v>87.29</v>
      </c>
      <c r="J2937" t="s">
        <v>239</v>
      </c>
      <c r="K2937" t="s">
        <v>245</v>
      </c>
      <c r="L2937" t="s">
        <v>235</v>
      </c>
      <c r="M2937" t="s">
        <v>236</v>
      </c>
      <c r="N2937" t="s">
        <v>240</v>
      </c>
      <c r="O2937" s="27">
        <v>46063</v>
      </c>
    </row>
    <row r="2938" spans="2:15" hidden="1" x14ac:dyDescent="0.3">
      <c r="B2938">
        <v>4535206</v>
      </c>
      <c r="C2938" t="s">
        <v>231</v>
      </c>
      <c r="D2938">
        <v>68542</v>
      </c>
      <c r="E2938" t="s">
        <v>150</v>
      </c>
      <c r="F2938" t="s">
        <v>319</v>
      </c>
      <c r="G2938" s="28">
        <v>1</v>
      </c>
      <c r="H2938" s="32">
        <v>0.28000000000000003</v>
      </c>
      <c r="I2938" s="32">
        <v>37.64</v>
      </c>
      <c r="J2938" t="s">
        <v>239</v>
      </c>
      <c r="K2938" t="s">
        <v>245</v>
      </c>
      <c r="L2938" t="s">
        <v>235</v>
      </c>
      <c r="M2938" t="s">
        <v>236</v>
      </c>
      <c r="N2938" t="s">
        <v>237</v>
      </c>
      <c r="O2938" s="27">
        <v>46055</v>
      </c>
    </row>
    <row r="2939" spans="2:15" hidden="1" x14ac:dyDescent="0.3">
      <c r="B2939">
        <v>2973255</v>
      </c>
      <c r="C2939" t="s">
        <v>260</v>
      </c>
      <c r="D2939">
        <v>69519</v>
      </c>
      <c r="E2939" t="s">
        <v>150</v>
      </c>
      <c r="F2939" t="s">
        <v>416</v>
      </c>
      <c r="G2939" s="28">
        <v>3</v>
      </c>
      <c r="H2939" s="32">
        <v>0.28000000000000003</v>
      </c>
      <c r="I2939" s="32">
        <v>249.4</v>
      </c>
      <c r="J2939" t="s">
        <v>267</v>
      </c>
      <c r="K2939" t="s">
        <v>245</v>
      </c>
      <c r="L2939" t="s">
        <v>235</v>
      </c>
      <c r="M2939" t="s">
        <v>236</v>
      </c>
      <c r="N2939" t="s">
        <v>240</v>
      </c>
      <c r="O2939" s="27">
        <v>46063</v>
      </c>
    </row>
    <row r="2940" spans="2:15" hidden="1" x14ac:dyDescent="0.3">
      <c r="B2940">
        <v>3055824</v>
      </c>
      <c r="C2940" t="s">
        <v>231</v>
      </c>
      <c r="D2940">
        <v>96553</v>
      </c>
      <c r="E2940" t="s">
        <v>150</v>
      </c>
      <c r="F2940" t="s">
        <v>271</v>
      </c>
      <c r="G2940" s="28">
        <v>1</v>
      </c>
      <c r="H2940" s="32">
        <v>0.27</v>
      </c>
      <c r="I2940" s="32">
        <v>18.48</v>
      </c>
      <c r="J2940" t="s">
        <v>239</v>
      </c>
      <c r="K2940" t="s">
        <v>245</v>
      </c>
      <c r="L2940" t="s">
        <v>235</v>
      </c>
      <c r="M2940" t="s">
        <v>236</v>
      </c>
      <c r="N2940" t="s">
        <v>237</v>
      </c>
      <c r="O2940" s="27">
        <v>46063</v>
      </c>
    </row>
    <row r="2941" spans="2:15" hidden="1" x14ac:dyDescent="0.3">
      <c r="B2941">
        <v>3907511</v>
      </c>
      <c r="C2941" t="s">
        <v>231</v>
      </c>
      <c r="D2941">
        <v>23648</v>
      </c>
      <c r="E2941" t="s">
        <v>150</v>
      </c>
      <c r="F2941" t="s">
        <v>271</v>
      </c>
      <c r="G2941" s="28">
        <v>2</v>
      </c>
      <c r="H2941" s="32">
        <v>0.27</v>
      </c>
      <c r="I2941" s="32">
        <v>35.31</v>
      </c>
      <c r="J2941" t="s">
        <v>239</v>
      </c>
      <c r="K2941" t="s">
        <v>245</v>
      </c>
      <c r="L2941" t="s">
        <v>235</v>
      </c>
      <c r="M2941" t="s">
        <v>236</v>
      </c>
      <c r="N2941" t="s">
        <v>237</v>
      </c>
      <c r="O2941" s="27">
        <v>46055</v>
      </c>
    </row>
    <row r="2942" spans="2:15" hidden="1" x14ac:dyDescent="0.3">
      <c r="B2942">
        <v>4535206</v>
      </c>
      <c r="C2942" t="s">
        <v>231</v>
      </c>
      <c r="D2942">
        <v>68542</v>
      </c>
      <c r="E2942" t="s">
        <v>150</v>
      </c>
      <c r="F2942" t="s">
        <v>361</v>
      </c>
      <c r="G2942" s="28">
        <v>1</v>
      </c>
      <c r="H2942" s="32">
        <v>0.27</v>
      </c>
      <c r="I2942" s="32">
        <v>36.909999999999997</v>
      </c>
      <c r="J2942" t="s">
        <v>330</v>
      </c>
      <c r="K2942" t="s">
        <v>245</v>
      </c>
      <c r="L2942" t="s">
        <v>235</v>
      </c>
      <c r="M2942" t="s">
        <v>236</v>
      </c>
      <c r="N2942" t="s">
        <v>237</v>
      </c>
      <c r="O2942" s="27">
        <v>46055</v>
      </c>
    </row>
    <row r="2943" spans="2:15" hidden="1" x14ac:dyDescent="0.3">
      <c r="B2943">
        <v>440722</v>
      </c>
      <c r="C2943" t="s">
        <v>231</v>
      </c>
      <c r="D2943">
        <v>21468</v>
      </c>
      <c r="E2943" t="s">
        <v>150</v>
      </c>
      <c r="F2943" t="s">
        <v>272</v>
      </c>
      <c r="G2943" s="28">
        <v>6</v>
      </c>
      <c r="H2943" s="32">
        <v>0.27</v>
      </c>
      <c r="I2943" s="32">
        <v>39.229999999999997</v>
      </c>
      <c r="J2943" t="s">
        <v>239</v>
      </c>
      <c r="K2943" t="s">
        <v>245</v>
      </c>
      <c r="L2943" t="s">
        <v>235</v>
      </c>
      <c r="M2943" t="s">
        <v>236</v>
      </c>
      <c r="N2943" t="s">
        <v>237</v>
      </c>
      <c r="O2943" s="27">
        <v>46055</v>
      </c>
    </row>
    <row r="2944" spans="2:15" hidden="1" x14ac:dyDescent="0.3">
      <c r="B2944">
        <v>3322497</v>
      </c>
      <c r="C2944" t="s">
        <v>231</v>
      </c>
      <c r="D2944">
        <v>40901</v>
      </c>
      <c r="E2944" t="s">
        <v>150</v>
      </c>
      <c r="F2944" t="s">
        <v>325</v>
      </c>
      <c r="G2944" s="28">
        <v>1</v>
      </c>
      <c r="H2944" s="32">
        <v>0.27</v>
      </c>
      <c r="I2944" s="32">
        <v>8.69</v>
      </c>
      <c r="J2944" t="s">
        <v>267</v>
      </c>
      <c r="K2944" t="s">
        <v>245</v>
      </c>
      <c r="L2944" t="s">
        <v>235</v>
      </c>
      <c r="M2944" t="s">
        <v>236</v>
      </c>
      <c r="N2944" t="s">
        <v>240</v>
      </c>
      <c r="O2944" s="27">
        <v>46055</v>
      </c>
    </row>
    <row r="2945" spans="2:15" hidden="1" x14ac:dyDescent="0.3">
      <c r="B2945">
        <v>15947590</v>
      </c>
      <c r="C2945" t="s">
        <v>231</v>
      </c>
      <c r="D2945">
        <v>69519</v>
      </c>
      <c r="E2945" t="s">
        <v>150</v>
      </c>
      <c r="F2945" t="s">
        <v>160</v>
      </c>
      <c r="G2945" s="28">
        <v>1</v>
      </c>
      <c r="H2945" s="32">
        <v>0.27</v>
      </c>
      <c r="I2945" s="32">
        <v>87.03</v>
      </c>
      <c r="J2945" t="s">
        <v>239</v>
      </c>
      <c r="K2945" t="s">
        <v>245</v>
      </c>
      <c r="L2945" t="s">
        <v>235</v>
      </c>
      <c r="M2945" t="s">
        <v>236</v>
      </c>
      <c r="N2945" t="s">
        <v>240</v>
      </c>
      <c r="O2945" s="27">
        <v>46063</v>
      </c>
    </row>
    <row r="2946" spans="2:15" hidden="1" x14ac:dyDescent="0.3">
      <c r="B2946">
        <v>250134</v>
      </c>
      <c r="C2946" t="s">
        <v>231</v>
      </c>
      <c r="D2946">
        <v>22674</v>
      </c>
      <c r="E2946" t="s">
        <v>150</v>
      </c>
      <c r="F2946" t="s">
        <v>160</v>
      </c>
      <c r="G2946" s="28">
        <v>1</v>
      </c>
      <c r="H2946" s="32">
        <v>0.27</v>
      </c>
      <c r="I2946" s="32">
        <v>87.25</v>
      </c>
      <c r="J2946" t="s">
        <v>239</v>
      </c>
      <c r="K2946" t="s">
        <v>245</v>
      </c>
      <c r="L2946" t="s">
        <v>235</v>
      </c>
      <c r="M2946" t="s">
        <v>236</v>
      </c>
      <c r="N2946" t="s">
        <v>240</v>
      </c>
      <c r="O2946" s="27">
        <v>46063</v>
      </c>
    </row>
    <row r="2947" spans="2:15" hidden="1" x14ac:dyDescent="0.3">
      <c r="B2947">
        <v>2826183</v>
      </c>
      <c r="C2947" t="s">
        <v>231</v>
      </c>
      <c r="D2947">
        <v>69493</v>
      </c>
      <c r="E2947" t="s">
        <v>150</v>
      </c>
      <c r="F2947" t="s">
        <v>319</v>
      </c>
      <c r="G2947" s="28">
        <v>1</v>
      </c>
      <c r="H2947" s="32">
        <v>0.27</v>
      </c>
      <c r="I2947" s="32">
        <v>37.64</v>
      </c>
      <c r="J2947" t="s">
        <v>239</v>
      </c>
      <c r="K2947" t="s">
        <v>245</v>
      </c>
      <c r="L2947" t="s">
        <v>235</v>
      </c>
      <c r="M2947" t="s">
        <v>236</v>
      </c>
      <c r="N2947" t="s">
        <v>237</v>
      </c>
      <c r="O2947" s="27">
        <v>46055</v>
      </c>
    </row>
    <row r="2948" spans="2:15" hidden="1" x14ac:dyDescent="0.3">
      <c r="B2948">
        <v>3430907</v>
      </c>
      <c r="C2948" t="s">
        <v>260</v>
      </c>
      <c r="D2948">
        <v>21468</v>
      </c>
      <c r="E2948" t="s">
        <v>150</v>
      </c>
      <c r="F2948" t="s">
        <v>164</v>
      </c>
      <c r="G2948" s="28">
        <v>1</v>
      </c>
      <c r="H2948" s="32">
        <v>0.27</v>
      </c>
      <c r="I2948" s="32">
        <v>45.83</v>
      </c>
      <c r="J2948" t="s">
        <v>239</v>
      </c>
      <c r="K2948" t="s">
        <v>245</v>
      </c>
      <c r="L2948" t="s">
        <v>235</v>
      </c>
      <c r="M2948" t="s">
        <v>236</v>
      </c>
      <c r="N2948" t="s">
        <v>240</v>
      </c>
      <c r="O2948" s="27">
        <v>46055</v>
      </c>
    </row>
    <row r="2949" spans="2:15" hidden="1" x14ac:dyDescent="0.3">
      <c r="B2949">
        <v>590816</v>
      </c>
      <c r="C2949" t="s">
        <v>231</v>
      </c>
      <c r="D2949">
        <v>38517</v>
      </c>
      <c r="E2949" t="s">
        <v>150</v>
      </c>
      <c r="F2949" t="s">
        <v>274</v>
      </c>
      <c r="G2949" s="28">
        <v>2</v>
      </c>
      <c r="H2949" s="32">
        <v>0.26</v>
      </c>
      <c r="I2949" s="32">
        <v>29.37</v>
      </c>
      <c r="J2949" t="s">
        <v>239</v>
      </c>
      <c r="K2949" t="s">
        <v>245</v>
      </c>
      <c r="L2949" t="s">
        <v>235</v>
      </c>
      <c r="M2949" t="s">
        <v>236</v>
      </c>
      <c r="N2949" t="s">
        <v>237</v>
      </c>
      <c r="O2949" s="27">
        <v>46055</v>
      </c>
    </row>
    <row r="2950" spans="2:15" hidden="1" x14ac:dyDescent="0.3">
      <c r="B2950">
        <v>4535206</v>
      </c>
      <c r="C2950" t="s">
        <v>231</v>
      </c>
      <c r="D2950">
        <v>68542</v>
      </c>
      <c r="E2950" t="s">
        <v>150</v>
      </c>
      <c r="F2950" t="s">
        <v>413</v>
      </c>
      <c r="G2950" s="28">
        <v>2</v>
      </c>
      <c r="H2950" s="32">
        <v>0.26</v>
      </c>
      <c r="I2950" s="32">
        <v>322.7</v>
      </c>
      <c r="J2950" t="s">
        <v>267</v>
      </c>
      <c r="K2950" t="s">
        <v>245</v>
      </c>
      <c r="L2950" t="s">
        <v>235</v>
      </c>
      <c r="M2950" t="s">
        <v>236</v>
      </c>
      <c r="N2950" t="s">
        <v>240</v>
      </c>
      <c r="O2950" s="27">
        <v>46057</v>
      </c>
    </row>
    <row r="2951" spans="2:15" hidden="1" x14ac:dyDescent="0.3">
      <c r="B2951">
        <v>2390017</v>
      </c>
      <c r="C2951" t="s">
        <v>231</v>
      </c>
      <c r="D2951">
        <v>69493</v>
      </c>
      <c r="E2951" t="s">
        <v>150</v>
      </c>
      <c r="F2951" t="s">
        <v>319</v>
      </c>
      <c r="G2951" s="28">
        <v>1</v>
      </c>
      <c r="H2951" s="32">
        <v>0.26</v>
      </c>
      <c r="I2951" s="32">
        <v>37.49</v>
      </c>
      <c r="J2951" t="s">
        <v>239</v>
      </c>
      <c r="K2951" t="s">
        <v>245</v>
      </c>
      <c r="L2951" t="s">
        <v>235</v>
      </c>
      <c r="M2951" t="s">
        <v>236</v>
      </c>
      <c r="N2951" t="s">
        <v>240</v>
      </c>
      <c r="O2951" s="27">
        <v>46055</v>
      </c>
    </row>
    <row r="2952" spans="2:15" hidden="1" x14ac:dyDescent="0.3">
      <c r="B2952">
        <v>4744190</v>
      </c>
      <c r="C2952" t="s">
        <v>260</v>
      </c>
      <c r="D2952">
        <v>22674</v>
      </c>
      <c r="E2952" t="s">
        <v>150</v>
      </c>
      <c r="F2952" t="s">
        <v>271</v>
      </c>
      <c r="G2952" s="28">
        <v>1</v>
      </c>
      <c r="H2952" s="32">
        <v>0.26</v>
      </c>
      <c r="I2952" s="32">
        <v>18.440000000000001</v>
      </c>
      <c r="J2952" t="s">
        <v>239</v>
      </c>
      <c r="K2952" t="s">
        <v>245</v>
      </c>
      <c r="L2952" t="s">
        <v>235</v>
      </c>
      <c r="M2952" t="s">
        <v>236</v>
      </c>
      <c r="N2952" t="s">
        <v>237</v>
      </c>
      <c r="O2952" s="27">
        <v>46063</v>
      </c>
    </row>
    <row r="2953" spans="2:15" hidden="1" x14ac:dyDescent="0.3">
      <c r="B2953">
        <v>2405094</v>
      </c>
      <c r="C2953" t="s">
        <v>231</v>
      </c>
      <c r="D2953">
        <v>38517</v>
      </c>
      <c r="E2953" t="s">
        <v>150</v>
      </c>
      <c r="F2953" t="s">
        <v>271</v>
      </c>
      <c r="G2953" s="28">
        <v>1</v>
      </c>
      <c r="H2953" s="32">
        <v>0.25</v>
      </c>
      <c r="I2953" s="32">
        <v>17.649999999999999</v>
      </c>
      <c r="J2953" t="s">
        <v>239</v>
      </c>
      <c r="K2953" t="s">
        <v>245</v>
      </c>
      <c r="L2953" t="s">
        <v>235</v>
      </c>
      <c r="M2953" t="s">
        <v>236</v>
      </c>
      <c r="N2953" t="s">
        <v>237</v>
      </c>
      <c r="O2953" s="27">
        <v>46055</v>
      </c>
    </row>
    <row r="2954" spans="2:15" hidden="1" x14ac:dyDescent="0.3">
      <c r="B2954">
        <v>18797810</v>
      </c>
      <c r="C2954" t="s">
        <v>231</v>
      </c>
      <c r="D2954">
        <v>74304</v>
      </c>
      <c r="E2954" t="s">
        <v>150</v>
      </c>
      <c r="F2954" t="s">
        <v>160</v>
      </c>
      <c r="G2954" s="28">
        <v>1</v>
      </c>
      <c r="H2954" s="32">
        <v>0.25</v>
      </c>
      <c r="I2954" s="32">
        <v>87.15</v>
      </c>
      <c r="J2954" t="s">
        <v>239</v>
      </c>
      <c r="K2954" t="s">
        <v>245</v>
      </c>
      <c r="L2954" t="s">
        <v>235</v>
      </c>
      <c r="M2954" t="s">
        <v>236</v>
      </c>
      <c r="N2954" t="s">
        <v>240</v>
      </c>
      <c r="O2954" s="27">
        <v>46063</v>
      </c>
    </row>
    <row r="2955" spans="2:15" hidden="1" x14ac:dyDescent="0.3">
      <c r="B2955">
        <v>3593981</v>
      </c>
      <c r="C2955" t="s">
        <v>260</v>
      </c>
      <c r="D2955">
        <v>23648</v>
      </c>
      <c r="E2955" t="s">
        <v>150</v>
      </c>
      <c r="F2955" t="s">
        <v>322</v>
      </c>
      <c r="G2955" s="28">
        <v>1</v>
      </c>
      <c r="H2955" s="32">
        <v>0.25</v>
      </c>
      <c r="I2955" s="32">
        <v>102.75</v>
      </c>
      <c r="J2955" t="s">
        <v>267</v>
      </c>
      <c r="K2955" t="s">
        <v>245</v>
      </c>
      <c r="L2955" t="s">
        <v>235</v>
      </c>
      <c r="M2955" t="s">
        <v>236</v>
      </c>
      <c r="N2955" t="s">
        <v>237</v>
      </c>
      <c r="O2955" s="27">
        <v>46057</v>
      </c>
    </row>
    <row r="2956" spans="2:15" hidden="1" x14ac:dyDescent="0.3">
      <c r="B2956">
        <v>18547873</v>
      </c>
      <c r="C2956" t="s">
        <v>260</v>
      </c>
      <c r="D2956">
        <v>38517</v>
      </c>
      <c r="E2956" t="s">
        <v>150</v>
      </c>
      <c r="F2956" t="s">
        <v>277</v>
      </c>
      <c r="G2956" s="28">
        <v>1</v>
      </c>
      <c r="H2956" s="32">
        <v>0.25</v>
      </c>
      <c r="I2956" s="32">
        <v>36.28</v>
      </c>
      <c r="J2956" t="s">
        <v>239</v>
      </c>
      <c r="K2956" t="s">
        <v>245</v>
      </c>
      <c r="L2956" t="s">
        <v>235</v>
      </c>
      <c r="M2956" t="s">
        <v>236</v>
      </c>
      <c r="N2956" t="s">
        <v>237</v>
      </c>
      <c r="O2956" s="27">
        <v>46055</v>
      </c>
    </row>
    <row r="2957" spans="2:15" hidden="1" x14ac:dyDescent="0.3">
      <c r="B2957">
        <v>8518733</v>
      </c>
      <c r="C2957" t="s">
        <v>260</v>
      </c>
      <c r="D2957">
        <v>40901</v>
      </c>
      <c r="E2957" t="s">
        <v>150</v>
      </c>
      <c r="F2957" t="s">
        <v>271</v>
      </c>
      <c r="G2957" s="28">
        <v>1</v>
      </c>
      <c r="H2957" s="32">
        <v>0.25</v>
      </c>
      <c r="I2957" s="32">
        <v>17.64</v>
      </c>
      <c r="J2957" t="s">
        <v>239</v>
      </c>
      <c r="K2957" t="s">
        <v>245</v>
      </c>
      <c r="L2957" t="s">
        <v>235</v>
      </c>
      <c r="M2957" t="s">
        <v>236</v>
      </c>
      <c r="N2957" t="s">
        <v>240</v>
      </c>
      <c r="O2957" s="27">
        <v>46055</v>
      </c>
    </row>
    <row r="2958" spans="2:15" hidden="1" x14ac:dyDescent="0.3">
      <c r="B2958">
        <v>3593981</v>
      </c>
      <c r="C2958" t="s">
        <v>260</v>
      </c>
      <c r="D2958">
        <v>23648</v>
      </c>
      <c r="E2958" t="s">
        <v>150</v>
      </c>
      <c r="F2958" t="s">
        <v>396</v>
      </c>
      <c r="G2958" s="28">
        <v>7</v>
      </c>
      <c r="H2958" s="32">
        <v>0.25</v>
      </c>
      <c r="I2958" s="32">
        <v>63.37</v>
      </c>
      <c r="J2958" t="s">
        <v>267</v>
      </c>
      <c r="K2958" t="s">
        <v>245</v>
      </c>
      <c r="L2958" t="s">
        <v>235</v>
      </c>
      <c r="M2958" t="s">
        <v>236</v>
      </c>
      <c r="N2958" t="s">
        <v>240</v>
      </c>
      <c r="O2958" s="27">
        <v>46057</v>
      </c>
    </row>
    <row r="2959" spans="2:15" hidden="1" x14ac:dyDescent="0.3">
      <c r="B2959">
        <v>3593981</v>
      </c>
      <c r="C2959" t="s">
        <v>260</v>
      </c>
      <c r="D2959">
        <v>23648</v>
      </c>
      <c r="E2959" t="s">
        <v>150</v>
      </c>
      <c r="F2959" t="s">
        <v>326</v>
      </c>
      <c r="G2959" s="28">
        <v>3</v>
      </c>
      <c r="H2959" s="32">
        <v>0.25</v>
      </c>
      <c r="I2959" s="32">
        <v>26.67</v>
      </c>
      <c r="J2959" t="s">
        <v>267</v>
      </c>
      <c r="K2959" t="s">
        <v>245</v>
      </c>
      <c r="L2959" t="s">
        <v>235</v>
      </c>
      <c r="M2959" t="s">
        <v>236</v>
      </c>
      <c r="N2959" t="s">
        <v>237</v>
      </c>
      <c r="O2959" s="27">
        <v>46057</v>
      </c>
    </row>
    <row r="2960" spans="2:15" hidden="1" x14ac:dyDescent="0.3">
      <c r="B2960">
        <v>7088256</v>
      </c>
      <c r="C2960" t="s">
        <v>231</v>
      </c>
      <c r="D2960">
        <v>96553</v>
      </c>
      <c r="E2960" t="s">
        <v>150</v>
      </c>
      <c r="F2960" t="s">
        <v>271</v>
      </c>
      <c r="G2960" s="28">
        <v>1</v>
      </c>
      <c r="H2960" s="32">
        <v>0.24</v>
      </c>
      <c r="I2960" s="32">
        <v>18.46</v>
      </c>
      <c r="J2960" t="s">
        <v>239</v>
      </c>
      <c r="K2960" t="s">
        <v>245</v>
      </c>
      <c r="L2960" t="s">
        <v>235</v>
      </c>
      <c r="M2960" t="s">
        <v>236</v>
      </c>
      <c r="N2960" t="s">
        <v>237</v>
      </c>
      <c r="O2960" s="27">
        <v>46063</v>
      </c>
    </row>
    <row r="2961" spans="2:15" hidden="1" x14ac:dyDescent="0.3">
      <c r="B2961">
        <v>4535206</v>
      </c>
      <c r="C2961" t="s">
        <v>231</v>
      </c>
      <c r="D2961">
        <v>68542</v>
      </c>
      <c r="E2961" t="s">
        <v>150</v>
      </c>
      <c r="F2961" t="s">
        <v>406</v>
      </c>
      <c r="G2961" s="28">
        <v>2</v>
      </c>
      <c r="H2961" s="32">
        <v>0.24</v>
      </c>
      <c r="I2961" s="32">
        <v>252.75</v>
      </c>
      <c r="J2961" t="s">
        <v>267</v>
      </c>
      <c r="K2961" t="s">
        <v>245</v>
      </c>
      <c r="L2961" t="s">
        <v>235</v>
      </c>
      <c r="M2961" t="s">
        <v>236</v>
      </c>
      <c r="N2961" t="s">
        <v>237</v>
      </c>
      <c r="O2961" s="27">
        <v>46057</v>
      </c>
    </row>
    <row r="2962" spans="2:15" hidden="1" x14ac:dyDescent="0.3">
      <c r="B2962">
        <v>3321439</v>
      </c>
      <c r="C2962" t="s">
        <v>231</v>
      </c>
      <c r="D2962">
        <v>22674</v>
      </c>
      <c r="E2962" t="s">
        <v>150</v>
      </c>
      <c r="F2962" t="s">
        <v>263</v>
      </c>
      <c r="G2962" s="28">
        <v>1</v>
      </c>
      <c r="H2962" s="32">
        <v>0.24</v>
      </c>
      <c r="I2962" s="32">
        <v>13.81</v>
      </c>
      <c r="J2962" t="s">
        <v>239</v>
      </c>
      <c r="K2962" t="s">
        <v>245</v>
      </c>
      <c r="L2962" t="s">
        <v>235</v>
      </c>
      <c r="M2962" t="s">
        <v>236</v>
      </c>
      <c r="N2962" t="s">
        <v>240</v>
      </c>
      <c r="O2962" s="27">
        <v>46055</v>
      </c>
    </row>
    <row r="2963" spans="2:15" x14ac:dyDescent="0.3">
      <c r="B2963">
        <v>4745805</v>
      </c>
      <c r="C2963" t="s">
        <v>231</v>
      </c>
      <c r="D2963">
        <v>22103</v>
      </c>
      <c r="E2963" t="s">
        <v>150</v>
      </c>
      <c r="F2963" t="s">
        <v>160</v>
      </c>
      <c r="G2963" s="28">
        <v>1</v>
      </c>
      <c r="H2963" s="32">
        <v>0.24</v>
      </c>
      <c r="I2963" s="32">
        <v>86.91</v>
      </c>
      <c r="J2963" t="s">
        <v>239</v>
      </c>
      <c r="K2963" t="s">
        <v>245</v>
      </c>
      <c r="L2963" t="s">
        <v>235</v>
      </c>
      <c r="M2963" t="s">
        <v>236</v>
      </c>
      <c r="N2963" t="s">
        <v>240</v>
      </c>
      <c r="O2963" s="27">
        <v>46063</v>
      </c>
    </row>
    <row r="2964" spans="2:15" hidden="1" x14ac:dyDescent="0.3">
      <c r="B2964">
        <v>18702217</v>
      </c>
      <c r="C2964" t="s">
        <v>260</v>
      </c>
      <c r="D2964">
        <v>74304</v>
      </c>
      <c r="E2964" t="s">
        <v>150</v>
      </c>
      <c r="F2964" t="s">
        <v>277</v>
      </c>
      <c r="G2964" s="28">
        <v>1</v>
      </c>
      <c r="H2964" s="32">
        <v>0.24</v>
      </c>
      <c r="I2964" s="32">
        <v>36.28</v>
      </c>
      <c r="J2964" t="s">
        <v>239</v>
      </c>
      <c r="K2964" t="s">
        <v>245</v>
      </c>
      <c r="L2964" t="s">
        <v>235</v>
      </c>
      <c r="M2964" t="s">
        <v>236</v>
      </c>
      <c r="N2964" t="s">
        <v>237</v>
      </c>
      <c r="O2964" s="27">
        <v>46055</v>
      </c>
    </row>
    <row r="2965" spans="2:15" hidden="1" x14ac:dyDescent="0.3">
      <c r="B2965">
        <v>4535206</v>
      </c>
      <c r="C2965" t="s">
        <v>231</v>
      </c>
      <c r="D2965">
        <v>68542</v>
      </c>
      <c r="E2965" t="s">
        <v>150</v>
      </c>
      <c r="F2965" t="s">
        <v>384</v>
      </c>
      <c r="G2965" s="28">
        <v>1</v>
      </c>
      <c r="H2965" s="32">
        <v>0.23</v>
      </c>
      <c r="I2965" s="32">
        <v>21.46</v>
      </c>
      <c r="J2965" t="s">
        <v>330</v>
      </c>
      <c r="K2965" t="s">
        <v>245</v>
      </c>
      <c r="L2965" t="s">
        <v>235</v>
      </c>
      <c r="M2965" t="s">
        <v>236</v>
      </c>
      <c r="N2965" t="s">
        <v>240</v>
      </c>
      <c r="O2965" s="27">
        <v>46055</v>
      </c>
    </row>
    <row r="2966" spans="2:15" hidden="1" x14ac:dyDescent="0.3">
      <c r="B2966">
        <v>16284979</v>
      </c>
      <c r="C2966" t="s">
        <v>231</v>
      </c>
      <c r="D2966">
        <v>25619</v>
      </c>
      <c r="E2966" t="s">
        <v>150</v>
      </c>
      <c r="F2966" t="s">
        <v>271</v>
      </c>
      <c r="G2966" s="28">
        <v>1</v>
      </c>
      <c r="H2966" s="32">
        <v>0.23</v>
      </c>
      <c r="I2966" s="32">
        <v>18.46</v>
      </c>
      <c r="J2966" t="s">
        <v>239</v>
      </c>
      <c r="K2966" t="s">
        <v>245</v>
      </c>
      <c r="L2966" t="s">
        <v>235</v>
      </c>
      <c r="M2966" t="s">
        <v>236</v>
      </c>
      <c r="N2966" t="s">
        <v>240</v>
      </c>
      <c r="O2966" s="27">
        <v>46063</v>
      </c>
    </row>
    <row r="2967" spans="2:15" hidden="1" x14ac:dyDescent="0.3">
      <c r="B2967">
        <v>293951</v>
      </c>
      <c r="C2967" t="s">
        <v>231</v>
      </c>
      <c r="D2967">
        <v>25619</v>
      </c>
      <c r="E2967" t="s">
        <v>150</v>
      </c>
      <c r="F2967" t="s">
        <v>271</v>
      </c>
      <c r="G2967" s="28">
        <v>1</v>
      </c>
      <c r="H2967" s="32">
        <v>0.23</v>
      </c>
      <c r="I2967" s="32">
        <v>18.47</v>
      </c>
      <c r="J2967" t="s">
        <v>239</v>
      </c>
      <c r="K2967" t="s">
        <v>245</v>
      </c>
      <c r="L2967" t="s">
        <v>235</v>
      </c>
      <c r="M2967" t="s">
        <v>236</v>
      </c>
      <c r="N2967" t="s">
        <v>237</v>
      </c>
      <c r="O2967" s="27">
        <v>46063</v>
      </c>
    </row>
    <row r="2968" spans="2:15" hidden="1" x14ac:dyDescent="0.3">
      <c r="B2968">
        <v>310157</v>
      </c>
      <c r="C2968" t="s">
        <v>231</v>
      </c>
      <c r="D2968">
        <v>68542</v>
      </c>
      <c r="E2968" t="s">
        <v>150</v>
      </c>
      <c r="F2968" t="s">
        <v>406</v>
      </c>
      <c r="G2968" s="28">
        <v>2</v>
      </c>
      <c r="H2968" s="32">
        <v>0.23</v>
      </c>
      <c r="I2968" s="32">
        <v>252.77</v>
      </c>
      <c r="J2968" t="s">
        <v>267</v>
      </c>
      <c r="K2968" t="s">
        <v>245</v>
      </c>
      <c r="L2968" t="s">
        <v>235</v>
      </c>
      <c r="M2968" t="s">
        <v>236</v>
      </c>
      <c r="N2968" t="s">
        <v>237</v>
      </c>
      <c r="O2968" s="27">
        <v>46057</v>
      </c>
    </row>
    <row r="2969" spans="2:15" hidden="1" x14ac:dyDescent="0.3">
      <c r="B2969">
        <v>3321439</v>
      </c>
      <c r="C2969" t="s">
        <v>231</v>
      </c>
      <c r="D2969">
        <v>22674</v>
      </c>
      <c r="E2969" t="s">
        <v>150</v>
      </c>
      <c r="F2969" t="s">
        <v>272</v>
      </c>
      <c r="G2969" s="28">
        <v>2</v>
      </c>
      <c r="H2969" s="32">
        <v>0.23</v>
      </c>
      <c r="I2969" s="32">
        <v>13.07</v>
      </c>
      <c r="J2969" t="s">
        <v>239</v>
      </c>
      <c r="K2969" t="s">
        <v>245</v>
      </c>
      <c r="L2969" t="s">
        <v>235</v>
      </c>
      <c r="M2969" t="s">
        <v>236</v>
      </c>
      <c r="N2969" t="s">
        <v>237</v>
      </c>
      <c r="O2969" s="27">
        <v>46055</v>
      </c>
    </row>
    <row r="2970" spans="2:15" hidden="1" x14ac:dyDescent="0.3">
      <c r="B2970">
        <v>307208</v>
      </c>
      <c r="C2970" t="s">
        <v>231</v>
      </c>
      <c r="D2970">
        <v>25619</v>
      </c>
      <c r="E2970" t="s">
        <v>150</v>
      </c>
      <c r="F2970" t="s">
        <v>160</v>
      </c>
      <c r="G2970" s="28">
        <v>1</v>
      </c>
      <c r="H2970" s="32">
        <v>0.23</v>
      </c>
      <c r="I2970" s="32">
        <v>87.15</v>
      </c>
      <c r="J2970" t="s">
        <v>239</v>
      </c>
      <c r="K2970" t="s">
        <v>245</v>
      </c>
      <c r="L2970" t="s">
        <v>235</v>
      </c>
      <c r="M2970" t="s">
        <v>236</v>
      </c>
      <c r="N2970" t="s">
        <v>240</v>
      </c>
      <c r="O2970" s="27">
        <v>46063</v>
      </c>
    </row>
    <row r="2971" spans="2:15" hidden="1" x14ac:dyDescent="0.3">
      <c r="B2971">
        <v>18702217</v>
      </c>
      <c r="C2971" t="s">
        <v>260</v>
      </c>
      <c r="D2971">
        <v>74304</v>
      </c>
      <c r="E2971" t="s">
        <v>150</v>
      </c>
      <c r="F2971" t="s">
        <v>271</v>
      </c>
      <c r="G2971" s="28">
        <v>2</v>
      </c>
      <c r="H2971" s="32">
        <v>0.23</v>
      </c>
      <c r="I2971" s="32">
        <v>35.31</v>
      </c>
      <c r="J2971" t="s">
        <v>239</v>
      </c>
      <c r="K2971" t="s">
        <v>245</v>
      </c>
      <c r="L2971" t="s">
        <v>235</v>
      </c>
      <c r="M2971" t="s">
        <v>236</v>
      </c>
      <c r="N2971" t="s">
        <v>237</v>
      </c>
      <c r="O2971" s="27">
        <v>46055</v>
      </c>
    </row>
    <row r="2972" spans="2:15" hidden="1" x14ac:dyDescent="0.3">
      <c r="B2972">
        <v>15389148</v>
      </c>
      <c r="C2972" t="s">
        <v>260</v>
      </c>
      <c r="D2972">
        <v>40901</v>
      </c>
      <c r="E2972" t="s">
        <v>150</v>
      </c>
      <c r="F2972" t="s">
        <v>263</v>
      </c>
      <c r="G2972" s="28">
        <v>1</v>
      </c>
      <c r="H2972" s="32">
        <v>0.23</v>
      </c>
      <c r="I2972" s="32">
        <v>13.81</v>
      </c>
      <c r="J2972" t="s">
        <v>239</v>
      </c>
      <c r="K2972" t="s">
        <v>245</v>
      </c>
      <c r="L2972" t="s">
        <v>235</v>
      </c>
      <c r="M2972" t="s">
        <v>236</v>
      </c>
      <c r="N2972" t="s">
        <v>240</v>
      </c>
      <c r="O2972" s="27">
        <v>46055</v>
      </c>
    </row>
    <row r="2973" spans="2:15" hidden="1" x14ac:dyDescent="0.3">
      <c r="B2973">
        <v>18731282</v>
      </c>
      <c r="C2973" t="s">
        <v>231</v>
      </c>
      <c r="D2973">
        <v>40901</v>
      </c>
      <c r="E2973" t="s">
        <v>150</v>
      </c>
      <c r="F2973" t="s">
        <v>271</v>
      </c>
      <c r="G2973" s="28">
        <v>1</v>
      </c>
      <c r="H2973" s="32">
        <v>0.22</v>
      </c>
      <c r="I2973" s="32">
        <v>18.46</v>
      </c>
      <c r="J2973" t="s">
        <v>239</v>
      </c>
      <c r="K2973" t="s">
        <v>245</v>
      </c>
      <c r="L2973" t="s">
        <v>235</v>
      </c>
      <c r="M2973" t="s">
        <v>236</v>
      </c>
      <c r="N2973" t="s">
        <v>240</v>
      </c>
      <c r="O2973" s="27">
        <v>46063</v>
      </c>
    </row>
    <row r="2974" spans="2:15" hidden="1" x14ac:dyDescent="0.3">
      <c r="B2974">
        <v>2727175</v>
      </c>
      <c r="C2974" t="s">
        <v>231</v>
      </c>
      <c r="D2974">
        <v>23648</v>
      </c>
      <c r="E2974" t="s">
        <v>150</v>
      </c>
      <c r="F2974" t="s">
        <v>271</v>
      </c>
      <c r="G2974" s="28">
        <v>1</v>
      </c>
      <c r="H2974" s="32">
        <v>0.22</v>
      </c>
      <c r="I2974" s="32">
        <v>18.47</v>
      </c>
      <c r="J2974" t="s">
        <v>239</v>
      </c>
      <c r="K2974" t="s">
        <v>245</v>
      </c>
      <c r="L2974" t="s">
        <v>235</v>
      </c>
      <c r="M2974" t="s">
        <v>236</v>
      </c>
      <c r="N2974" t="s">
        <v>237</v>
      </c>
      <c r="O2974" s="27">
        <v>46063</v>
      </c>
    </row>
    <row r="2975" spans="2:15" hidden="1" x14ac:dyDescent="0.3">
      <c r="B2975">
        <v>3666312</v>
      </c>
      <c r="C2975" t="s">
        <v>231</v>
      </c>
      <c r="D2975">
        <v>21468</v>
      </c>
      <c r="E2975" t="s">
        <v>150</v>
      </c>
      <c r="F2975" t="s">
        <v>263</v>
      </c>
      <c r="G2975" s="28">
        <v>1</v>
      </c>
      <c r="H2975" s="32">
        <v>0.22</v>
      </c>
      <c r="I2975" s="32">
        <v>13.81</v>
      </c>
      <c r="J2975" t="s">
        <v>239</v>
      </c>
      <c r="K2975" t="s">
        <v>245</v>
      </c>
      <c r="L2975" t="s">
        <v>235</v>
      </c>
      <c r="M2975" t="s">
        <v>236</v>
      </c>
      <c r="N2975" t="s">
        <v>240</v>
      </c>
      <c r="O2975" s="27">
        <v>46055</v>
      </c>
    </row>
    <row r="2976" spans="2:15" hidden="1" x14ac:dyDescent="0.3">
      <c r="B2976">
        <v>2051406</v>
      </c>
      <c r="C2976" t="s">
        <v>231</v>
      </c>
      <c r="D2976">
        <v>25104</v>
      </c>
      <c r="E2976" t="s">
        <v>150</v>
      </c>
      <c r="F2976" t="s">
        <v>272</v>
      </c>
      <c r="G2976" s="28">
        <v>3</v>
      </c>
      <c r="H2976" s="32">
        <v>0.22</v>
      </c>
      <c r="I2976" s="32">
        <v>19.61</v>
      </c>
      <c r="J2976" t="s">
        <v>239</v>
      </c>
      <c r="K2976" t="s">
        <v>245</v>
      </c>
      <c r="L2976" t="s">
        <v>235</v>
      </c>
      <c r="M2976" t="s">
        <v>236</v>
      </c>
      <c r="N2976" t="s">
        <v>237</v>
      </c>
      <c r="O2976" s="27">
        <v>46055</v>
      </c>
    </row>
    <row r="2977" spans="2:15" hidden="1" x14ac:dyDescent="0.3">
      <c r="B2977">
        <v>2190399</v>
      </c>
      <c r="C2977" t="s">
        <v>231</v>
      </c>
      <c r="D2977">
        <v>68542</v>
      </c>
      <c r="E2977" t="s">
        <v>150</v>
      </c>
      <c r="F2977" t="s">
        <v>272</v>
      </c>
      <c r="G2977" s="28">
        <v>2</v>
      </c>
      <c r="H2977" s="32">
        <v>0.22</v>
      </c>
      <c r="I2977" s="32">
        <v>13.07</v>
      </c>
      <c r="J2977" t="s">
        <v>239</v>
      </c>
      <c r="K2977" t="s">
        <v>245</v>
      </c>
      <c r="L2977" t="s">
        <v>235</v>
      </c>
      <c r="M2977" t="s">
        <v>236</v>
      </c>
      <c r="N2977" t="s">
        <v>237</v>
      </c>
      <c r="O2977" s="27">
        <v>46055</v>
      </c>
    </row>
    <row r="2978" spans="2:15" hidden="1" x14ac:dyDescent="0.3">
      <c r="B2978">
        <v>2278263</v>
      </c>
      <c r="C2978" t="s">
        <v>231</v>
      </c>
      <c r="D2978">
        <v>22674</v>
      </c>
      <c r="E2978" t="s">
        <v>150</v>
      </c>
      <c r="F2978" t="s">
        <v>160</v>
      </c>
      <c r="G2978" s="28">
        <v>1</v>
      </c>
      <c r="H2978" s="32">
        <v>0.22</v>
      </c>
      <c r="I2978" s="32">
        <v>87.25</v>
      </c>
      <c r="J2978" t="s">
        <v>239</v>
      </c>
      <c r="K2978" t="s">
        <v>245</v>
      </c>
      <c r="L2978" t="s">
        <v>235</v>
      </c>
      <c r="M2978" t="s">
        <v>236</v>
      </c>
      <c r="N2978" t="s">
        <v>240</v>
      </c>
      <c r="O2978" s="27">
        <v>46063</v>
      </c>
    </row>
    <row r="2979" spans="2:15" hidden="1" x14ac:dyDescent="0.3">
      <c r="B2979">
        <v>15083827</v>
      </c>
      <c r="C2979" t="s">
        <v>260</v>
      </c>
      <c r="D2979">
        <v>69493</v>
      </c>
      <c r="E2979" t="s">
        <v>150</v>
      </c>
      <c r="F2979" t="s">
        <v>271</v>
      </c>
      <c r="G2979" s="28">
        <v>1</v>
      </c>
      <c r="H2979" s="32">
        <v>0.22</v>
      </c>
      <c r="I2979" s="32">
        <v>18.47</v>
      </c>
      <c r="J2979" t="s">
        <v>239</v>
      </c>
      <c r="K2979" t="s">
        <v>245</v>
      </c>
      <c r="L2979" t="s">
        <v>235</v>
      </c>
      <c r="M2979" t="s">
        <v>236</v>
      </c>
      <c r="N2979" t="s">
        <v>240</v>
      </c>
      <c r="O2979" s="27">
        <v>46063</v>
      </c>
    </row>
    <row r="2980" spans="2:15" hidden="1" x14ac:dyDescent="0.3">
      <c r="B2980">
        <v>18805586</v>
      </c>
      <c r="C2980" t="s">
        <v>260</v>
      </c>
      <c r="D2980">
        <v>23410</v>
      </c>
      <c r="E2980" t="s">
        <v>150</v>
      </c>
      <c r="F2980" t="s">
        <v>271</v>
      </c>
      <c r="G2980" s="28">
        <v>1</v>
      </c>
      <c r="H2980" s="32">
        <v>0.22</v>
      </c>
      <c r="I2980" s="32">
        <v>18.46</v>
      </c>
      <c r="J2980" t="s">
        <v>239</v>
      </c>
      <c r="K2980" t="s">
        <v>245</v>
      </c>
      <c r="L2980" t="s">
        <v>235</v>
      </c>
      <c r="M2980" t="s">
        <v>236</v>
      </c>
      <c r="N2980" t="s">
        <v>240</v>
      </c>
      <c r="O2980" s="27">
        <v>46063</v>
      </c>
    </row>
    <row r="2981" spans="2:15" hidden="1" x14ac:dyDescent="0.3">
      <c r="B2981">
        <v>389066</v>
      </c>
      <c r="C2981" t="s">
        <v>260</v>
      </c>
      <c r="D2981">
        <v>21559</v>
      </c>
      <c r="E2981" t="s">
        <v>150</v>
      </c>
      <c r="F2981" t="s">
        <v>259</v>
      </c>
      <c r="G2981" s="28">
        <v>1</v>
      </c>
      <c r="H2981" s="32">
        <v>0.22</v>
      </c>
      <c r="I2981" s="32">
        <v>21.5</v>
      </c>
      <c r="J2981" t="s">
        <v>239</v>
      </c>
      <c r="K2981" t="s">
        <v>245</v>
      </c>
      <c r="L2981" t="s">
        <v>235</v>
      </c>
      <c r="M2981" t="s">
        <v>236</v>
      </c>
      <c r="N2981" t="s">
        <v>240</v>
      </c>
      <c r="O2981" s="27">
        <v>46072</v>
      </c>
    </row>
    <row r="2982" spans="2:15" hidden="1" x14ac:dyDescent="0.3">
      <c r="B2982">
        <v>15389148</v>
      </c>
      <c r="C2982" t="s">
        <v>260</v>
      </c>
      <c r="D2982">
        <v>40901</v>
      </c>
      <c r="E2982" t="s">
        <v>150</v>
      </c>
      <c r="F2982" t="s">
        <v>272</v>
      </c>
      <c r="G2982" s="28">
        <v>2</v>
      </c>
      <c r="H2982" s="32">
        <v>0.22</v>
      </c>
      <c r="I2982" s="32">
        <v>13.07</v>
      </c>
      <c r="J2982" t="s">
        <v>239</v>
      </c>
      <c r="K2982" t="s">
        <v>245</v>
      </c>
      <c r="L2982" t="s">
        <v>235</v>
      </c>
      <c r="M2982" t="s">
        <v>236</v>
      </c>
      <c r="N2982" t="s">
        <v>237</v>
      </c>
      <c r="O2982" s="27">
        <v>46055</v>
      </c>
    </row>
    <row r="2983" spans="2:15" hidden="1" x14ac:dyDescent="0.3">
      <c r="B2983">
        <v>4535206</v>
      </c>
      <c r="C2983" t="s">
        <v>231</v>
      </c>
      <c r="D2983">
        <v>68542</v>
      </c>
      <c r="E2983" t="s">
        <v>150</v>
      </c>
      <c r="F2983" t="s">
        <v>379</v>
      </c>
      <c r="G2983" s="28">
        <v>1</v>
      </c>
      <c r="H2983" s="32">
        <v>0.21</v>
      </c>
      <c r="I2983" s="32">
        <v>13.82</v>
      </c>
      <c r="J2983" t="s">
        <v>330</v>
      </c>
      <c r="K2983" t="s">
        <v>245</v>
      </c>
      <c r="L2983" t="s">
        <v>235</v>
      </c>
      <c r="M2983" t="s">
        <v>236</v>
      </c>
      <c r="N2983" t="s">
        <v>240</v>
      </c>
      <c r="O2983" s="27">
        <v>46055</v>
      </c>
    </row>
    <row r="2984" spans="2:15" hidden="1" x14ac:dyDescent="0.3">
      <c r="B2984">
        <v>2579681</v>
      </c>
      <c r="C2984" t="s">
        <v>231</v>
      </c>
      <c r="D2984">
        <v>25619</v>
      </c>
      <c r="E2984" t="s">
        <v>150</v>
      </c>
      <c r="F2984" t="s">
        <v>160</v>
      </c>
      <c r="G2984" s="28">
        <v>1</v>
      </c>
      <c r="H2984" s="32">
        <v>0.21</v>
      </c>
      <c r="I2984" s="32">
        <v>87.3</v>
      </c>
      <c r="J2984" t="s">
        <v>239</v>
      </c>
      <c r="K2984" t="s">
        <v>245</v>
      </c>
      <c r="L2984" t="s">
        <v>235</v>
      </c>
      <c r="M2984" t="s">
        <v>236</v>
      </c>
      <c r="N2984" t="s">
        <v>240</v>
      </c>
      <c r="O2984" s="27">
        <v>46063</v>
      </c>
    </row>
    <row r="2985" spans="2:15" hidden="1" x14ac:dyDescent="0.3">
      <c r="B2985">
        <v>2735150</v>
      </c>
      <c r="C2985" t="s">
        <v>231</v>
      </c>
      <c r="D2985">
        <v>49894</v>
      </c>
      <c r="E2985" t="s">
        <v>150</v>
      </c>
      <c r="F2985" t="s">
        <v>160</v>
      </c>
      <c r="G2985" s="28">
        <v>1</v>
      </c>
      <c r="H2985" s="32">
        <v>0.21</v>
      </c>
      <c r="I2985" s="32">
        <v>87.26</v>
      </c>
      <c r="J2985" t="s">
        <v>239</v>
      </c>
      <c r="K2985" t="s">
        <v>245</v>
      </c>
      <c r="L2985" t="s">
        <v>235</v>
      </c>
      <c r="M2985" t="s">
        <v>236</v>
      </c>
      <c r="N2985" t="s">
        <v>240</v>
      </c>
      <c r="O2985" s="27">
        <v>46063</v>
      </c>
    </row>
    <row r="2986" spans="2:15" hidden="1" x14ac:dyDescent="0.3">
      <c r="B2986">
        <v>284340</v>
      </c>
      <c r="C2986" t="s">
        <v>260</v>
      </c>
      <c r="D2986">
        <v>23410</v>
      </c>
      <c r="E2986" t="s">
        <v>150</v>
      </c>
      <c r="F2986" t="s">
        <v>272</v>
      </c>
      <c r="G2986" s="28">
        <v>3</v>
      </c>
      <c r="H2986" s="32">
        <v>0.21</v>
      </c>
      <c r="I2986" s="32">
        <v>19.61</v>
      </c>
      <c r="J2986" t="s">
        <v>239</v>
      </c>
      <c r="K2986" t="s">
        <v>245</v>
      </c>
      <c r="L2986" t="s">
        <v>235</v>
      </c>
      <c r="M2986" t="s">
        <v>236</v>
      </c>
      <c r="N2986" t="s">
        <v>237</v>
      </c>
      <c r="O2986" s="27">
        <v>46055</v>
      </c>
    </row>
    <row r="2987" spans="2:15" hidden="1" x14ac:dyDescent="0.3">
      <c r="B2987">
        <v>2255037</v>
      </c>
      <c r="C2987" t="s">
        <v>231</v>
      </c>
      <c r="D2987">
        <v>22674</v>
      </c>
      <c r="E2987" t="s">
        <v>150</v>
      </c>
      <c r="F2987" t="s">
        <v>271</v>
      </c>
      <c r="G2987" s="28">
        <v>1</v>
      </c>
      <c r="H2987" s="32">
        <v>0.2</v>
      </c>
      <c r="I2987" s="32">
        <v>18.46</v>
      </c>
      <c r="J2987" t="s">
        <v>239</v>
      </c>
      <c r="K2987" t="s">
        <v>245</v>
      </c>
      <c r="L2987" t="s">
        <v>235</v>
      </c>
      <c r="M2987" t="s">
        <v>236</v>
      </c>
      <c r="N2987" t="s">
        <v>237</v>
      </c>
      <c r="O2987" s="27">
        <v>46063</v>
      </c>
    </row>
    <row r="2988" spans="2:15" hidden="1" x14ac:dyDescent="0.3">
      <c r="B2988">
        <v>2747758</v>
      </c>
      <c r="C2988" t="s">
        <v>231</v>
      </c>
      <c r="D2988">
        <v>96553</v>
      </c>
      <c r="E2988" t="s">
        <v>150</v>
      </c>
      <c r="F2988" t="s">
        <v>271</v>
      </c>
      <c r="G2988" s="28">
        <v>1</v>
      </c>
      <c r="H2988" s="32">
        <v>0.2</v>
      </c>
      <c r="I2988" s="32">
        <v>18.47</v>
      </c>
      <c r="J2988" t="s">
        <v>239</v>
      </c>
      <c r="K2988" t="s">
        <v>245</v>
      </c>
      <c r="L2988" t="s">
        <v>235</v>
      </c>
      <c r="M2988" t="s">
        <v>236</v>
      </c>
      <c r="N2988" t="s">
        <v>240</v>
      </c>
      <c r="O2988" s="27">
        <v>46063</v>
      </c>
    </row>
    <row r="2989" spans="2:15" hidden="1" x14ac:dyDescent="0.3">
      <c r="B2989">
        <v>3666312</v>
      </c>
      <c r="C2989" t="s">
        <v>231</v>
      </c>
      <c r="D2989">
        <v>21468</v>
      </c>
      <c r="E2989" t="s">
        <v>150</v>
      </c>
      <c r="F2989" t="s">
        <v>272</v>
      </c>
      <c r="G2989" s="28">
        <v>2</v>
      </c>
      <c r="H2989" s="32">
        <v>0.2</v>
      </c>
      <c r="I2989" s="32">
        <v>13.07</v>
      </c>
      <c r="J2989" t="s">
        <v>239</v>
      </c>
      <c r="K2989" t="s">
        <v>245</v>
      </c>
      <c r="L2989" t="s">
        <v>235</v>
      </c>
      <c r="M2989" t="s">
        <v>236</v>
      </c>
      <c r="N2989" t="s">
        <v>237</v>
      </c>
      <c r="O2989" s="27">
        <v>46055</v>
      </c>
    </row>
    <row r="2990" spans="2:15" hidden="1" x14ac:dyDescent="0.3">
      <c r="B2990">
        <v>8518733</v>
      </c>
      <c r="C2990" t="s">
        <v>260</v>
      </c>
      <c r="D2990">
        <v>40901</v>
      </c>
      <c r="E2990" t="s">
        <v>150</v>
      </c>
      <c r="F2990" t="s">
        <v>274</v>
      </c>
      <c r="G2990" s="28">
        <v>1</v>
      </c>
      <c r="H2990" s="32">
        <v>0.2</v>
      </c>
      <c r="I2990" s="32">
        <v>14.67</v>
      </c>
      <c r="J2990" t="s">
        <v>239</v>
      </c>
      <c r="K2990" t="s">
        <v>245</v>
      </c>
      <c r="L2990" t="s">
        <v>235</v>
      </c>
      <c r="M2990" t="s">
        <v>236</v>
      </c>
      <c r="N2990" t="s">
        <v>240</v>
      </c>
      <c r="O2990" s="27">
        <v>46055</v>
      </c>
    </row>
    <row r="2991" spans="2:15" hidden="1" x14ac:dyDescent="0.3">
      <c r="B2991">
        <v>4051319</v>
      </c>
      <c r="C2991" t="s">
        <v>231</v>
      </c>
      <c r="D2991">
        <v>22674</v>
      </c>
      <c r="E2991" t="s">
        <v>150</v>
      </c>
      <c r="F2991" t="s">
        <v>271</v>
      </c>
      <c r="G2991" s="28">
        <v>1</v>
      </c>
      <c r="H2991" s="32">
        <v>0.19</v>
      </c>
      <c r="I2991" s="32">
        <v>18.45</v>
      </c>
      <c r="J2991" t="s">
        <v>239</v>
      </c>
      <c r="K2991" t="s">
        <v>245</v>
      </c>
      <c r="L2991" t="s">
        <v>235</v>
      </c>
      <c r="M2991" t="s">
        <v>236</v>
      </c>
      <c r="N2991" t="s">
        <v>237</v>
      </c>
      <c r="O2991" s="27">
        <v>46063</v>
      </c>
    </row>
    <row r="2992" spans="2:15" hidden="1" x14ac:dyDescent="0.3">
      <c r="B2992">
        <v>11593572</v>
      </c>
      <c r="C2992" t="s">
        <v>231</v>
      </c>
      <c r="D2992">
        <v>22674</v>
      </c>
      <c r="E2992" t="s">
        <v>150</v>
      </c>
      <c r="F2992" t="s">
        <v>386</v>
      </c>
      <c r="G2992" s="28">
        <v>1</v>
      </c>
      <c r="H2992" s="32">
        <v>0.19</v>
      </c>
      <c r="I2992" s="32">
        <v>97.78</v>
      </c>
      <c r="J2992" t="s">
        <v>267</v>
      </c>
      <c r="K2992" t="s">
        <v>245</v>
      </c>
      <c r="L2992" t="s">
        <v>235</v>
      </c>
      <c r="M2992" t="s">
        <v>236</v>
      </c>
      <c r="N2992" t="s">
        <v>240</v>
      </c>
      <c r="O2992" s="27">
        <v>46056</v>
      </c>
    </row>
    <row r="2993" spans="2:15" hidden="1" x14ac:dyDescent="0.3">
      <c r="B2993">
        <v>18872460</v>
      </c>
      <c r="C2993" t="s">
        <v>231</v>
      </c>
      <c r="D2993">
        <v>74304</v>
      </c>
      <c r="E2993" t="s">
        <v>150</v>
      </c>
      <c r="F2993" t="s">
        <v>361</v>
      </c>
      <c r="G2993" s="28">
        <v>1</v>
      </c>
      <c r="H2993" s="32">
        <v>0.19</v>
      </c>
      <c r="I2993" s="32">
        <v>36.94</v>
      </c>
      <c r="J2993" t="s">
        <v>330</v>
      </c>
      <c r="K2993" t="s">
        <v>245</v>
      </c>
      <c r="L2993" t="s">
        <v>235</v>
      </c>
      <c r="M2993" t="s">
        <v>236</v>
      </c>
      <c r="N2993" t="s">
        <v>240</v>
      </c>
      <c r="O2993" s="27">
        <v>46055</v>
      </c>
    </row>
    <row r="2994" spans="2:15" hidden="1" x14ac:dyDescent="0.3">
      <c r="B2994">
        <v>366105</v>
      </c>
      <c r="C2994" t="s">
        <v>231</v>
      </c>
      <c r="D2994">
        <v>69519</v>
      </c>
      <c r="E2994" t="s">
        <v>150</v>
      </c>
      <c r="F2994" t="s">
        <v>327</v>
      </c>
      <c r="G2994" s="28">
        <v>2</v>
      </c>
      <c r="H2994" s="32">
        <v>0.19</v>
      </c>
      <c r="I2994" s="32">
        <v>166.59</v>
      </c>
      <c r="J2994" t="s">
        <v>267</v>
      </c>
      <c r="K2994" t="s">
        <v>245</v>
      </c>
      <c r="L2994" t="s">
        <v>235</v>
      </c>
      <c r="M2994" t="s">
        <v>236</v>
      </c>
      <c r="N2994" t="s">
        <v>240</v>
      </c>
      <c r="O2994" s="27">
        <v>46063</v>
      </c>
    </row>
    <row r="2995" spans="2:15" hidden="1" x14ac:dyDescent="0.3">
      <c r="B2995">
        <v>11593572</v>
      </c>
      <c r="C2995" t="s">
        <v>231</v>
      </c>
      <c r="D2995">
        <v>22674</v>
      </c>
      <c r="E2995" t="s">
        <v>150</v>
      </c>
      <c r="F2995" t="s">
        <v>405</v>
      </c>
      <c r="G2995" s="28">
        <v>1</v>
      </c>
      <c r="H2995" s="32">
        <v>0.19</v>
      </c>
      <c r="I2995" s="32">
        <v>103.89</v>
      </c>
      <c r="J2995" t="s">
        <v>267</v>
      </c>
      <c r="K2995" t="s">
        <v>245</v>
      </c>
      <c r="L2995" t="s">
        <v>235</v>
      </c>
      <c r="M2995" t="s">
        <v>236</v>
      </c>
      <c r="N2995" t="s">
        <v>237</v>
      </c>
      <c r="O2995" s="27">
        <v>46056</v>
      </c>
    </row>
    <row r="2996" spans="2:15" hidden="1" x14ac:dyDescent="0.3">
      <c r="B2996">
        <v>14521528</v>
      </c>
      <c r="C2996" t="s">
        <v>260</v>
      </c>
      <c r="D2996">
        <v>25619</v>
      </c>
      <c r="E2996" t="s">
        <v>150</v>
      </c>
      <c r="F2996" t="s">
        <v>271</v>
      </c>
      <c r="G2996" s="28">
        <v>1</v>
      </c>
      <c r="H2996" s="32">
        <v>0.19</v>
      </c>
      <c r="I2996" s="32">
        <v>18.47</v>
      </c>
      <c r="J2996" t="s">
        <v>239</v>
      </c>
      <c r="K2996" t="s">
        <v>245</v>
      </c>
      <c r="L2996" t="s">
        <v>235</v>
      </c>
      <c r="M2996" t="s">
        <v>236</v>
      </c>
      <c r="N2996" t="s">
        <v>240</v>
      </c>
      <c r="O2996" s="27">
        <v>46063</v>
      </c>
    </row>
    <row r="2997" spans="2:15" hidden="1" x14ac:dyDescent="0.3">
      <c r="B2997">
        <v>2091913</v>
      </c>
      <c r="C2997" t="s">
        <v>260</v>
      </c>
      <c r="D2997">
        <v>49894</v>
      </c>
      <c r="E2997" t="s">
        <v>150</v>
      </c>
      <c r="F2997" t="s">
        <v>271</v>
      </c>
      <c r="G2997" s="28">
        <v>1</v>
      </c>
      <c r="H2997" s="32">
        <v>0.19</v>
      </c>
      <c r="I2997" s="32">
        <v>18.48</v>
      </c>
      <c r="J2997" t="s">
        <v>239</v>
      </c>
      <c r="K2997" t="s">
        <v>245</v>
      </c>
      <c r="L2997" t="s">
        <v>235</v>
      </c>
      <c r="M2997" t="s">
        <v>236</v>
      </c>
      <c r="N2997" t="s">
        <v>237</v>
      </c>
      <c r="O2997" s="27">
        <v>46063</v>
      </c>
    </row>
    <row r="2998" spans="2:15" hidden="1" x14ac:dyDescent="0.3">
      <c r="B2998">
        <v>8518733</v>
      </c>
      <c r="C2998" t="s">
        <v>260</v>
      </c>
      <c r="D2998">
        <v>40901</v>
      </c>
      <c r="E2998" t="s">
        <v>150</v>
      </c>
      <c r="F2998" t="s">
        <v>263</v>
      </c>
      <c r="G2998" s="28">
        <v>1</v>
      </c>
      <c r="H2998" s="32">
        <v>0.19</v>
      </c>
      <c r="I2998" s="32">
        <v>13.81</v>
      </c>
      <c r="J2998" t="s">
        <v>239</v>
      </c>
      <c r="K2998" t="s">
        <v>245</v>
      </c>
      <c r="L2998" t="s">
        <v>235</v>
      </c>
      <c r="M2998" t="s">
        <v>236</v>
      </c>
      <c r="N2998" t="s">
        <v>237</v>
      </c>
      <c r="O2998" s="27">
        <v>46055</v>
      </c>
    </row>
    <row r="2999" spans="2:15" hidden="1" x14ac:dyDescent="0.3">
      <c r="B2999">
        <v>2973255</v>
      </c>
      <c r="C2999" t="s">
        <v>260</v>
      </c>
      <c r="D2999">
        <v>69519</v>
      </c>
      <c r="E2999" t="s">
        <v>150</v>
      </c>
      <c r="F2999" t="s">
        <v>327</v>
      </c>
      <c r="G2999" s="28">
        <v>2</v>
      </c>
      <c r="H2999" s="32">
        <v>0.19</v>
      </c>
      <c r="I2999" s="32">
        <v>166.6</v>
      </c>
      <c r="J2999" t="s">
        <v>267</v>
      </c>
      <c r="K2999" t="s">
        <v>245</v>
      </c>
      <c r="L2999" t="s">
        <v>235</v>
      </c>
      <c r="M2999" t="s">
        <v>236</v>
      </c>
      <c r="N2999" t="s">
        <v>240</v>
      </c>
      <c r="O2999" s="27">
        <v>46063</v>
      </c>
    </row>
    <row r="3000" spans="2:15" hidden="1" x14ac:dyDescent="0.3">
      <c r="B3000">
        <v>3548394</v>
      </c>
      <c r="C3000" t="s">
        <v>260</v>
      </c>
      <c r="D3000">
        <v>25104</v>
      </c>
      <c r="E3000" t="s">
        <v>150</v>
      </c>
      <c r="F3000" t="s">
        <v>313</v>
      </c>
      <c r="G3000" s="28">
        <v>1</v>
      </c>
      <c r="H3000" s="32">
        <v>0.19</v>
      </c>
      <c r="I3000" s="32">
        <v>110.75</v>
      </c>
      <c r="J3000" t="s">
        <v>267</v>
      </c>
      <c r="K3000" t="s">
        <v>245</v>
      </c>
      <c r="L3000" t="s">
        <v>235</v>
      </c>
      <c r="M3000" t="s">
        <v>236</v>
      </c>
      <c r="N3000" t="s">
        <v>237</v>
      </c>
      <c r="O3000" s="27">
        <v>46057</v>
      </c>
    </row>
    <row r="3001" spans="2:15" hidden="1" x14ac:dyDescent="0.3">
      <c r="B3001">
        <v>18533421</v>
      </c>
      <c r="C3001" t="s">
        <v>231</v>
      </c>
      <c r="D3001">
        <v>40901</v>
      </c>
      <c r="E3001" t="s">
        <v>150</v>
      </c>
      <c r="F3001" t="s">
        <v>263</v>
      </c>
      <c r="G3001" s="28">
        <v>1</v>
      </c>
      <c r="H3001" s="32">
        <v>0.18</v>
      </c>
      <c r="I3001" s="32">
        <v>13.81</v>
      </c>
      <c r="J3001" t="s">
        <v>239</v>
      </c>
      <c r="K3001" t="s">
        <v>245</v>
      </c>
      <c r="L3001" t="s">
        <v>235</v>
      </c>
      <c r="M3001" t="s">
        <v>236</v>
      </c>
      <c r="N3001" t="s">
        <v>240</v>
      </c>
      <c r="O3001" s="27">
        <v>46055</v>
      </c>
    </row>
    <row r="3002" spans="2:15" hidden="1" x14ac:dyDescent="0.3">
      <c r="B3002">
        <v>591394</v>
      </c>
      <c r="C3002" t="s">
        <v>231</v>
      </c>
      <c r="D3002">
        <v>69493</v>
      </c>
      <c r="E3002" t="s">
        <v>150</v>
      </c>
      <c r="F3002" t="s">
        <v>160</v>
      </c>
      <c r="G3002" s="28">
        <v>1</v>
      </c>
      <c r="H3002" s="32">
        <v>0.18</v>
      </c>
      <c r="I3002" s="32">
        <v>87.08</v>
      </c>
      <c r="J3002" t="s">
        <v>239</v>
      </c>
      <c r="K3002" t="s">
        <v>245</v>
      </c>
      <c r="L3002" t="s">
        <v>235</v>
      </c>
      <c r="M3002" t="s">
        <v>236</v>
      </c>
      <c r="N3002" t="s">
        <v>240</v>
      </c>
      <c r="O3002" s="27">
        <v>46063</v>
      </c>
    </row>
    <row r="3003" spans="2:15" hidden="1" x14ac:dyDescent="0.3">
      <c r="B3003">
        <v>4415330</v>
      </c>
      <c r="C3003" t="s">
        <v>260</v>
      </c>
      <c r="D3003">
        <v>22674</v>
      </c>
      <c r="E3003" t="s">
        <v>150</v>
      </c>
      <c r="F3003" t="s">
        <v>271</v>
      </c>
      <c r="G3003" s="28">
        <v>1</v>
      </c>
      <c r="H3003" s="32">
        <v>0.18</v>
      </c>
      <c r="I3003" s="32">
        <v>18.47</v>
      </c>
      <c r="J3003" t="s">
        <v>239</v>
      </c>
      <c r="K3003" t="s">
        <v>245</v>
      </c>
      <c r="L3003" t="s">
        <v>235</v>
      </c>
      <c r="M3003" t="s">
        <v>236</v>
      </c>
      <c r="N3003" t="s">
        <v>240</v>
      </c>
      <c r="O3003" s="27">
        <v>46063</v>
      </c>
    </row>
    <row r="3004" spans="2:15" hidden="1" x14ac:dyDescent="0.3">
      <c r="B3004">
        <v>8518733</v>
      </c>
      <c r="C3004" t="s">
        <v>260</v>
      </c>
      <c r="D3004">
        <v>40901</v>
      </c>
      <c r="E3004" t="s">
        <v>150</v>
      </c>
      <c r="F3004" t="s">
        <v>272</v>
      </c>
      <c r="G3004" s="28">
        <v>2</v>
      </c>
      <c r="H3004" s="32">
        <v>0.18</v>
      </c>
      <c r="I3004" s="32">
        <v>13.07</v>
      </c>
      <c r="J3004" t="s">
        <v>239</v>
      </c>
      <c r="K3004" t="s">
        <v>245</v>
      </c>
      <c r="L3004" t="s">
        <v>235</v>
      </c>
      <c r="M3004" t="s">
        <v>236</v>
      </c>
      <c r="N3004" t="s">
        <v>237</v>
      </c>
      <c r="O3004" s="27">
        <v>46055</v>
      </c>
    </row>
    <row r="3005" spans="2:15" hidden="1" x14ac:dyDescent="0.3">
      <c r="B3005">
        <v>8668372</v>
      </c>
      <c r="C3005" t="s">
        <v>231</v>
      </c>
      <c r="D3005">
        <v>25619</v>
      </c>
      <c r="E3005" t="s">
        <v>150</v>
      </c>
      <c r="F3005" t="s">
        <v>271</v>
      </c>
      <c r="G3005" s="28">
        <v>1</v>
      </c>
      <c r="H3005" s="32">
        <v>0.17</v>
      </c>
      <c r="I3005" s="32">
        <v>17.649999999999999</v>
      </c>
      <c r="J3005" t="s">
        <v>239</v>
      </c>
      <c r="K3005" t="s">
        <v>245</v>
      </c>
      <c r="L3005" t="s">
        <v>235</v>
      </c>
      <c r="M3005" t="s">
        <v>236</v>
      </c>
      <c r="N3005" t="s">
        <v>237</v>
      </c>
      <c r="O3005" s="27">
        <v>46055</v>
      </c>
    </row>
    <row r="3006" spans="2:15" hidden="1" x14ac:dyDescent="0.3">
      <c r="B3006">
        <v>11593572</v>
      </c>
      <c r="C3006" t="s">
        <v>231</v>
      </c>
      <c r="D3006">
        <v>22674</v>
      </c>
      <c r="E3006" t="s">
        <v>150</v>
      </c>
      <c r="F3006" t="s">
        <v>308</v>
      </c>
      <c r="G3006" s="28">
        <v>1</v>
      </c>
      <c r="H3006" s="32">
        <v>0.17</v>
      </c>
      <c r="I3006" s="32">
        <v>84.59</v>
      </c>
      <c r="J3006" t="s">
        <v>267</v>
      </c>
      <c r="K3006" t="s">
        <v>245</v>
      </c>
      <c r="L3006" t="s">
        <v>235</v>
      </c>
      <c r="M3006" t="s">
        <v>236</v>
      </c>
      <c r="N3006" t="s">
        <v>237</v>
      </c>
      <c r="O3006" s="27">
        <v>46056</v>
      </c>
    </row>
    <row r="3007" spans="2:15" hidden="1" x14ac:dyDescent="0.3">
      <c r="B3007">
        <v>535004</v>
      </c>
      <c r="C3007" t="s">
        <v>231</v>
      </c>
      <c r="D3007">
        <v>22674</v>
      </c>
      <c r="E3007" t="s">
        <v>150</v>
      </c>
      <c r="F3007" t="s">
        <v>271</v>
      </c>
      <c r="G3007" s="28">
        <v>1</v>
      </c>
      <c r="H3007" s="32">
        <v>0.16</v>
      </c>
      <c r="I3007" s="32">
        <v>17.64</v>
      </c>
      <c r="J3007" t="s">
        <v>239</v>
      </c>
      <c r="K3007" t="s">
        <v>245</v>
      </c>
      <c r="L3007" t="s">
        <v>235</v>
      </c>
      <c r="M3007" t="s">
        <v>236</v>
      </c>
      <c r="N3007" t="s">
        <v>240</v>
      </c>
      <c r="O3007" s="27">
        <v>46055</v>
      </c>
    </row>
    <row r="3008" spans="2:15" hidden="1" x14ac:dyDescent="0.3">
      <c r="B3008">
        <v>575946</v>
      </c>
      <c r="C3008" t="s">
        <v>231</v>
      </c>
      <c r="D3008">
        <v>25619</v>
      </c>
      <c r="E3008" t="s">
        <v>150</v>
      </c>
      <c r="F3008" t="s">
        <v>263</v>
      </c>
      <c r="G3008" s="28">
        <v>2</v>
      </c>
      <c r="H3008" s="32">
        <v>0.16</v>
      </c>
      <c r="I3008" s="32">
        <v>27.63</v>
      </c>
      <c r="J3008" t="s">
        <v>239</v>
      </c>
      <c r="K3008" t="s">
        <v>245</v>
      </c>
      <c r="L3008" t="s">
        <v>235</v>
      </c>
      <c r="M3008" t="s">
        <v>236</v>
      </c>
      <c r="N3008" t="s">
        <v>240</v>
      </c>
      <c r="O3008" s="27">
        <v>46055</v>
      </c>
    </row>
    <row r="3009" spans="2:15" hidden="1" x14ac:dyDescent="0.3">
      <c r="B3009">
        <v>3845505</v>
      </c>
      <c r="C3009" t="s">
        <v>260</v>
      </c>
      <c r="D3009">
        <v>22674</v>
      </c>
      <c r="E3009" t="s">
        <v>150</v>
      </c>
      <c r="F3009" t="s">
        <v>395</v>
      </c>
      <c r="G3009" s="28">
        <v>4</v>
      </c>
      <c r="H3009" s="32">
        <v>0.16</v>
      </c>
      <c r="I3009" s="32">
        <v>26.2</v>
      </c>
      <c r="J3009" t="s">
        <v>330</v>
      </c>
      <c r="K3009" t="s">
        <v>234</v>
      </c>
      <c r="L3009" t="s">
        <v>235</v>
      </c>
      <c r="M3009" t="s">
        <v>236</v>
      </c>
      <c r="N3009" t="s">
        <v>237</v>
      </c>
      <c r="O3009" s="27">
        <v>46056</v>
      </c>
    </row>
    <row r="3010" spans="2:15" hidden="1" x14ac:dyDescent="0.3">
      <c r="B3010">
        <v>2496015</v>
      </c>
      <c r="C3010" t="s">
        <v>231</v>
      </c>
      <c r="D3010">
        <v>38517</v>
      </c>
      <c r="E3010" t="s">
        <v>150</v>
      </c>
      <c r="F3010" t="s">
        <v>287</v>
      </c>
      <c r="G3010" s="28">
        <v>1</v>
      </c>
      <c r="H3010" s="32">
        <v>0.15</v>
      </c>
      <c r="I3010" s="32">
        <v>31.36</v>
      </c>
      <c r="J3010" t="s">
        <v>239</v>
      </c>
      <c r="K3010" t="s">
        <v>245</v>
      </c>
      <c r="L3010" t="s">
        <v>235</v>
      </c>
      <c r="M3010" t="s">
        <v>236</v>
      </c>
      <c r="N3010" t="s">
        <v>237</v>
      </c>
      <c r="O3010" s="27">
        <v>46063</v>
      </c>
    </row>
    <row r="3011" spans="2:15" hidden="1" x14ac:dyDescent="0.3">
      <c r="B3011">
        <v>18872460</v>
      </c>
      <c r="C3011" t="s">
        <v>231</v>
      </c>
      <c r="D3011">
        <v>74304</v>
      </c>
      <c r="E3011" t="s">
        <v>150</v>
      </c>
      <c r="F3011" t="s">
        <v>377</v>
      </c>
      <c r="G3011" s="28">
        <v>1</v>
      </c>
      <c r="H3011" s="32">
        <v>0.15</v>
      </c>
      <c r="I3011" s="32">
        <v>30.1</v>
      </c>
      <c r="J3011" t="s">
        <v>330</v>
      </c>
      <c r="K3011" t="s">
        <v>245</v>
      </c>
      <c r="L3011" t="s">
        <v>235</v>
      </c>
      <c r="M3011" t="s">
        <v>236</v>
      </c>
      <c r="N3011" t="s">
        <v>240</v>
      </c>
      <c r="O3011" s="27">
        <v>46055</v>
      </c>
    </row>
    <row r="3012" spans="2:15" hidden="1" x14ac:dyDescent="0.3">
      <c r="B3012">
        <v>2328302</v>
      </c>
      <c r="C3012" t="s">
        <v>231</v>
      </c>
      <c r="D3012">
        <v>22674</v>
      </c>
      <c r="E3012" t="s">
        <v>150</v>
      </c>
      <c r="F3012" t="s">
        <v>246</v>
      </c>
      <c r="G3012" s="28">
        <v>1</v>
      </c>
      <c r="H3012" s="32">
        <v>0.15</v>
      </c>
      <c r="I3012" s="32">
        <v>36.950000000000003</v>
      </c>
      <c r="J3012" t="s">
        <v>239</v>
      </c>
      <c r="K3012" t="s">
        <v>245</v>
      </c>
      <c r="L3012" t="s">
        <v>235</v>
      </c>
      <c r="M3012" t="s">
        <v>236</v>
      </c>
      <c r="N3012" t="s">
        <v>237</v>
      </c>
      <c r="O3012" s="27">
        <v>46055</v>
      </c>
    </row>
    <row r="3013" spans="2:15" hidden="1" x14ac:dyDescent="0.3">
      <c r="B3013">
        <v>8218280</v>
      </c>
      <c r="C3013" t="s">
        <v>260</v>
      </c>
      <c r="D3013">
        <v>21559</v>
      </c>
      <c r="E3013" t="s">
        <v>150</v>
      </c>
      <c r="F3013" t="s">
        <v>400</v>
      </c>
      <c r="G3013" s="28">
        <v>1</v>
      </c>
      <c r="H3013" s="32">
        <v>0.14000000000000001</v>
      </c>
      <c r="I3013" s="32">
        <v>9.1300000000000008</v>
      </c>
      <c r="J3013" t="s">
        <v>267</v>
      </c>
      <c r="K3013" t="s">
        <v>245</v>
      </c>
      <c r="L3013" t="s">
        <v>235</v>
      </c>
      <c r="M3013" t="s">
        <v>236</v>
      </c>
      <c r="N3013" t="s">
        <v>237</v>
      </c>
      <c r="O3013" s="27">
        <v>46062</v>
      </c>
    </row>
    <row r="3014" spans="2:15" hidden="1" x14ac:dyDescent="0.3">
      <c r="B3014">
        <v>535004</v>
      </c>
      <c r="C3014" t="s">
        <v>231</v>
      </c>
      <c r="D3014">
        <v>22674</v>
      </c>
      <c r="E3014" t="s">
        <v>150</v>
      </c>
      <c r="F3014" t="s">
        <v>274</v>
      </c>
      <c r="G3014" s="28">
        <v>1</v>
      </c>
      <c r="H3014" s="32">
        <v>0.13</v>
      </c>
      <c r="I3014" s="32">
        <v>14.68</v>
      </c>
      <c r="J3014" t="s">
        <v>239</v>
      </c>
      <c r="K3014" t="s">
        <v>245</v>
      </c>
      <c r="L3014" t="s">
        <v>235</v>
      </c>
      <c r="M3014" t="s">
        <v>236</v>
      </c>
      <c r="N3014" t="s">
        <v>237</v>
      </c>
      <c r="O3014" s="27">
        <v>46055</v>
      </c>
    </row>
    <row r="3015" spans="2:15" hidden="1" x14ac:dyDescent="0.3">
      <c r="B3015">
        <v>325473</v>
      </c>
      <c r="C3015" t="s">
        <v>231</v>
      </c>
      <c r="D3015">
        <v>22674</v>
      </c>
      <c r="E3015" t="s">
        <v>150</v>
      </c>
      <c r="F3015" t="s">
        <v>397</v>
      </c>
      <c r="G3015" s="28">
        <v>1</v>
      </c>
      <c r="H3015" s="32">
        <v>0.12</v>
      </c>
      <c r="I3015" s="32">
        <v>10.73</v>
      </c>
      <c r="J3015" t="s">
        <v>267</v>
      </c>
      <c r="K3015" t="s">
        <v>245</v>
      </c>
      <c r="L3015" t="s">
        <v>235</v>
      </c>
      <c r="M3015" t="s">
        <v>236</v>
      </c>
      <c r="N3015" t="s">
        <v>237</v>
      </c>
      <c r="O3015" s="27">
        <v>46056</v>
      </c>
    </row>
    <row r="3016" spans="2:15" hidden="1" x14ac:dyDescent="0.3">
      <c r="B3016">
        <v>535004</v>
      </c>
      <c r="C3016" t="s">
        <v>231</v>
      </c>
      <c r="D3016">
        <v>22674</v>
      </c>
      <c r="E3016" t="s">
        <v>150</v>
      </c>
      <c r="F3016" t="s">
        <v>263</v>
      </c>
      <c r="G3016" s="28">
        <v>1</v>
      </c>
      <c r="H3016" s="32">
        <v>0.12</v>
      </c>
      <c r="I3016" s="32">
        <v>13.81</v>
      </c>
      <c r="J3016" t="s">
        <v>239</v>
      </c>
      <c r="K3016" t="s">
        <v>245</v>
      </c>
      <c r="L3016" t="s">
        <v>235</v>
      </c>
      <c r="M3016" t="s">
        <v>236</v>
      </c>
      <c r="N3016" t="s">
        <v>237</v>
      </c>
      <c r="O3016" s="27">
        <v>46055</v>
      </c>
    </row>
    <row r="3017" spans="2:15" hidden="1" x14ac:dyDescent="0.3">
      <c r="B3017">
        <v>18872460</v>
      </c>
      <c r="C3017" t="s">
        <v>231</v>
      </c>
      <c r="D3017">
        <v>74304</v>
      </c>
      <c r="E3017" t="s">
        <v>150</v>
      </c>
      <c r="F3017" t="s">
        <v>384</v>
      </c>
      <c r="G3017" s="28">
        <v>1</v>
      </c>
      <c r="H3017" s="32">
        <v>0.11</v>
      </c>
      <c r="I3017" s="32">
        <v>21.51</v>
      </c>
      <c r="J3017" t="s">
        <v>330</v>
      </c>
      <c r="K3017" t="s">
        <v>245</v>
      </c>
      <c r="L3017" t="s">
        <v>235</v>
      </c>
      <c r="M3017" t="s">
        <v>236</v>
      </c>
      <c r="N3017" t="s">
        <v>237</v>
      </c>
      <c r="O3017" s="27">
        <v>46055</v>
      </c>
    </row>
    <row r="3018" spans="2:15" hidden="1" x14ac:dyDescent="0.3">
      <c r="B3018">
        <v>6027332</v>
      </c>
      <c r="C3018" t="s">
        <v>231</v>
      </c>
      <c r="D3018">
        <v>23410</v>
      </c>
      <c r="E3018" t="s">
        <v>150</v>
      </c>
      <c r="F3018" t="s">
        <v>384</v>
      </c>
      <c r="G3018" s="28">
        <v>1</v>
      </c>
      <c r="H3018" s="32">
        <v>0.11</v>
      </c>
      <c r="I3018" s="32">
        <v>21.51</v>
      </c>
      <c r="J3018" t="s">
        <v>330</v>
      </c>
      <c r="K3018" t="s">
        <v>245</v>
      </c>
      <c r="L3018" t="s">
        <v>235</v>
      </c>
      <c r="M3018" t="s">
        <v>236</v>
      </c>
      <c r="N3018" t="s">
        <v>237</v>
      </c>
      <c r="O3018" s="27">
        <v>46055</v>
      </c>
    </row>
    <row r="3019" spans="2:15" hidden="1" x14ac:dyDescent="0.3">
      <c r="B3019">
        <v>2411460</v>
      </c>
      <c r="C3019" t="s">
        <v>231</v>
      </c>
      <c r="D3019">
        <v>72444</v>
      </c>
      <c r="E3019" t="s">
        <v>150</v>
      </c>
      <c r="F3019" t="s">
        <v>274</v>
      </c>
      <c r="G3019" s="28">
        <v>1</v>
      </c>
      <c r="H3019" s="32">
        <v>0.11</v>
      </c>
      <c r="I3019" s="32">
        <v>14.68</v>
      </c>
      <c r="J3019" t="s">
        <v>239</v>
      </c>
      <c r="K3019" t="s">
        <v>245</v>
      </c>
      <c r="L3019" t="s">
        <v>235</v>
      </c>
      <c r="M3019" t="s">
        <v>236</v>
      </c>
      <c r="N3019" t="s">
        <v>240</v>
      </c>
      <c r="O3019" s="27">
        <v>46055</v>
      </c>
    </row>
    <row r="3020" spans="2:15" hidden="1" x14ac:dyDescent="0.3">
      <c r="B3020">
        <v>310157</v>
      </c>
      <c r="C3020" t="s">
        <v>231</v>
      </c>
      <c r="D3020">
        <v>68542</v>
      </c>
      <c r="E3020" t="s">
        <v>150</v>
      </c>
      <c r="F3020" t="s">
        <v>315</v>
      </c>
      <c r="G3020" s="28">
        <v>1</v>
      </c>
      <c r="H3020" s="32">
        <v>0.11</v>
      </c>
      <c r="I3020" s="32">
        <v>87.95</v>
      </c>
      <c r="J3020" t="s">
        <v>267</v>
      </c>
      <c r="K3020" t="s">
        <v>245</v>
      </c>
      <c r="L3020" t="s">
        <v>235</v>
      </c>
      <c r="M3020" t="s">
        <v>236</v>
      </c>
      <c r="N3020" t="s">
        <v>240</v>
      </c>
      <c r="O3020" s="27">
        <v>46057</v>
      </c>
    </row>
    <row r="3021" spans="2:15" hidden="1" x14ac:dyDescent="0.3">
      <c r="B3021">
        <v>7296870</v>
      </c>
      <c r="C3021" t="s">
        <v>231</v>
      </c>
      <c r="D3021">
        <v>96553</v>
      </c>
      <c r="E3021" t="s">
        <v>150</v>
      </c>
      <c r="F3021" t="s">
        <v>272</v>
      </c>
      <c r="G3021" s="28">
        <v>1</v>
      </c>
      <c r="H3021" s="32">
        <v>0.1</v>
      </c>
      <c r="I3021" s="32">
        <v>6.53</v>
      </c>
      <c r="J3021" t="s">
        <v>239</v>
      </c>
      <c r="K3021" t="s">
        <v>245</v>
      </c>
      <c r="L3021" t="s">
        <v>235</v>
      </c>
      <c r="M3021" t="s">
        <v>236</v>
      </c>
      <c r="N3021" t="s">
        <v>237</v>
      </c>
      <c r="O3021" s="27">
        <v>46055</v>
      </c>
    </row>
    <row r="3022" spans="2:15" hidden="1" x14ac:dyDescent="0.3">
      <c r="B3022">
        <v>6027332</v>
      </c>
      <c r="C3022" t="s">
        <v>231</v>
      </c>
      <c r="D3022">
        <v>23410</v>
      </c>
      <c r="E3022" t="s">
        <v>150</v>
      </c>
      <c r="F3022" t="s">
        <v>380</v>
      </c>
      <c r="G3022" s="28">
        <v>1</v>
      </c>
      <c r="H3022" s="32">
        <v>0.09</v>
      </c>
      <c r="I3022" s="32">
        <v>17.52</v>
      </c>
      <c r="J3022" t="s">
        <v>330</v>
      </c>
      <c r="K3022" t="s">
        <v>245</v>
      </c>
      <c r="L3022" t="s">
        <v>235</v>
      </c>
      <c r="M3022" t="s">
        <v>236</v>
      </c>
      <c r="N3022" t="s">
        <v>240</v>
      </c>
      <c r="O3022" s="27">
        <v>46055</v>
      </c>
    </row>
    <row r="3023" spans="2:15" hidden="1" x14ac:dyDescent="0.3">
      <c r="B3023">
        <v>6468519</v>
      </c>
      <c r="C3023" t="s">
        <v>231</v>
      </c>
      <c r="D3023">
        <v>72444</v>
      </c>
      <c r="E3023" t="s">
        <v>150</v>
      </c>
      <c r="F3023" t="s">
        <v>274</v>
      </c>
      <c r="G3023" s="28">
        <v>1</v>
      </c>
      <c r="H3023" s="32">
        <v>0.09</v>
      </c>
      <c r="I3023" s="32">
        <v>14.69</v>
      </c>
      <c r="J3023" t="s">
        <v>239</v>
      </c>
      <c r="K3023" t="s">
        <v>245</v>
      </c>
      <c r="L3023" t="s">
        <v>235</v>
      </c>
      <c r="M3023" t="s">
        <v>236</v>
      </c>
      <c r="N3023" t="s">
        <v>237</v>
      </c>
      <c r="O3023" s="27">
        <v>46055</v>
      </c>
    </row>
    <row r="3024" spans="2:15" hidden="1" x14ac:dyDescent="0.3">
      <c r="B3024">
        <v>2973255</v>
      </c>
      <c r="C3024" t="s">
        <v>260</v>
      </c>
      <c r="D3024">
        <v>69519</v>
      </c>
      <c r="E3024" t="s">
        <v>150</v>
      </c>
      <c r="F3024" t="s">
        <v>410</v>
      </c>
      <c r="G3024" s="28">
        <v>1</v>
      </c>
      <c r="H3024" s="32">
        <v>0.09</v>
      </c>
      <c r="I3024" s="32">
        <v>80.75</v>
      </c>
      <c r="J3024" t="s">
        <v>267</v>
      </c>
      <c r="K3024" t="s">
        <v>245</v>
      </c>
      <c r="L3024" t="s">
        <v>235</v>
      </c>
      <c r="M3024" t="s">
        <v>236</v>
      </c>
      <c r="N3024" t="s">
        <v>240</v>
      </c>
      <c r="O3024" s="27">
        <v>46063</v>
      </c>
    </row>
    <row r="3025" spans="2:15" hidden="1" x14ac:dyDescent="0.3">
      <c r="B3025">
        <v>2632292</v>
      </c>
      <c r="C3025" t="s">
        <v>231</v>
      </c>
      <c r="D3025">
        <v>69519</v>
      </c>
      <c r="E3025" t="s">
        <v>150</v>
      </c>
      <c r="F3025" t="s">
        <v>388</v>
      </c>
      <c r="G3025" s="28">
        <v>1</v>
      </c>
      <c r="H3025" s="32">
        <v>0.08</v>
      </c>
      <c r="I3025" s="32">
        <v>14.45</v>
      </c>
      <c r="J3025" t="s">
        <v>330</v>
      </c>
      <c r="K3025" t="s">
        <v>234</v>
      </c>
      <c r="L3025" t="s">
        <v>235</v>
      </c>
      <c r="M3025" t="s">
        <v>236</v>
      </c>
      <c r="N3025" t="s">
        <v>237</v>
      </c>
      <c r="O3025" s="27">
        <v>46073</v>
      </c>
    </row>
    <row r="3026" spans="2:15" hidden="1" x14ac:dyDescent="0.3">
      <c r="B3026">
        <v>54685</v>
      </c>
      <c r="C3026" t="s">
        <v>260</v>
      </c>
      <c r="D3026">
        <v>22674</v>
      </c>
      <c r="E3026" t="s">
        <v>150</v>
      </c>
      <c r="F3026" t="s">
        <v>379</v>
      </c>
      <c r="G3026" s="28">
        <v>1</v>
      </c>
      <c r="H3026" s="32">
        <v>0.08</v>
      </c>
      <c r="I3026" s="32">
        <v>14.63</v>
      </c>
      <c r="J3026" t="s">
        <v>330</v>
      </c>
      <c r="K3026" t="s">
        <v>234</v>
      </c>
      <c r="L3026" t="s">
        <v>235</v>
      </c>
      <c r="M3026" t="s">
        <v>236</v>
      </c>
      <c r="N3026" t="s">
        <v>237</v>
      </c>
      <c r="O3026" s="27">
        <v>46063</v>
      </c>
    </row>
    <row r="3027" spans="2:15" hidden="1" x14ac:dyDescent="0.3">
      <c r="B3027">
        <v>215083</v>
      </c>
      <c r="C3027" t="s">
        <v>231</v>
      </c>
      <c r="D3027">
        <v>23410</v>
      </c>
      <c r="E3027" t="s">
        <v>150</v>
      </c>
      <c r="F3027" t="s">
        <v>263</v>
      </c>
      <c r="G3027" s="28">
        <v>1</v>
      </c>
      <c r="H3027" s="32">
        <v>7.0000000000000007E-2</v>
      </c>
      <c r="I3027" s="32">
        <v>13.81</v>
      </c>
      <c r="J3027" t="s">
        <v>239</v>
      </c>
      <c r="K3027" t="s">
        <v>245</v>
      </c>
      <c r="L3027" t="s">
        <v>235</v>
      </c>
      <c r="M3027" t="s">
        <v>236</v>
      </c>
      <c r="N3027" t="s">
        <v>240</v>
      </c>
      <c r="O3027" s="27">
        <v>46055</v>
      </c>
    </row>
    <row r="3028" spans="2:15" hidden="1" x14ac:dyDescent="0.3">
      <c r="B3028">
        <v>2033851</v>
      </c>
      <c r="C3028" t="s">
        <v>231</v>
      </c>
      <c r="D3028">
        <v>24415</v>
      </c>
      <c r="E3028" t="s">
        <v>150</v>
      </c>
      <c r="F3028" t="s">
        <v>264</v>
      </c>
      <c r="G3028" s="28">
        <v>2</v>
      </c>
      <c r="H3028" s="32">
        <v>0.06</v>
      </c>
      <c r="I3028" s="32">
        <v>0</v>
      </c>
      <c r="J3028" t="s">
        <v>233</v>
      </c>
      <c r="K3028" t="s">
        <v>245</v>
      </c>
      <c r="L3028" t="s">
        <v>235</v>
      </c>
      <c r="M3028" t="s">
        <v>265</v>
      </c>
      <c r="N3028" t="s">
        <v>237</v>
      </c>
      <c r="O3028" s="27">
        <v>46062</v>
      </c>
    </row>
    <row r="3029" spans="2:15" hidden="1" x14ac:dyDescent="0.3">
      <c r="B3029">
        <v>8810663</v>
      </c>
      <c r="C3029" t="s">
        <v>231</v>
      </c>
      <c r="D3029">
        <v>72444</v>
      </c>
      <c r="E3029" t="s">
        <v>150</v>
      </c>
      <c r="F3029" t="s">
        <v>395</v>
      </c>
      <c r="G3029" s="28">
        <v>1</v>
      </c>
      <c r="H3029" s="32">
        <v>0.05</v>
      </c>
      <c r="I3029" s="32">
        <v>6.53</v>
      </c>
      <c r="J3029" t="s">
        <v>330</v>
      </c>
      <c r="K3029" t="s">
        <v>245</v>
      </c>
      <c r="L3029" t="s">
        <v>235</v>
      </c>
      <c r="M3029" t="s">
        <v>236</v>
      </c>
      <c r="N3029" t="s">
        <v>240</v>
      </c>
      <c r="O3029" s="27">
        <v>46055</v>
      </c>
    </row>
    <row r="3030" spans="2:15" hidden="1" x14ac:dyDescent="0.3">
      <c r="B3030">
        <v>18872460</v>
      </c>
      <c r="C3030" t="s">
        <v>231</v>
      </c>
      <c r="D3030">
        <v>74304</v>
      </c>
      <c r="E3030" t="s">
        <v>150</v>
      </c>
      <c r="F3030" t="s">
        <v>391</v>
      </c>
      <c r="G3030" s="28">
        <v>1</v>
      </c>
      <c r="H3030" s="32">
        <v>0.05</v>
      </c>
      <c r="I3030" s="32">
        <v>10.93</v>
      </c>
      <c r="J3030" t="s">
        <v>330</v>
      </c>
      <c r="K3030" t="s">
        <v>245</v>
      </c>
      <c r="L3030" t="s">
        <v>235</v>
      </c>
      <c r="M3030" t="s">
        <v>236</v>
      </c>
      <c r="N3030" t="s">
        <v>240</v>
      </c>
      <c r="O3030" s="27">
        <v>46055</v>
      </c>
    </row>
    <row r="3031" spans="2:15" hidden="1" x14ac:dyDescent="0.3">
      <c r="B3031">
        <v>6027332</v>
      </c>
      <c r="C3031" t="s">
        <v>231</v>
      </c>
      <c r="D3031">
        <v>23410</v>
      </c>
      <c r="E3031" t="s">
        <v>150</v>
      </c>
      <c r="F3031" t="s">
        <v>391</v>
      </c>
      <c r="G3031" s="28">
        <v>1</v>
      </c>
      <c r="H3031" s="32">
        <v>0.05</v>
      </c>
      <c r="I3031" s="32">
        <v>10.93</v>
      </c>
      <c r="J3031" t="s">
        <v>330</v>
      </c>
      <c r="K3031" t="s">
        <v>245</v>
      </c>
      <c r="L3031" t="s">
        <v>235</v>
      </c>
      <c r="M3031" t="s">
        <v>236</v>
      </c>
      <c r="N3031" t="s">
        <v>240</v>
      </c>
      <c r="O3031" s="27">
        <v>46055</v>
      </c>
    </row>
    <row r="3032" spans="2:15" hidden="1" x14ac:dyDescent="0.3">
      <c r="B3032">
        <v>8218280</v>
      </c>
      <c r="C3032" t="s">
        <v>260</v>
      </c>
      <c r="D3032">
        <v>21559</v>
      </c>
      <c r="E3032" t="s">
        <v>150</v>
      </c>
      <c r="F3032" t="s">
        <v>375</v>
      </c>
      <c r="G3032" s="28">
        <v>1</v>
      </c>
      <c r="H3032" s="32">
        <v>0.05</v>
      </c>
      <c r="I3032" s="32">
        <v>7.97</v>
      </c>
      <c r="J3032" t="s">
        <v>267</v>
      </c>
      <c r="K3032" t="s">
        <v>245</v>
      </c>
      <c r="L3032" t="s">
        <v>235</v>
      </c>
      <c r="M3032" t="s">
        <v>236</v>
      </c>
      <c r="N3032" t="s">
        <v>237</v>
      </c>
      <c r="O3032" s="27">
        <v>46062</v>
      </c>
    </row>
    <row r="3033" spans="2:15" hidden="1" x14ac:dyDescent="0.3">
      <c r="B3033">
        <v>18731282</v>
      </c>
      <c r="C3033" t="s">
        <v>231</v>
      </c>
      <c r="D3033">
        <v>40901</v>
      </c>
      <c r="E3033" t="s">
        <v>150</v>
      </c>
      <c r="F3033" t="s">
        <v>449</v>
      </c>
      <c r="G3033" s="28">
        <v>1</v>
      </c>
      <c r="H3033" s="32">
        <v>0.03</v>
      </c>
      <c r="I3033" s="32">
        <v>6.47</v>
      </c>
      <c r="J3033" t="s">
        <v>330</v>
      </c>
      <c r="K3033" t="s">
        <v>245</v>
      </c>
      <c r="L3033" t="s">
        <v>235</v>
      </c>
      <c r="M3033" t="s">
        <v>236</v>
      </c>
      <c r="N3033" t="s">
        <v>237</v>
      </c>
      <c r="O3033" s="27">
        <v>46055</v>
      </c>
    </row>
    <row r="3034" spans="2:15" hidden="1" x14ac:dyDescent="0.3">
      <c r="B3034">
        <v>542586</v>
      </c>
      <c r="C3034" t="s">
        <v>260</v>
      </c>
      <c r="D3034">
        <v>21468</v>
      </c>
      <c r="E3034" t="s">
        <v>150</v>
      </c>
      <c r="F3034" t="s">
        <v>395</v>
      </c>
      <c r="G3034" s="28">
        <v>1</v>
      </c>
      <c r="H3034" s="32">
        <v>0.03</v>
      </c>
      <c r="I3034" s="32">
        <v>6.21</v>
      </c>
      <c r="J3034" t="s">
        <v>330</v>
      </c>
      <c r="K3034" t="s">
        <v>234</v>
      </c>
      <c r="L3034" t="s">
        <v>235</v>
      </c>
      <c r="M3034" t="s">
        <v>236</v>
      </c>
      <c r="N3034" t="s">
        <v>237</v>
      </c>
      <c r="O3034" s="27">
        <v>46058</v>
      </c>
    </row>
    <row r="3035" spans="2:15" hidden="1" x14ac:dyDescent="0.3">
      <c r="B3035">
        <v>310157</v>
      </c>
      <c r="C3035" t="s">
        <v>231</v>
      </c>
      <c r="D3035">
        <v>68542</v>
      </c>
      <c r="E3035" t="s">
        <v>150</v>
      </c>
      <c r="F3035" t="s">
        <v>369</v>
      </c>
      <c r="G3035" s="28">
        <v>1</v>
      </c>
      <c r="H3035" s="32">
        <v>0.02</v>
      </c>
      <c r="I3035" s="32">
        <v>51.68</v>
      </c>
      <c r="J3035" t="s">
        <v>239</v>
      </c>
      <c r="K3035" t="s">
        <v>245</v>
      </c>
      <c r="L3035" t="s">
        <v>235</v>
      </c>
      <c r="M3035" t="s">
        <v>236</v>
      </c>
      <c r="N3035" t="s">
        <v>240</v>
      </c>
      <c r="O3035" s="27">
        <v>46055</v>
      </c>
    </row>
    <row r="3036" spans="2:15" hidden="1" x14ac:dyDescent="0.3">
      <c r="B3036">
        <v>310157</v>
      </c>
      <c r="C3036" t="s">
        <v>231</v>
      </c>
      <c r="D3036">
        <v>68542</v>
      </c>
      <c r="E3036" t="s">
        <v>150</v>
      </c>
      <c r="F3036" t="s">
        <v>298</v>
      </c>
      <c r="G3036" s="28">
        <v>3</v>
      </c>
      <c r="H3036" s="32">
        <v>0.01</v>
      </c>
      <c r="I3036" s="32">
        <v>49.25</v>
      </c>
      <c r="J3036" t="s">
        <v>239</v>
      </c>
      <c r="K3036" t="s">
        <v>245</v>
      </c>
      <c r="L3036" t="s">
        <v>235</v>
      </c>
      <c r="M3036" t="s">
        <v>236</v>
      </c>
      <c r="N3036" t="s">
        <v>237</v>
      </c>
      <c r="O3036" s="27">
        <v>46055</v>
      </c>
    </row>
    <row r="3037" spans="2:15" hidden="1" x14ac:dyDescent="0.3">
      <c r="B3037">
        <v>310157</v>
      </c>
      <c r="C3037" t="s">
        <v>231</v>
      </c>
      <c r="D3037">
        <v>68542</v>
      </c>
      <c r="E3037" t="s">
        <v>150</v>
      </c>
      <c r="F3037" t="s">
        <v>163</v>
      </c>
      <c r="G3037" s="28">
        <v>2</v>
      </c>
      <c r="H3037" s="32">
        <v>0.01</v>
      </c>
      <c r="I3037" s="32">
        <v>26.34</v>
      </c>
      <c r="J3037" t="s">
        <v>239</v>
      </c>
      <c r="K3037" t="s">
        <v>245</v>
      </c>
      <c r="L3037" t="s">
        <v>235</v>
      </c>
      <c r="M3037" t="s">
        <v>236</v>
      </c>
      <c r="N3037" t="s">
        <v>237</v>
      </c>
      <c r="O3037" s="27">
        <v>46055</v>
      </c>
    </row>
    <row r="3038" spans="2:15" hidden="1" x14ac:dyDescent="0.3">
      <c r="B3038">
        <v>310157</v>
      </c>
      <c r="C3038" t="s">
        <v>231</v>
      </c>
      <c r="D3038">
        <v>68542</v>
      </c>
      <c r="E3038" t="s">
        <v>150</v>
      </c>
      <c r="F3038" t="s">
        <v>282</v>
      </c>
      <c r="G3038" s="28">
        <v>1</v>
      </c>
      <c r="H3038" s="32">
        <v>0.01</v>
      </c>
      <c r="I3038" s="32">
        <v>50.86</v>
      </c>
      <c r="J3038" t="s">
        <v>239</v>
      </c>
      <c r="K3038" t="s">
        <v>245</v>
      </c>
      <c r="L3038" t="s">
        <v>235</v>
      </c>
      <c r="M3038" t="s">
        <v>236</v>
      </c>
      <c r="N3038" t="s">
        <v>240</v>
      </c>
      <c r="O3038" s="27">
        <v>46055</v>
      </c>
    </row>
    <row r="3039" spans="2:15" hidden="1" x14ac:dyDescent="0.3">
      <c r="B3039">
        <v>310157</v>
      </c>
      <c r="C3039" t="s">
        <v>231</v>
      </c>
      <c r="D3039">
        <v>68542</v>
      </c>
      <c r="E3039" t="s">
        <v>150</v>
      </c>
      <c r="F3039" t="s">
        <v>164</v>
      </c>
      <c r="G3039" s="28">
        <v>1</v>
      </c>
      <c r="H3039" s="32">
        <v>0.01</v>
      </c>
      <c r="I3039" s="32">
        <v>45.83</v>
      </c>
      <c r="J3039" t="s">
        <v>239</v>
      </c>
      <c r="K3039" t="s">
        <v>245</v>
      </c>
      <c r="L3039" t="s">
        <v>235</v>
      </c>
      <c r="M3039" t="s">
        <v>236</v>
      </c>
      <c r="N3039" t="s">
        <v>240</v>
      </c>
      <c r="O3039" s="27">
        <v>46055</v>
      </c>
    </row>
    <row r="3040" spans="2:15" hidden="1" x14ac:dyDescent="0.3">
      <c r="B3040">
        <v>310157</v>
      </c>
      <c r="C3040" t="s">
        <v>231</v>
      </c>
      <c r="D3040">
        <v>68542</v>
      </c>
      <c r="E3040" t="s">
        <v>150</v>
      </c>
      <c r="F3040" t="s">
        <v>246</v>
      </c>
      <c r="G3040" s="28">
        <v>1</v>
      </c>
      <c r="H3040" s="32">
        <v>0.01</v>
      </c>
      <c r="I3040" s="32">
        <v>36.950000000000003</v>
      </c>
      <c r="J3040" t="s">
        <v>239</v>
      </c>
      <c r="K3040" t="s">
        <v>245</v>
      </c>
      <c r="L3040" t="s">
        <v>235</v>
      </c>
      <c r="M3040" t="s">
        <v>236</v>
      </c>
      <c r="N3040" t="s">
        <v>237</v>
      </c>
      <c r="O3040" s="27">
        <v>46055</v>
      </c>
    </row>
  </sheetData>
  <autoFilter ref="B2:O3040" xr:uid="{1F1EF6DE-3BAA-4AFA-AB49-0E477DE94A98}">
    <filterColumn colId="2">
      <filters>
        <filter val="22103"/>
      </filters>
    </filterColumn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36C1-639B-49D5-BD5B-0B1A0D2BF2B2}">
  <sheetPr codeName="Planilha5"/>
  <dimension ref="B2:J40"/>
  <sheetViews>
    <sheetView workbookViewId="0">
      <selection activeCell="H12" sqref="H12"/>
    </sheetView>
  </sheetViews>
  <sheetFormatPr defaultRowHeight="14.4" x14ac:dyDescent="0.3"/>
  <cols>
    <col min="2" max="2" width="9" bestFit="1" customWidth="1"/>
    <col min="3" max="3" width="10.33203125" bestFit="1" customWidth="1"/>
    <col min="4" max="4" width="7.21875" bestFit="1" customWidth="1"/>
    <col min="5" max="5" width="17.6640625" bestFit="1" customWidth="1"/>
    <col min="6" max="6" width="22.33203125" bestFit="1" customWidth="1"/>
    <col min="7" max="7" width="9.5546875" bestFit="1" customWidth="1"/>
    <col min="8" max="8" width="10" bestFit="1" customWidth="1"/>
    <col min="9" max="9" width="7.109375" bestFit="1" customWidth="1"/>
    <col min="10" max="10" width="20" bestFit="1" customWidth="1"/>
  </cols>
  <sheetData>
    <row r="2" spans="2:10" x14ac:dyDescent="0.3">
      <c r="B2" s="33" t="s">
        <v>137</v>
      </c>
      <c r="C2" s="33" t="s">
        <v>0</v>
      </c>
      <c r="D2" s="33" t="s">
        <v>844</v>
      </c>
      <c r="E2" s="33" t="s">
        <v>132</v>
      </c>
      <c r="F2" s="33" t="s">
        <v>845</v>
      </c>
      <c r="G2" s="33" t="s">
        <v>154</v>
      </c>
      <c r="H2" s="33" t="s">
        <v>846</v>
      </c>
      <c r="I2" s="33" t="s">
        <v>427</v>
      </c>
      <c r="J2" s="33" t="s">
        <v>847</v>
      </c>
    </row>
    <row r="3" spans="2:10" x14ac:dyDescent="0.3">
      <c r="B3">
        <v>2033851</v>
      </c>
      <c r="C3" s="27">
        <v>46059</v>
      </c>
      <c r="D3" t="s">
        <v>838</v>
      </c>
      <c r="E3" t="s">
        <v>455</v>
      </c>
      <c r="F3" t="s">
        <v>839</v>
      </c>
      <c r="G3">
        <v>81.28</v>
      </c>
      <c r="H3" s="28">
        <v>73037</v>
      </c>
      <c r="I3">
        <v>24415</v>
      </c>
      <c r="J3" t="s">
        <v>467</v>
      </c>
    </row>
    <row r="4" spans="2:10" x14ac:dyDescent="0.3">
      <c r="B4">
        <v>3436001</v>
      </c>
      <c r="C4" s="27">
        <v>46056</v>
      </c>
      <c r="D4" t="s">
        <v>838</v>
      </c>
      <c r="E4" t="s">
        <v>270</v>
      </c>
      <c r="F4" t="s">
        <v>840</v>
      </c>
      <c r="G4">
        <v>100.93</v>
      </c>
      <c r="H4" s="28">
        <v>73037</v>
      </c>
      <c r="I4">
        <v>21468</v>
      </c>
      <c r="J4" t="s">
        <v>467</v>
      </c>
    </row>
    <row r="5" spans="2:10" x14ac:dyDescent="0.3">
      <c r="B5">
        <v>357627</v>
      </c>
      <c r="C5" s="27">
        <v>46056</v>
      </c>
      <c r="D5" t="s">
        <v>838</v>
      </c>
      <c r="E5" t="s">
        <v>270</v>
      </c>
      <c r="F5" t="s">
        <v>840</v>
      </c>
      <c r="G5">
        <v>100.93</v>
      </c>
      <c r="H5" s="28">
        <v>73037</v>
      </c>
      <c r="I5">
        <v>72444</v>
      </c>
      <c r="J5" t="s">
        <v>467</v>
      </c>
    </row>
    <row r="6" spans="2:10" x14ac:dyDescent="0.3">
      <c r="B6">
        <v>4868551</v>
      </c>
      <c r="C6" s="27">
        <v>46064</v>
      </c>
      <c r="D6" t="s">
        <v>838</v>
      </c>
      <c r="E6" t="s">
        <v>250</v>
      </c>
      <c r="F6" t="s">
        <v>840</v>
      </c>
      <c r="G6">
        <v>106.31</v>
      </c>
      <c r="H6" s="28">
        <v>73037</v>
      </c>
      <c r="I6">
        <v>22674</v>
      </c>
      <c r="J6" t="s">
        <v>467</v>
      </c>
    </row>
    <row r="7" spans="2:10" x14ac:dyDescent="0.3">
      <c r="B7">
        <v>4257721</v>
      </c>
      <c r="C7" s="27">
        <v>46064</v>
      </c>
      <c r="D7" t="s">
        <v>838</v>
      </c>
      <c r="E7" t="s">
        <v>270</v>
      </c>
      <c r="F7" t="s">
        <v>840</v>
      </c>
      <c r="G7">
        <v>112.43</v>
      </c>
      <c r="H7" s="28">
        <v>73037</v>
      </c>
      <c r="I7">
        <v>22674</v>
      </c>
      <c r="J7" t="s">
        <v>467</v>
      </c>
    </row>
    <row r="8" spans="2:10" x14ac:dyDescent="0.3">
      <c r="B8">
        <v>4406804</v>
      </c>
      <c r="C8" s="27">
        <v>46066</v>
      </c>
      <c r="D8" t="s">
        <v>838</v>
      </c>
      <c r="E8" t="s">
        <v>157</v>
      </c>
      <c r="F8" t="s">
        <v>840</v>
      </c>
      <c r="G8">
        <v>119.55</v>
      </c>
      <c r="H8" s="28">
        <v>73037</v>
      </c>
      <c r="I8">
        <v>96553</v>
      </c>
      <c r="J8" t="s">
        <v>467</v>
      </c>
    </row>
    <row r="9" spans="2:10" x14ac:dyDescent="0.3">
      <c r="B9">
        <v>9650565</v>
      </c>
      <c r="C9" s="27">
        <v>46066</v>
      </c>
      <c r="D9" t="s">
        <v>838</v>
      </c>
      <c r="E9" t="s">
        <v>157</v>
      </c>
      <c r="F9" t="s">
        <v>840</v>
      </c>
      <c r="G9">
        <v>119.55</v>
      </c>
      <c r="H9" s="28">
        <v>73037</v>
      </c>
      <c r="I9">
        <v>96553</v>
      </c>
      <c r="J9" t="s">
        <v>467</v>
      </c>
    </row>
    <row r="10" spans="2:10" x14ac:dyDescent="0.3">
      <c r="B10">
        <v>2742454</v>
      </c>
      <c r="C10" s="27">
        <v>46056</v>
      </c>
      <c r="D10" t="s">
        <v>838</v>
      </c>
      <c r="E10" t="s">
        <v>254</v>
      </c>
      <c r="F10" t="s">
        <v>840</v>
      </c>
      <c r="G10">
        <v>136.94999999999999</v>
      </c>
      <c r="H10" s="28">
        <v>73037</v>
      </c>
      <c r="I10">
        <v>22674</v>
      </c>
      <c r="J10" t="s">
        <v>467</v>
      </c>
    </row>
    <row r="11" spans="2:10" x14ac:dyDescent="0.3">
      <c r="B11">
        <v>3430907</v>
      </c>
      <c r="C11" s="27">
        <v>46055</v>
      </c>
      <c r="D11" t="s">
        <v>838</v>
      </c>
      <c r="E11" t="s">
        <v>270</v>
      </c>
      <c r="F11" t="s">
        <v>840</v>
      </c>
      <c r="G11">
        <v>139.06</v>
      </c>
      <c r="H11" s="28">
        <v>73037</v>
      </c>
      <c r="I11">
        <v>21468</v>
      </c>
      <c r="J11" t="s">
        <v>467</v>
      </c>
    </row>
    <row r="12" spans="2:10" x14ac:dyDescent="0.3">
      <c r="B12">
        <v>293951</v>
      </c>
      <c r="C12" s="27">
        <v>46071</v>
      </c>
      <c r="D12" t="s">
        <v>838</v>
      </c>
      <c r="E12" t="s">
        <v>270</v>
      </c>
      <c r="F12" t="s">
        <v>840</v>
      </c>
      <c r="G12">
        <v>141.62</v>
      </c>
      <c r="H12" s="28">
        <v>73037</v>
      </c>
      <c r="I12">
        <v>25619</v>
      </c>
      <c r="J12" t="s">
        <v>467</v>
      </c>
    </row>
    <row r="13" spans="2:10" x14ac:dyDescent="0.3">
      <c r="B13">
        <v>11010432</v>
      </c>
      <c r="C13" s="27">
        <v>46065</v>
      </c>
      <c r="D13" t="s">
        <v>838</v>
      </c>
      <c r="E13" t="s">
        <v>296</v>
      </c>
      <c r="F13" t="s">
        <v>840</v>
      </c>
      <c r="G13">
        <v>160.66</v>
      </c>
      <c r="H13" s="28">
        <v>73037</v>
      </c>
      <c r="I13">
        <v>25619</v>
      </c>
      <c r="J13" t="s">
        <v>467</v>
      </c>
    </row>
    <row r="14" spans="2:10" x14ac:dyDescent="0.3">
      <c r="B14">
        <v>2727239</v>
      </c>
      <c r="C14" s="27">
        <v>46057</v>
      </c>
      <c r="D14" t="s">
        <v>838</v>
      </c>
      <c r="E14" t="s">
        <v>254</v>
      </c>
      <c r="F14" t="s">
        <v>840</v>
      </c>
      <c r="G14">
        <v>168.15</v>
      </c>
      <c r="H14" s="28">
        <v>73037</v>
      </c>
      <c r="I14">
        <v>21559</v>
      </c>
      <c r="J14" t="s">
        <v>467</v>
      </c>
    </row>
    <row r="15" spans="2:10" x14ac:dyDescent="0.3">
      <c r="B15">
        <v>307208</v>
      </c>
      <c r="C15" s="27">
        <v>46064</v>
      </c>
      <c r="D15" t="s">
        <v>838</v>
      </c>
      <c r="E15" t="s">
        <v>296</v>
      </c>
      <c r="F15" t="s">
        <v>840</v>
      </c>
      <c r="G15">
        <v>186.51</v>
      </c>
      <c r="H15" s="28">
        <v>73037</v>
      </c>
      <c r="I15">
        <v>25619</v>
      </c>
      <c r="J15" t="s">
        <v>467</v>
      </c>
    </row>
    <row r="16" spans="2:10" x14ac:dyDescent="0.3">
      <c r="B16">
        <v>8128821</v>
      </c>
      <c r="C16" s="27">
        <v>46065</v>
      </c>
      <c r="D16" t="s">
        <v>838</v>
      </c>
      <c r="E16" t="s">
        <v>296</v>
      </c>
      <c r="F16" t="s">
        <v>840</v>
      </c>
      <c r="G16">
        <v>187.44</v>
      </c>
      <c r="H16" s="28">
        <v>73037</v>
      </c>
      <c r="I16">
        <v>25619</v>
      </c>
      <c r="J16" t="s">
        <v>467</v>
      </c>
    </row>
    <row r="17" spans="2:10" x14ac:dyDescent="0.3">
      <c r="B17">
        <v>2786896</v>
      </c>
      <c r="C17" s="27">
        <v>46058</v>
      </c>
      <c r="D17" t="s">
        <v>838</v>
      </c>
      <c r="E17" t="s">
        <v>165</v>
      </c>
      <c r="F17" t="s">
        <v>840</v>
      </c>
      <c r="G17">
        <v>196.61</v>
      </c>
      <c r="H17" s="28">
        <v>73037</v>
      </c>
      <c r="I17">
        <v>69519</v>
      </c>
      <c r="J17" t="s">
        <v>467</v>
      </c>
    </row>
    <row r="18" spans="2:10" x14ac:dyDescent="0.3">
      <c r="B18">
        <v>3770553</v>
      </c>
      <c r="C18" s="27">
        <v>46065</v>
      </c>
      <c r="D18" t="s">
        <v>838</v>
      </c>
      <c r="E18" t="s">
        <v>270</v>
      </c>
      <c r="F18" t="s">
        <v>840</v>
      </c>
      <c r="G18">
        <v>202.86</v>
      </c>
      <c r="H18" s="28">
        <v>73037</v>
      </c>
      <c r="I18">
        <v>69519</v>
      </c>
      <c r="J18" t="s">
        <v>467</v>
      </c>
    </row>
    <row r="19" spans="2:10" x14ac:dyDescent="0.3">
      <c r="B19">
        <v>2033851</v>
      </c>
      <c r="C19" s="27">
        <v>46059</v>
      </c>
      <c r="D19" t="s">
        <v>838</v>
      </c>
      <c r="E19" t="s">
        <v>289</v>
      </c>
      <c r="F19" t="s">
        <v>839</v>
      </c>
      <c r="G19">
        <v>212.27</v>
      </c>
      <c r="H19" s="28">
        <v>73037</v>
      </c>
      <c r="I19">
        <v>24415</v>
      </c>
      <c r="J19" t="s">
        <v>467</v>
      </c>
    </row>
    <row r="20" spans="2:10" x14ac:dyDescent="0.3">
      <c r="B20">
        <v>3770553</v>
      </c>
      <c r="C20" s="27">
        <v>46066</v>
      </c>
      <c r="D20" t="s">
        <v>838</v>
      </c>
      <c r="E20" t="s">
        <v>165</v>
      </c>
      <c r="F20" t="s">
        <v>840</v>
      </c>
      <c r="G20">
        <v>217.58</v>
      </c>
      <c r="H20" s="28">
        <v>73037</v>
      </c>
      <c r="I20">
        <v>69519</v>
      </c>
      <c r="J20" t="s">
        <v>467</v>
      </c>
    </row>
    <row r="21" spans="2:10" x14ac:dyDescent="0.3">
      <c r="B21">
        <v>195750</v>
      </c>
      <c r="C21" s="27">
        <v>46057</v>
      </c>
      <c r="D21" t="s">
        <v>838</v>
      </c>
      <c r="E21" t="s">
        <v>270</v>
      </c>
      <c r="F21" t="s">
        <v>840</v>
      </c>
      <c r="G21">
        <v>242.93</v>
      </c>
      <c r="H21" s="28">
        <v>73037</v>
      </c>
      <c r="I21">
        <v>23648</v>
      </c>
      <c r="J21" t="s">
        <v>467</v>
      </c>
    </row>
    <row r="22" spans="2:10" x14ac:dyDescent="0.3">
      <c r="B22">
        <v>293951</v>
      </c>
      <c r="C22" s="27">
        <v>46071</v>
      </c>
      <c r="D22" t="s">
        <v>838</v>
      </c>
      <c r="E22" t="s">
        <v>157</v>
      </c>
      <c r="F22" t="s">
        <v>840</v>
      </c>
      <c r="G22">
        <v>246.8</v>
      </c>
      <c r="H22" s="28">
        <v>73037</v>
      </c>
      <c r="I22">
        <v>25619</v>
      </c>
      <c r="J22" t="s">
        <v>467</v>
      </c>
    </row>
    <row r="23" spans="2:10" x14ac:dyDescent="0.3">
      <c r="B23">
        <v>2786896</v>
      </c>
      <c r="C23" s="27">
        <v>46073</v>
      </c>
      <c r="D23" t="s">
        <v>838</v>
      </c>
      <c r="E23" t="s">
        <v>270</v>
      </c>
      <c r="F23" t="s">
        <v>840</v>
      </c>
      <c r="G23">
        <v>246.98</v>
      </c>
      <c r="H23" s="28">
        <v>73037</v>
      </c>
      <c r="I23">
        <v>69519</v>
      </c>
      <c r="J23" t="s">
        <v>467</v>
      </c>
    </row>
    <row r="24" spans="2:10" x14ac:dyDescent="0.3">
      <c r="B24">
        <v>3310896</v>
      </c>
      <c r="C24" s="27">
        <v>46064</v>
      </c>
      <c r="D24" t="s">
        <v>838</v>
      </c>
      <c r="E24" t="s">
        <v>157</v>
      </c>
      <c r="F24" t="s">
        <v>840</v>
      </c>
      <c r="G24">
        <v>248.49</v>
      </c>
      <c r="H24" s="28">
        <v>73037</v>
      </c>
      <c r="I24">
        <v>21559</v>
      </c>
      <c r="J24" t="s">
        <v>467</v>
      </c>
    </row>
    <row r="25" spans="2:10" x14ac:dyDescent="0.3">
      <c r="B25">
        <v>331071</v>
      </c>
      <c r="C25" s="27">
        <v>46071</v>
      </c>
      <c r="D25" t="s">
        <v>838</v>
      </c>
      <c r="E25" t="s">
        <v>296</v>
      </c>
      <c r="F25" t="s">
        <v>840</v>
      </c>
      <c r="G25">
        <v>251.77</v>
      </c>
      <c r="H25" s="28">
        <v>73037</v>
      </c>
      <c r="I25">
        <v>69519</v>
      </c>
      <c r="J25" t="s">
        <v>467</v>
      </c>
    </row>
    <row r="26" spans="2:10" x14ac:dyDescent="0.3">
      <c r="B26">
        <v>331071</v>
      </c>
      <c r="C26" s="27">
        <v>46065</v>
      </c>
      <c r="D26" t="s">
        <v>838</v>
      </c>
      <c r="E26" t="s">
        <v>270</v>
      </c>
      <c r="F26" t="s">
        <v>840</v>
      </c>
      <c r="G26">
        <v>284.01</v>
      </c>
      <c r="H26" s="28">
        <v>73037</v>
      </c>
      <c r="I26">
        <v>69519</v>
      </c>
      <c r="J26" t="s">
        <v>467</v>
      </c>
    </row>
    <row r="27" spans="2:10" x14ac:dyDescent="0.3">
      <c r="B27">
        <v>9056724</v>
      </c>
      <c r="C27" s="27">
        <v>46063</v>
      </c>
      <c r="D27" t="s">
        <v>838</v>
      </c>
      <c r="E27" t="s">
        <v>157</v>
      </c>
      <c r="F27" t="s">
        <v>840</v>
      </c>
      <c r="G27">
        <v>287.52999999999997</v>
      </c>
      <c r="H27" s="28">
        <v>73037</v>
      </c>
      <c r="I27">
        <v>21559</v>
      </c>
      <c r="J27" t="s">
        <v>467</v>
      </c>
    </row>
    <row r="28" spans="2:10" x14ac:dyDescent="0.3">
      <c r="B28">
        <v>4358018</v>
      </c>
      <c r="C28" s="27">
        <v>46073</v>
      </c>
      <c r="D28" t="s">
        <v>838</v>
      </c>
      <c r="E28" t="s">
        <v>270</v>
      </c>
      <c r="F28" t="s">
        <v>840</v>
      </c>
      <c r="G28">
        <v>364.59</v>
      </c>
      <c r="H28" s="28">
        <v>73037</v>
      </c>
      <c r="I28">
        <v>23410</v>
      </c>
      <c r="J28" t="s">
        <v>467</v>
      </c>
    </row>
    <row r="29" spans="2:10" x14ac:dyDescent="0.3">
      <c r="B29">
        <v>542586</v>
      </c>
      <c r="C29" s="27">
        <v>46058</v>
      </c>
      <c r="D29" t="s">
        <v>838</v>
      </c>
      <c r="E29" t="s">
        <v>270</v>
      </c>
      <c r="F29" t="s">
        <v>840</v>
      </c>
      <c r="G29">
        <v>364.75</v>
      </c>
      <c r="H29" s="28">
        <v>73037</v>
      </c>
      <c r="I29">
        <v>21468</v>
      </c>
      <c r="J29" t="s">
        <v>467</v>
      </c>
    </row>
    <row r="30" spans="2:10" x14ac:dyDescent="0.3">
      <c r="B30">
        <v>4051319</v>
      </c>
      <c r="C30" s="27">
        <v>46056</v>
      </c>
      <c r="D30" t="s">
        <v>838</v>
      </c>
      <c r="E30" t="s">
        <v>254</v>
      </c>
      <c r="F30" t="s">
        <v>840</v>
      </c>
      <c r="G30">
        <v>365.22</v>
      </c>
      <c r="H30" s="28">
        <v>73037</v>
      </c>
      <c r="I30">
        <v>22674</v>
      </c>
      <c r="J30" t="s">
        <v>467</v>
      </c>
    </row>
    <row r="31" spans="2:10" x14ac:dyDescent="0.3">
      <c r="B31">
        <v>18872460</v>
      </c>
      <c r="C31" s="27">
        <v>46073</v>
      </c>
      <c r="D31" t="s">
        <v>838</v>
      </c>
      <c r="E31" t="s">
        <v>157</v>
      </c>
      <c r="F31" t="s">
        <v>840</v>
      </c>
      <c r="G31">
        <v>431.34</v>
      </c>
      <c r="H31" s="28">
        <v>73037</v>
      </c>
      <c r="I31">
        <v>74304</v>
      </c>
      <c r="J31" t="s">
        <v>467</v>
      </c>
    </row>
    <row r="32" spans="2:10" x14ac:dyDescent="0.3">
      <c r="B32">
        <v>4358018</v>
      </c>
      <c r="C32" s="27">
        <v>46073</v>
      </c>
      <c r="D32" t="s">
        <v>838</v>
      </c>
      <c r="E32" t="s">
        <v>157</v>
      </c>
      <c r="F32" t="s">
        <v>840</v>
      </c>
      <c r="G32">
        <v>731.98</v>
      </c>
      <c r="H32" s="28">
        <v>73037</v>
      </c>
      <c r="I32">
        <v>23410</v>
      </c>
      <c r="J32" t="s">
        <v>467</v>
      </c>
    </row>
    <row r="33" spans="2:10" x14ac:dyDescent="0.3">
      <c r="B33">
        <v>366105</v>
      </c>
      <c r="C33" s="27">
        <v>46065</v>
      </c>
      <c r="D33" t="s">
        <v>838</v>
      </c>
      <c r="E33" t="s">
        <v>270</v>
      </c>
      <c r="F33" t="s">
        <v>840</v>
      </c>
      <c r="G33">
        <v>892.59</v>
      </c>
      <c r="H33" s="28">
        <v>73037</v>
      </c>
      <c r="I33">
        <v>69519</v>
      </c>
      <c r="J33" t="s">
        <v>467</v>
      </c>
    </row>
    <row r="34" spans="2:10" x14ac:dyDescent="0.3">
      <c r="B34">
        <v>2973255</v>
      </c>
      <c r="C34" s="27">
        <v>46071</v>
      </c>
      <c r="D34" t="s">
        <v>838</v>
      </c>
      <c r="E34" t="s">
        <v>270</v>
      </c>
      <c r="F34" t="s">
        <v>840</v>
      </c>
      <c r="G34">
        <v>1158.7</v>
      </c>
      <c r="H34" s="28">
        <v>73037</v>
      </c>
      <c r="I34">
        <v>69519</v>
      </c>
      <c r="J34" t="s">
        <v>467</v>
      </c>
    </row>
    <row r="35" spans="2:10" x14ac:dyDescent="0.3">
      <c r="B35">
        <v>6468519</v>
      </c>
      <c r="C35" s="27">
        <v>46057</v>
      </c>
      <c r="D35" t="s">
        <v>838</v>
      </c>
      <c r="E35" t="s">
        <v>161</v>
      </c>
      <c r="F35" t="s">
        <v>841</v>
      </c>
      <c r="G35">
        <v>1228.04</v>
      </c>
      <c r="H35" s="28">
        <v>73037</v>
      </c>
      <c r="I35">
        <v>72444</v>
      </c>
      <c r="J35" t="s">
        <v>467</v>
      </c>
    </row>
    <row r="36" spans="2:10" x14ac:dyDescent="0.3">
      <c r="B36">
        <v>5934364</v>
      </c>
      <c r="C36" s="27">
        <v>46056</v>
      </c>
      <c r="D36" t="s">
        <v>838</v>
      </c>
      <c r="E36" t="s">
        <v>161</v>
      </c>
      <c r="F36" t="s">
        <v>841</v>
      </c>
      <c r="G36">
        <v>1359.11</v>
      </c>
      <c r="H36" s="28">
        <v>73037</v>
      </c>
      <c r="I36">
        <v>72444</v>
      </c>
      <c r="J36" t="s">
        <v>467</v>
      </c>
    </row>
    <row r="37" spans="2:10" x14ac:dyDescent="0.3">
      <c r="B37">
        <v>357627</v>
      </c>
      <c r="C37" s="27">
        <v>46056</v>
      </c>
      <c r="D37" t="s">
        <v>838</v>
      </c>
      <c r="E37" t="s">
        <v>161</v>
      </c>
      <c r="F37" t="s">
        <v>841</v>
      </c>
      <c r="G37">
        <v>1578.33</v>
      </c>
      <c r="H37" s="28">
        <v>73037</v>
      </c>
      <c r="I37">
        <v>72444</v>
      </c>
      <c r="J37" t="s">
        <v>467</v>
      </c>
    </row>
    <row r="38" spans="2:10" x14ac:dyDescent="0.3">
      <c r="B38">
        <v>11733006</v>
      </c>
      <c r="C38" s="27">
        <v>46065</v>
      </c>
      <c r="D38" t="s">
        <v>838</v>
      </c>
      <c r="E38" t="s">
        <v>157</v>
      </c>
      <c r="F38" t="s">
        <v>840</v>
      </c>
      <c r="G38">
        <v>3399.93</v>
      </c>
      <c r="H38" s="28">
        <v>73037</v>
      </c>
      <c r="I38">
        <v>41072</v>
      </c>
      <c r="J38" t="s">
        <v>467</v>
      </c>
    </row>
    <row r="39" spans="2:10" x14ac:dyDescent="0.3">
      <c r="B39">
        <v>4610798</v>
      </c>
      <c r="C39" s="27">
        <v>46056</v>
      </c>
      <c r="D39" t="s">
        <v>838</v>
      </c>
      <c r="E39" t="s">
        <v>160</v>
      </c>
      <c r="F39" t="s">
        <v>842</v>
      </c>
      <c r="G39">
        <v>4273.3</v>
      </c>
      <c r="H39" s="28">
        <v>73037</v>
      </c>
      <c r="I39">
        <v>24415</v>
      </c>
      <c r="J39" t="s">
        <v>467</v>
      </c>
    </row>
    <row r="40" spans="2:10" x14ac:dyDescent="0.3">
      <c r="B40">
        <v>4610798</v>
      </c>
      <c r="C40" s="27">
        <v>46056</v>
      </c>
      <c r="D40" t="s">
        <v>838</v>
      </c>
      <c r="E40" t="s">
        <v>160</v>
      </c>
      <c r="F40" t="s">
        <v>843</v>
      </c>
      <c r="G40">
        <v>5215.78</v>
      </c>
      <c r="H40" s="28">
        <v>73037</v>
      </c>
      <c r="I40">
        <v>24415</v>
      </c>
      <c r="J40" t="s">
        <v>467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6C15-041F-4CE3-B643-DAFC4080FA3F}">
  <sheetPr codeName="Planilha6"/>
  <dimension ref="B2:Q49"/>
  <sheetViews>
    <sheetView showGridLines="0" topLeftCell="A2" workbookViewId="0">
      <selection activeCell="G3" sqref="G1:G1048576"/>
    </sheetView>
  </sheetViews>
  <sheetFormatPr defaultRowHeight="14.4" x14ac:dyDescent="0.3"/>
  <cols>
    <col min="2" max="2" width="10.33203125" bestFit="1" customWidth="1"/>
    <col min="3" max="3" width="12.5546875" bestFit="1" customWidth="1"/>
    <col min="4" max="4" width="14.21875" bestFit="1" customWidth="1"/>
    <col min="5" max="5" width="44.44140625" bestFit="1" customWidth="1"/>
    <col min="6" max="6" width="10.44140625" bestFit="1" customWidth="1"/>
    <col min="7" max="7" width="8.77734375" bestFit="1" customWidth="1"/>
    <col min="8" max="8" width="11.6640625" bestFit="1" customWidth="1"/>
    <col min="9" max="9" width="6.44140625" bestFit="1" customWidth="1"/>
    <col min="10" max="10" width="25.5546875" bestFit="1" customWidth="1"/>
    <col min="11" max="11" width="9.6640625" bestFit="1" customWidth="1"/>
    <col min="12" max="12" width="11.21875" bestFit="1" customWidth="1"/>
    <col min="13" max="13" width="15.5546875" bestFit="1" customWidth="1"/>
    <col min="14" max="14" width="13.21875" bestFit="1" customWidth="1"/>
    <col min="15" max="15" width="14.6640625" bestFit="1" customWidth="1"/>
    <col min="16" max="17" width="10.33203125" bestFit="1" customWidth="1"/>
  </cols>
  <sheetData>
    <row r="2" spans="2:17" x14ac:dyDescent="0.3">
      <c r="B2" s="19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877</v>
      </c>
      <c r="H2" s="19" t="s">
        <v>6</v>
      </c>
      <c r="I2" s="19" t="s">
        <v>7</v>
      </c>
      <c r="J2" s="19" t="s">
        <v>8</v>
      </c>
      <c r="K2" s="19" t="s">
        <v>9</v>
      </c>
      <c r="L2" s="19" t="s">
        <v>10</v>
      </c>
      <c r="M2" s="19" t="s">
        <v>11</v>
      </c>
      <c r="N2" s="19" t="s">
        <v>12</v>
      </c>
      <c r="O2" s="19" t="s">
        <v>13</v>
      </c>
      <c r="P2" s="19" t="s">
        <v>14</v>
      </c>
      <c r="Q2" s="19" t="s">
        <v>15</v>
      </c>
    </row>
    <row r="3" spans="2:17" x14ac:dyDescent="0.3">
      <c r="B3" s="27">
        <v>46055</v>
      </c>
      <c r="C3" t="s">
        <v>848</v>
      </c>
      <c r="D3" t="s">
        <v>849</v>
      </c>
      <c r="E3" t="s">
        <v>16</v>
      </c>
      <c r="F3" t="s">
        <v>17</v>
      </c>
      <c r="G3">
        <v>23410</v>
      </c>
      <c r="H3" t="s">
        <v>19</v>
      </c>
      <c r="I3" s="28">
        <v>220</v>
      </c>
      <c r="J3">
        <v>753</v>
      </c>
      <c r="K3" s="34">
        <v>5.2625000000000002</v>
      </c>
      <c r="L3" s="34">
        <v>5.3353999999999999</v>
      </c>
      <c r="M3">
        <v>4017.5600000000004</v>
      </c>
      <c r="N3" s="35">
        <v>1.3663442487479962E-2</v>
      </c>
      <c r="O3">
        <v>54.893700000000003</v>
      </c>
      <c r="P3" s="27">
        <v>46055</v>
      </c>
      <c r="Q3" s="27">
        <v>46055</v>
      </c>
    </row>
    <row r="4" spans="2:17" x14ac:dyDescent="0.3">
      <c r="B4" s="27">
        <v>46055</v>
      </c>
      <c r="C4" t="s">
        <v>850</v>
      </c>
      <c r="D4" t="s">
        <v>849</v>
      </c>
      <c r="E4" t="s">
        <v>16</v>
      </c>
      <c r="F4" t="s">
        <v>17</v>
      </c>
      <c r="G4">
        <v>49894</v>
      </c>
      <c r="H4" t="s">
        <v>18</v>
      </c>
      <c r="I4" s="28">
        <v>220</v>
      </c>
      <c r="J4">
        <v>16500</v>
      </c>
      <c r="K4" s="34">
        <v>5.2361000000000004</v>
      </c>
      <c r="L4" s="34">
        <v>5.1734999999999998</v>
      </c>
      <c r="M4">
        <v>85362.75</v>
      </c>
      <c r="N4" s="35">
        <v>1.2100125640282209E-2</v>
      </c>
      <c r="O4">
        <v>1032.9000000000001</v>
      </c>
      <c r="P4" s="27">
        <v>46055</v>
      </c>
      <c r="Q4" s="27">
        <v>46055</v>
      </c>
    </row>
    <row r="5" spans="2:17" x14ac:dyDescent="0.3">
      <c r="B5" s="27">
        <v>46055</v>
      </c>
      <c r="C5" t="s">
        <v>851</v>
      </c>
      <c r="D5" t="s">
        <v>849</v>
      </c>
      <c r="E5" t="s">
        <v>16</v>
      </c>
      <c r="F5" t="s">
        <v>17</v>
      </c>
      <c r="G5">
        <v>38517</v>
      </c>
      <c r="H5" t="s">
        <v>18</v>
      </c>
      <c r="I5" s="28">
        <v>220</v>
      </c>
      <c r="J5">
        <v>2366.33</v>
      </c>
      <c r="K5" s="34">
        <v>10.5032</v>
      </c>
      <c r="L5" s="34">
        <v>10.420999999999999</v>
      </c>
      <c r="M5">
        <v>12329.77</v>
      </c>
      <c r="N5" s="35">
        <v>7.8879138053670091E-3</v>
      </c>
      <c r="O5">
        <v>97.256163000000001</v>
      </c>
      <c r="P5" s="27">
        <v>46055</v>
      </c>
      <c r="Q5" s="27">
        <v>46055</v>
      </c>
    </row>
    <row r="6" spans="2:17" x14ac:dyDescent="0.3">
      <c r="B6" s="27">
        <v>46055</v>
      </c>
      <c r="C6" t="s">
        <v>851</v>
      </c>
      <c r="D6" t="s">
        <v>849</v>
      </c>
      <c r="E6" t="s">
        <v>16</v>
      </c>
      <c r="F6" t="s">
        <v>17</v>
      </c>
      <c r="G6">
        <v>38517</v>
      </c>
      <c r="H6" t="s">
        <v>18</v>
      </c>
      <c r="I6" s="28">
        <v>978</v>
      </c>
      <c r="J6">
        <v>11.29</v>
      </c>
      <c r="K6" s="34">
        <v>6.2080000000000002</v>
      </c>
      <c r="L6" s="34">
        <v>6.1543999999999999</v>
      </c>
      <c r="M6">
        <v>69.48</v>
      </c>
      <c r="N6" s="35">
        <v>8.7096142774899243E-3</v>
      </c>
      <c r="O6">
        <v>0.60514400000000002</v>
      </c>
      <c r="P6" s="27">
        <v>46055</v>
      </c>
      <c r="Q6" s="27">
        <v>46055</v>
      </c>
    </row>
    <row r="7" spans="2:17" x14ac:dyDescent="0.3">
      <c r="B7" s="27">
        <v>46056</v>
      </c>
      <c r="C7" t="s">
        <v>852</v>
      </c>
      <c r="D7" t="s">
        <v>849</v>
      </c>
      <c r="E7" t="s">
        <v>16</v>
      </c>
      <c r="F7" t="s">
        <v>17</v>
      </c>
      <c r="G7">
        <v>27086</v>
      </c>
      <c r="H7" t="s">
        <v>18</v>
      </c>
      <c r="I7" s="28">
        <v>220</v>
      </c>
      <c r="J7">
        <v>3500</v>
      </c>
      <c r="K7" s="34">
        <v>5.2035999999999998</v>
      </c>
      <c r="L7" s="34">
        <v>5.0994999999999999</v>
      </c>
      <c r="M7">
        <v>17848.25</v>
      </c>
      <c r="N7" s="35">
        <v>2.0413766055495639E-2</v>
      </c>
      <c r="O7">
        <v>364.35</v>
      </c>
      <c r="P7" s="27">
        <v>46056</v>
      </c>
      <c r="Q7" s="27">
        <v>46056</v>
      </c>
    </row>
    <row r="8" spans="2:17" x14ac:dyDescent="0.3">
      <c r="B8" s="27">
        <v>46057</v>
      </c>
      <c r="C8" t="s">
        <v>853</v>
      </c>
      <c r="D8" t="s">
        <v>849</v>
      </c>
      <c r="E8" t="s">
        <v>16</v>
      </c>
      <c r="F8" t="s">
        <v>20</v>
      </c>
      <c r="G8">
        <v>71881</v>
      </c>
      <c r="H8" t="s">
        <v>19</v>
      </c>
      <c r="I8" s="28">
        <v>220</v>
      </c>
      <c r="J8">
        <v>6315</v>
      </c>
      <c r="K8" s="34">
        <v>5.2412999999999998</v>
      </c>
      <c r="L8" s="34">
        <v>5.2627670000000002</v>
      </c>
      <c r="M8">
        <v>33234.370000000003</v>
      </c>
      <c r="N8" s="35">
        <v>4.0790333922382151E-3</v>
      </c>
      <c r="O8">
        <v>135.56410499999998</v>
      </c>
      <c r="P8" s="27">
        <v>46057</v>
      </c>
      <c r="Q8" s="27">
        <v>46057</v>
      </c>
    </row>
    <row r="9" spans="2:17" x14ac:dyDescent="0.3">
      <c r="B9" s="27">
        <v>46057</v>
      </c>
      <c r="C9" t="s">
        <v>854</v>
      </c>
      <c r="D9" t="s">
        <v>849</v>
      </c>
      <c r="E9" t="s">
        <v>16</v>
      </c>
      <c r="F9" t="s">
        <v>20</v>
      </c>
      <c r="G9">
        <v>37111</v>
      </c>
      <c r="H9" t="s">
        <v>19</v>
      </c>
      <c r="I9" s="28">
        <v>978</v>
      </c>
      <c r="J9">
        <v>780.32999999999993</v>
      </c>
      <c r="K9" s="34">
        <v>6.1719999999999997</v>
      </c>
      <c r="L9" s="34">
        <v>6.190817</v>
      </c>
      <c r="M9">
        <v>4830.88</v>
      </c>
      <c r="N9" s="35">
        <v>3.0395021196966184E-3</v>
      </c>
      <c r="O9">
        <v>14.68347</v>
      </c>
      <c r="P9" s="27">
        <v>46057</v>
      </c>
      <c r="Q9" s="27">
        <v>46057</v>
      </c>
    </row>
    <row r="10" spans="2:17" x14ac:dyDescent="0.3">
      <c r="B10" s="27">
        <v>46057</v>
      </c>
      <c r="C10" t="s">
        <v>855</v>
      </c>
      <c r="D10" t="s">
        <v>849</v>
      </c>
      <c r="E10" t="s">
        <v>16</v>
      </c>
      <c r="F10" t="s">
        <v>20</v>
      </c>
      <c r="G10">
        <v>20020</v>
      </c>
      <c r="H10" t="s">
        <v>19</v>
      </c>
      <c r="I10" s="28">
        <v>220</v>
      </c>
      <c r="J10">
        <v>1875.81</v>
      </c>
      <c r="K10" s="34">
        <v>5.2453000000000003</v>
      </c>
      <c r="L10" s="34">
        <v>5.2729999999999997</v>
      </c>
      <c r="M10">
        <v>9891.15</v>
      </c>
      <c r="N10" s="35">
        <v>5.2531745044812781E-3</v>
      </c>
      <c r="O10">
        <v>51.959936999999996</v>
      </c>
      <c r="P10" s="27">
        <v>46057</v>
      </c>
      <c r="Q10" s="27">
        <v>46057</v>
      </c>
    </row>
    <row r="11" spans="2:17" x14ac:dyDescent="0.3">
      <c r="B11" s="27">
        <v>46057</v>
      </c>
      <c r="C11" t="s">
        <v>856</v>
      </c>
      <c r="D11" t="s">
        <v>849</v>
      </c>
      <c r="E11" t="s">
        <v>16</v>
      </c>
      <c r="F11" t="s">
        <v>17</v>
      </c>
      <c r="G11">
        <v>72444</v>
      </c>
      <c r="H11" t="s">
        <v>18</v>
      </c>
      <c r="I11" s="28">
        <v>220</v>
      </c>
      <c r="J11">
        <v>1896.1</v>
      </c>
      <c r="K11" s="34">
        <v>5.2226999999999997</v>
      </c>
      <c r="L11" s="34">
        <v>5.1862690000000002</v>
      </c>
      <c r="M11">
        <v>9833.68</v>
      </c>
      <c r="N11" s="35">
        <v>7.0245136103676345E-3</v>
      </c>
      <c r="O11">
        <v>69.076819</v>
      </c>
      <c r="P11" s="27">
        <v>46057</v>
      </c>
      <c r="Q11" s="27">
        <v>46057</v>
      </c>
    </row>
    <row r="12" spans="2:17" x14ac:dyDescent="0.3">
      <c r="B12" s="27">
        <v>46057</v>
      </c>
      <c r="C12" t="s">
        <v>851</v>
      </c>
      <c r="D12" t="s">
        <v>849</v>
      </c>
      <c r="E12" t="s">
        <v>16</v>
      </c>
      <c r="F12" t="s">
        <v>17</v>
      </c>
      <c r="G12">
        <v>38517</v>
      </c>
      <c r="H12" t="s">
        <v>18</v>
      </c>
      <c r="I12" s="28">
        <v>978</v>
      </c>
      <c r="J12">
        <v>3000</v>
      </c>
      <c r="K12" s="34">
        <v>6.1634000000000002</v>
      </c>
      <c r="L12" s="34">
        <v>6.1045379999999998</v>
      </c>
      <c r="M12">
        <v>18313.61</v>
      </c>
      <c r="N12" s="35">
        <v>9.64233703786419E-3</v>
      </c>
      <c r="O12">
        <v>176.58600000000001</v>
      </c>
      <c r="P12" s="27">
        <v>46057</v>
      </c>
      <c r="Q12" s="27">
        <v>46057</v>
      </c>
    </row>
    <row r="13" spans="2:17" x14ac:dyDescent="0.3">
      <c r="B13" s="27">
        <v>46058</v>
      </c>
      <c r="C13" t="s">
        <v>857</v>
      </c>
      <c r="D13" t="s">
        <v>849</v>
      </c>
      <c r="E13" t="s">
        <v>16</v>
      </c>
      <c r="F13" t="s">
        <v>17</v>
      </c>
      <c r="G13">
        <v>49894</v>
      </c>
      <c r="H13" t="s">
        <v>18</v>
      </c>
      <c r="I13" s="28">
        <v>220</v>
      </c>
      <c r="J13">
        <v>4158.0600000000004</v>
      </c>
      <c r="K13" s="34">
        <v>5.2614999999999998</v>
      </c>
      <c r="L13" s="34">
        <v>5.18</v>
      </c>
      <c r="M13">
        <v>21538.75</v>
      </c>
      <c r="N13" s="35">
        <v>1.573359131797342E-2</v>
      </c>
      <c r="O13">
        <v>338.88189</v>
      </c>
      <c r="P13" s="27">
        <v>46058</v>
      </c>
      <c r="Q13" s="27">
        <v>46058</v>
      </c>
    </row>
    <row r="14" spans="2:17" x14ac:dyDescent="0.3">
      <c r="B14" s="27">
        <v>46058</v>
      </c>
      <c r="C14" t="s">
        <v>858</v>
      </c>
      <c r="D14" t="s">
        <v>849</v>
      </c>
      <c r="E14" t="s">
        <v>16</v>
      </c>
      <c r="F14" t="s">
        <v>17</v>
      </c>
      <c r="G14">
        <v>38675</v>
      </c>
      <c r="H14" t="s">
        <v>18</v>
      </c>
      <c r="I14" s="28">
        <v>220</v>
      </c>
      <c r="J14">
        <v>8000</v>
      </c>
      <c r="K14" s="34">
        <v>10.4999</v>
      </c>
      <c r="L14" s="34">
        <v>10.242464999999999</v>
      </c>
      <c r="M14">
        <v>40969.86</v>
      </c>
      <c r="N14" s="35">
        <v>2.513408637471546E-2</v>
      </c>
      <c r="O14">
        <v>1029.74</v>
      </c>
      <c r="P14" s="27">
        <v>46058</v>
      </c>
      <c r="Q14" s="27">
        <v>46058</v>
      </c>
    </row>
    <row r="15" spans="2:17" x14ac:dyDescent="0.3">
      <c r="B15" s="27">
        <v>46058</v>
      </c>
      <c r="C15" t="s">
        <v>854</v>
      </c>
      <c r="D15" t="s">
        <v>849</v>
      </c>
      <c r="E15" t="s">
        <v>16</v>
      </c>
      <c r="F15" t="s">
        <v>20</v>
      </c>
      <c r="G15">
        <v>37111</v>
      </c>
      <c r="H15" t="s">
        <v>19</v>
      </c>
      <c r="I15" s="28">
        <v>978</v>
      </c>
      <c r="J15">
        <v>776.08999999999992</v>
      </c>
      <c r="K15" s="34">
        <v>6.2060000000000004</v>
      </c>
      <c r="L15" s="34">
        <v>6.2246180000000004</v>
      </c>
      <c r="M15">
        <v>4830.8600000000006</v>
      </c>
      <c r="N15" s="35">
        <v>2.9910293405314993E-3</v>
      </c>
      <c r="O15">
        <v>14.449244</v>
      </c>
      <c r="P15" s="27">
        <v>46058</v>
      </c>
      <c r="Q15" s="27">
        <v>46058</v>
      </c>
    </row>
    <row r="16" spans="2:17" x14ac:dyDescent="0.3">
      <c r="B16" s="27">
        <v>46058</v>
      </c>
      <c r="C16" t="s">
        <v>859</v>
      </c>
      <c r="D16" t="s">
        <v>849</v>
      </c>
      <c r="E16" t="s">
        <v>16</v>
      </c>
      <c r="F16" t="s">
        <v>20</v>
      </c>
      <c r="G16">
        <v>69493</v>
      </c>
      <c r="H16" t="s">
        <v>19</v>
      </c>
      <c r="I16" s="28">
        <v>220</v>
      </c>
      <c r="J16">
        <v>6409.91</v>
      </c>
      <c r="K16" s="34">
        <v>5.2488999999999999</v>
      </c>
      <c r="L16" s="34">
        <v>5.2756470000000002</v>
      </c>
      <c r="M16">
        <v>33816.42</v>
      </c>
      <c r="N16" s="35">
        <v>5.0698998592991215E-3</v>
      </c>
      <c r="O16">
        <v>171.445863</v>
      </c>
      <c r="P16" s="27">
        <v>46058</v>
      </c>
      <c r="Q16" s="27">
        <v>46058</v>
      </c>
    </row>
    <row r="17" spans="2:17" x14ac:dyDescent="0.3">
      <c r="B17" s="27">
        <v>46058</v>
      </c>
      <c r="C17" t="s">
        <v>851</v>
      </c>
      <c r="D17" t="s">
        <v>849</v>
      </c>
      <c r="E17" t="s">
        <v>16</v>
      </c>
      <c r="F17" t="s">
        <v>17</v>
      </c>
      <c r="G17">
        <v>38517</v>
      </c>
      <c r="H17" t="s">
        <v>18</v>
      </c>
      <c r="I17" s="28">
        <v>540</v>
      </c>
      <c r="J17">
        <v>3000</v>
      </c>
      <c r="K17" s="34">
        <v>7.1166</v>
      </c>
      <c r="L17" s="34">
        <v>7.0262000000000002</v>
      </c>
      <c r="M17">
        <v>21078.6</v>
      </c>
      <c r="N17" s="35">
        <v>1.2866129629102503E-2</v>
      </c>
      <c r="O17">
        <v>271.2</v>
      </c>
      <c r="P17" s="27">
        <v>46058</v>
      </c>
      <c r="Q17" s="27">
        <v>46058</v>
      </c>
    </row>
    <row r="18" spans="2:17" x14ac:dyDescent="0.3">
      <c r="B18" s="27">
        <v>46059</v>
      </c>
      <c r="C18" t="s">
        <v>860</v>
      </c>
      <c r="D18" t="s">
        <v>849</v>
      </c>
      <c r="E18" t="s">
        <v>16</v>
      </c>
      <c r="F18" t="s">
        <v>17</v>
      </c>
      <c r="G18">
        <v>21468</v>
      </c>
      <c r="H18" t="s">
        <v>18</v>
      </c>
      <c r="I18" s="28">
        <v>220</v>
      </c>
      <c r="J18">
        <v>4609.9000000000005</v>
      </c>
      <c r="K18" s="34">
        <v>5.2519999999999998</v>
      </c>
      <c r="L18" s="34">
        <v>5.2047319999999999</v>
      </c>
      <c r="M18">
        <v>23993.29</v>
      </c>
      <c r="N18" s="35">
        <v>9.0817371440098469E-3</v>
      </c>
      <c r="O18">
        <v>217.90075300000001</v>
      </c>
      <c r="P18" s="27">
        <v>46059</v>
      </c>
      <c r="Q18" s="27">
        <v>46059</v>
      </c>
    </row>
    <row r="19" spans="2:17" x14ac:dyDescent="0.3">
      <c r="B19" s="27">
        <v>46059</v>
      </c>
      <c r="C19" t="s">
        <v>861</v>
      </c>
      <c r="D19" t="s">
        <v>849</v>
      </c>
      <c r="E19" t="s">
        <v>16</v>
      </c>
      <c r="F19" t="s">
        <v>20</v>
      </c>
      <c r="G19">
        <v>25619</v>
      </c>
      <c r="H19" t="s">
        <v>18</v>
      </c>
      <c r="I19" s="28">
        <v>220</v>
      </c>
      <c r="J19">
        <v>206.41</v>
      </c>
      <c r="K19" s="34">
        <v>5.2271000000000001</v>
      </c>
      <c r="L19" s="34">
        <v>5.2087070000000004</v>
      </c>
      <c r="M19">
        <v>1075.1299999999999</v>
      </c>
      <c r="N19" s="35">
        <v>3.5311999479132757E-3</v>
      </c>
      <c r="O19">
        <v>3.7964989999999998</v>
      </c>
      <c r="P19" s="27">
        <v>46059</v>
      </c>
      <c r="Q19" s="27">
        <v>46059</v>
      </c>
    </row>
    <row r="20" spans="2:17" x14ac:dyDescent="0.3">
      <c r="B20" s="27">
        <v>46059</v>
      </c>
      <c r="C20" t="s">
        <v>854</v>
      </c>
      <c r="D20" t="s">
        <v>849</v>
      </c>
      <c r="E20" t="s">
        <v>16</v>
      </c>
      <c r="F20" t="s">
        <v>20</v>
      </c>
      <c r="G20">
        <v>37111</v>
      </c>
      <c r="H20" t="s">
        <v>19</v>
      </c>
      <c r="I20" s="28">
        <v>978</v>
      </c>
      <c r="J20">
        <v>1129.79</v>
      </c>
      <c r="K20" s="34">
        <v>6.1685999999999996</v>
      </c>
      <c r="L20" s="34">
        <v>6.1869050000000003</v>
      </c>
      <c r="M20">
        <v>6989.9000000000005</v>
      </c>
      <c r="N20" s="35">
        <v>2.9586697949899139E-3</v>
      </c>
      <c r="O20">
        <v>20.680806</v>
      </c>
      <c r="P20" s="27">
        <v>46059</v>
      </c>
      <c r="Q20" s="27">
        <v>46059</v>
      </c>
    </row>
    <row r="21" spans="2:17" x14ac:dyDescent="0.3">
      <c r="B21" s="27">
        <v>46059</v>
      </c>
      <c r="C21" t="s">
        <v>862</v>
      </c>
      <c r="D21" t="s">
        <v>849</v>
      </c>
      <c r="E21" t="s">
        <v>16</v>
      </c>
      <c r="F21" t="s">
        <v>20</v>
      </c>
      <c r="G21">
        <v>25619</v>
      </c>
      <c r="H21" t="s">
        <v>19</v>
      </c>
      <c r="I21" s="28">
        <v>978</v>
      </c>
      <c r="J21">
        <v>5000</v>
      </c>
      <c r="K21" s="34">
        <v>6.1581999999999999</v>
      </c>
      <c r="L21" s="34">
        <v>6.1834350000000002</v>
      </c>
      <c r="M21">
        <v>30917.18</v>
      </c>
      <c r="N21" s="35">
        <v>4.081064314403836E-3</v>
      </c>
      <c r="O21">
        <v>126.175</v>
      </c>
      <c r="P21" s="27">
        <v>46059</v>
      </c>
      <c r="Q21" s="27">
        <v>46059</v>
      </c>
    </row>
    <row r="22" spans="2:17" x14ac:dyDescent="0.3">
      <c r="B22" s="27">
        <v>46059</v>
      </c>
      <c r="C22" t="s">
        <v>863</v>
      </c>
      <c r="D22" t="s">
        <v>849</v>
      </c>
      <c r="E22" t="s">
        <v>16</v>
      </c>
      <c r="F22" t="s">
        <v>20</v>
      </c>
      <c r="G22">
        <v>41552</v>
      </c>
      <c r="H22" t="s">
        <v>19</v>
      </c>
      <c r="I22" s="28">
        <v>220</v>
      </c>
      <c r="J22">
        <v>10000</v>
      </c>
      <c r="K22" s="34">
        <v>5.2222999999999997</v>
      </c>
      <c r="L22" s="34">
        <v>5.241663</v>
      </c>
      <c r="M22">
        <v>52416.63</v>
      </c>
      <c r="N22" s="35">
        <v>3.6940566381318297E-3</v>
      </c>
      <c r="O22">
        <v>193.63</v>
      </c>
      <c r="P22" s="27">
        <v>46059</v>
      </c>
      <c r="Q22" s="27">
        <v>46059</v>
      </c>
    </row>
    <row r="23" spans="2:17" x14ac:dyDescent="0.3">
      <c r="B23" s="27">
        <v>46059</v>
      </c>
      <c r="C23" t="s">
        <v>864</v>
      </c>
      <c r="D23" t="s">
        <v>849</v>
      </c>
      <c r="E23" t="s">
        <v>16</v>
      </c>
      <c r="F23" t="s">
        <v>20</v>
      </c>
      <c r="G23">
        <v>24415</v>
      </c>
      <c r="H23" t="s">
        <v>19</v>
      </c>
      <c r="I23" s="28">
        <v>220</v>
      </c>
      <c r="J23">
        <v>10000</v>
      </c>
      <c r="K23" s="34">
        <v>5.2266000000000004</v>
      </c>
      <c r="L23" s="34">
        <v>5.3551640000000003</v>
      </c>
      <c r="M23">
        <v>53551.64</v>
      </c>
      <c r="N23" s="35">
        <v>2.4007481376854194E-2</v>
      </c>
      <c r="O23">
        <v>1285.6400000000001</v>
      </c>
      <c r="P23" s="27">
        <v>46059</v>
      </c>
      <c r="Q23" s="27">
        <v>46059</v>
      </c>
    </row>
    <row r="24" spans="2:17" x14ac:dyDescent="0.3">
      <c r="B24" s="27">
        <v>46062</v>
      </c>
      <c r="C24" t="s">
        <v>865</v>
      </c>
      <c r="D24" t="s">
        <v>849</v>
      </c>
      <c r="E24" t="s">
        <v>16</v>
      </c>
      <c r="F24" t="s">
        <v>20</v>
      </c>
      <c r="G24">
        <v>69493</v>
      </c>
      <c r="H24" t="s">
        <v>19</v>
      </c>
      <c r="I24" s="28">
        <v>978</v>
      </c>
      <c r="J24">
        <v>900</v>
      </c>
      <c r="K24" s="34">
        <v>6.1917999999999997</v>
      </c>
      <c r="L24" s="34">
        <v>6.260618</v>
      </c>
      <c r="M24">
        <v>5634.56</v>
      </c>
      <c r="N24" s="35">
        <v>1.0992198148568831E-2</v>
      </c>
      <c r="O24">
        <v>61.936199999999999</v>
      </c>
      <c r="P24" s="27">
        <v>46062</v>
      </c>
      <c r="Q24" s="27">
        <v>46062</v>
      </c>
    </row>
    <row r="25" spans="2:17" x14ac:dyDescent="0.3">
      <c r="B25" s="27">
        <v>46062</v>
      </c>
      <c r="C25" t="s">
        <v>855</v>
      </c>
      <c r="D25" t="s">
        <v>849</v>
      </c>
      <c r="E25" t="s">
        <v>16</v>
      </c>
      <c r="F25" t="s">
        <v>20</v>
      </c>
      <c r="G25">
        <v>20020</v>
      </c>
      <c r="H25" t="s">
        <v>19</v>
      </c>
      <c r="I25" s="28">
        <v>220</v>
      </c>
      <c r="J25">
        <v>754.96</v>
      </c>
      <c r="K25" s="34">
        <v>5.1887999999999996</v>
      </c>
      <c r="L25" s="34">
        <v>5.2405999999999997</v>
      </c>
      <c r="M25">
        <v>3956.44</v>
      </c>
      <c r="N25" s="35">
        <v>9.8843728200099078E-3</v>
      </c>
      <c r="O25">
        <v>39.106928000000003</v>
      </c>
      <c r="P25" s="27">
        <v>46062</v>
      </c>
      <c r="Q25" s="27">
        <v>46062</v>
      </c>
    </row>
    <row r="26" spans="2:17" x14ac:dyDescent="0.3">
      <c r="B26" s="27">
        <v>46062</v>
      </c>
      <c r="C26" t="s">
        <v>866</v>
      </c>
      <c r="D26" t="s">
        <v>849</v>
      </c>
      <c r="E26" t="s">
        <v>16</v>
      </c>
      <c r="F26" t="s">
        <v>20</v>
      </c>
      <c r="G26">
        <v>24415</v>
      </c>
      <c r="H26" t="s">
        <v>19</v>
      </c>
      <c r="I26" s="28">
        <v>978</v>
      </c>
      <c r="J26">
        <v>8100.0599999999995</v>
      </c>
      <c r="K26" s="34">
        <v>6.1700999999999997</v>
      </c>
      <c r="L26" s="34">
        <v>6.3218920000000001</v>
      </c>
      <c r="M26">
        <v>51207.7</v>
      </c>
      <c r="N26" s="35">
        <v>2.4010535681157328E-2</v>
      </c>
      <c r="O26">
        <v>1229.524308</v>
      </c>
      <c r="P26" s="27">
        <v>46062</v>
      </c>
      <c r="Q26" s="27">
        <v>46062</v>
      </c>
    </row>
    <row r="27" spans="2:17" x14ac:dyDescent="0.3">
      <c r="B27" s="27">
        <v>46063</v>
      </c>
      <c r="C27" t="s">
        <v>867</v>
      </c>
      <c r="D27" t="s">
        <v>849</v>
      </c>
      <c r="E27" t="s">
        <v>16</v>
      </c>
      <c r="F27" t="s">
        <v>20</v>
      </c>
      <c r="G27">
        <v>40901</v>
      </c>
      <c r="H27" t="s">
        <v>18</v>
      </c>
      <c r="I27" s="28">
        <v>220</v>
      </c>
      <c r="J27">
        <v>110000</v>
      </c>
      <c r="K27" s="34">
        <v>5.1978</v>
      </c>
      <c r="L27" s="34">
        <v>5.1630000000000003</v>
      </c>
      <c r="M27">
        <v>567930</v>
      </c>
      <c r="N27" s="35">
        <v>6.7402672864613593E-3</v>
      </c>
      <c r="O27">
        <v>3828</v>
      </c>
      <c r="P27" s="27">
        <v>46063</v>
      </c>
      <c r="Q27" s="27">
        <v>46063</v>
      </c>
    </row>
    <row r="28" spans="2:17" x14ac:dyDescent="0.3">
      <c r="B28" s="27">
        <v>46063</v>
      </c>
      <c r="C28" t="s">
        <v>854</v>
      </c>
      <c r="D28" t="s">
        <v>849</v>
      </c>
      <c r="E28" t="s">
        <v>16</v>
      </c>
      <c r="F28" t="s">
        <v>20</v>
      </c>
      <c r="G28">
        <v>37111</v>
      </c>
      <c r="H28" t="s">
        <v>19</v>
      </c>
      <c r="I28" s="28">
        <v>978</v>
      </c>
      <c r="J28">
        <v>2321.64</v>
      </c>
      <c r="K28" s="34">
        <v>6.1886999999999999</v>
      </c>
      <c r="L28" s="34">
        <v>6.2070660000000002</v>
      </c>
      <c r="M28">
        <v>14410.57</v>
      </c>
      <c r="N28" s="35">
        <v>2.9588864285035221E-3</v>
      </c>
      <c r="O28">
        <v>42.639240000000001</v>
      </c>
      <c r="P28" s="27">
        <v>46063</v>
      </c>
      <c r="Q28" s="27">
        <v>46063</v>
      </c>
    </row>
    <row r="29" spans="2:17" x14ac:dyDescent="0.3">
      <c r="B29" s="27">
        <v>46063</v>
      </c>
      <c r="C29" t="s">
        <v>868</v>
      </c>
      <c r="D29" t="s">
        <v>849</v>
      </c>
      <c r="E29" t="s">
        <v>16</v>
      </c>
      <c r="F29" t="s">
        <v>20</v>
      </c>
      <c r="G29">
        <v>40901</v>
      </c>
      <c r="H29" t="s">
        <v>18</v>
      </c>
      <c r="I29" s="28">
        <v>978</v>
      </c>
      <c r="J29">
        <v>1280</v>
      </c>
      <c r="K29" s="34">
        <v>6.1848999999999998</v>
      </c>
      <c r="L29" s="34">
        <v>6.16439</v>
      </c>
      <c r="M29">
        <v>7890.42</v>
      </c>
      <c r="N29" s="35">
        <v>3.3271739653909426E-3</v>
      </c>
      <c r="O29">
        <v>26.252800000000001</v>
      </c>
      <c r="P29" s="27">
        <v>46063</v>
      </c>
      <c r="Q29" s="27">
        <v>46063</v>
      </c>
    </row>
    <row r="30" spans="2:17" x14ac:dyDescent="0.3">
      <c r="B30" s="27">
        <v>46064</v>
      </c>
      <c r="C30" t="s">
        <v>860</v>
      </c>
      <c r="D30" t="s">
        <v>849</v>
      </c>
      <c r="E30" t="s">
        <v>16</v>
      </c>
      <c r="F30" t="s">
        <v>17</v>
      </c>
      <c r="G30">
        <v>21468</v>
      </c>
      <c r="H30" t="s">
        <v>18</v>
      </c>
      <c r="I30" s="28">
        <v>220</v>
      </c>
      <c r="J30">
        <v>10860.33</v>
      </c>
      <c r="K30" s="34">
        <v>10.3314</v>
      </c>
      <c r="L30" s="34">
        <v>10.231486</v>
      </c>
      <c r="M30">
        <v>55551.340000000004</v>
      </c>
      <c r="N30" s="35">
        <v>1.0238479215802895E-2</v>
      </c>
      <c r="O30">
        <v>568.76124000000004</v>
      </c>
      <c r="P30" s="27">
        <v>46064</v>
      </c>
      <c r="Q30" s="27">
        <v>46064</v>
      </c>
    </row>
    <row r="31" spans="2:17" x14ac:dyDescent="0.3">
      <c r="B31" s="27">
        <v>46064</v>
      </c>
      <c r="C31" t="s">
        <v>869</v>
      </c>
      <c r="D31" t="s">
        <v>849</v>
      </c>
      <c r="E31" t="s">
        <v>16</v>
      </c>
      <c r="F31" t="s">
        <v>20</v>
      </c>
      <c r="G31">
        <v>71997</v>
      </c>
      <c r="H31" t="s">
        <v>19</v>
      </c>
      <c r="I31" s="28">
        <v>220</v>
      </c>
      <c r="J31">
        <v>410000</v>
      </c>
      <c r="K31" s="34">
        <v>5.1798000000000002</v>
      </c>
      <c r="L31" s="34">
        <v>5.1950380000000003</v>
      </c>
      <c r="M31">
        <v>2129965.58</v>
      </c>
      <c r="N31" s="35">
        <v>2.9331835493792346E-3</v>
      </c>
      <c r="O31">
        <v>6247.58</v>
      </c>
      <c r="P31" s="27">
        <v>46064</v>
      </c>
      <c r="Q31" s="27">
        <v>46064</v>
      </c>
    </row>
    <row r="32" spans="2:17" x14ac:dyDescent="0.3">
      <c r="B32" s="27">
        <v>46064</v>
      </c>
      <c r="C32" t="s">
        <v>870</v>
      </c>
      <c r="D32" t="s">
        <v>849</v>
      </c>
      <c r="E32" t="s">
        <v>16</v>
      </c>
      <c r="F32" t="s">
        <v>20</v>
      </c>
      <c r="G32">
        <v>27086</v>
      </c>
      <c r="H32" t="s">
        <v>18</v>
      </c>
      <c r="I32" s="28">
        <v>540</v>
      </c>
      <c r="J32">
        <v>100</v>
      </c>
      <c r="K32" s="34">
        <v>7.0654000000000003</v>
      </c>
      <c r="L32" s="34">
        <v>7.0444000000000004</v>
      </c>
      <c r="M32">
        <v>704.44</v>
      </c>
      <c r="N32" s="35">
        <v>2.9810913633524501E-3</v>
      </c>
      <c r="O32">
        <v>2.1</v>
      </c>
      <c r="P32" s="27">
        <v>46064</v>
      </c>
      <c r="Q32" s="27">
        <v>46064</v>
      </c>
    </row>
    <row r="33" spans="2:17" x14ac:dyDescent="0.3">
      <c r="B33" s="27">
        <v>46064</v>
      </c>
      <c r="C33" t="s">
        <v>871</v>
      </c>
      <c r="D33" t="s">
        <v>849</v>
      </c>
      <c r="E33" t="s">
        <v>16</v>
      </c>
      <c r="F33" t="s">
        <v>20</v>
      </c>
      <c r="G33">
        <v>71881</v>
      </c>
      <c r="H33" t="s">
        <v>19</v>
      </c>
      <c r="I33" s="28">
        <v>220</v>
      </c>
      <c r="J33">
        <v>20000</v>
      </c>
      <c r="K33" s="34">
        <v>5.1824000000000003</v>
      </c>
      <c r="L33" s="34">
        <v>5.2036319999999998</v>
      </c>
      <c r="M33">
        <v>104072.64</v>
      </c>
      <c r="N33" s="35">
        <v>4.0802270414203E-3</v>
      </c>
      <c r="O33">
        <v>424.64</v>
      </c>
      <c r="P33" s="27">
        <v>46064</v>
      </c>
      <c r="Q33" s="27">
        <v>46064</v>
      </c>
    </row>
    <row r="34" spans="2:17" x14ac:dyDescent="0.3">
      <c r="B34" s="27">
        <v>46065</v>
      </c>
      <c r="C34" t="s">
        <v>872</v>
      </c>
      <c r="D34" t="s">
        <v>849</v>
      </c>
      <c r="E34" t="s">
        <v>16</v>
      </c>
      <c r="F34" t="s">
        <v>20</v>
      </c>
      <c r="G34">
        <v>71881</v>
      </c>
      <c r="H34" t="s">
        <v>19</v>
      </c>
      <c r="I34" s="28">
        <v>220</v>
      </c>
      <c r="J34">
        <v>1072.95</v>
      </c>
      <c r="K34" s="34">
        <v>5.1959</v>
      </c>
      <c r="L34" s="34">
        <v>5.2223649999999999</v>
      </c>
      <c r="M34">
        <v>5603.34</v>
      </c>
      <c r="N34" s="35">
        <v>5.0676243097866631E-3</v>
      </c>
      <c r="O34">
        <v>28.395621999999999</v>
      </c>
      <c r="P34" s="27">
        <v>46065</v>
      </c>
      <c r="Q34" s="27">
        <v>46065</v>
      </c>
    </row>
    <row r="35" spans="2:17" x14ac:dyDescent="0.3">
      <c r="B35" s="27">
        <v>46066</v>
      </c>
      <c r="C35" t="s">
        <v>860</v>
      </c>
      <c r="D35" t="s">
        <v>849</v>
      </c>
      <c r="E35" t="s">
        <v>16</v>
      </c>
      <c r="F35" t="s">
        <v>17</v>
      </c>
      <c r="G35">
        <v>21468</v>
      </c>
      <c r="H35" t="s">
        <v>18</v>
      </c>
      <c r="I35" s="28">
        <v>220</v>
      </c>
      <c r="J35">
        <v>4365</v>
      </c>
      <c r="K35" s="34">
        <v>5.1589999999999998</v>
      </c>
      <c r="L35" s="34">
        <v>5.1100099999999999</v>
      </c>
      <c r="M35">
        <v>22305.190000000002</v>
      </c>
      <c r="N35" s="35">
        <v>9.5870669561658062E-3</v>
      </c>
      <c r="O35">
        <v>213.84135000000001</v>
      </c>
      <c r="P35" s="27">
        <v>46066</v>
      </c>
      <c r="Q35" s="27">
        <v>46066</v>
      </c>
    </row>
    <row r="36" spans="2:17" x14ac:dyDescent="0.3">
      <c r="B36" s="27">
        <v>46066</v>
      </c>
      <c r="C36" t="s">
        <v>870</v>
      </c>
      <c r="D36" t="s">
        <v>849</v>
      </c>
      <c r="E36" t="s">
        <v>16</v>
      </c>
      <c r="F36" t="s">
        <v>20</v>
      </c>
      <c r="G36">
        <v>27086</v>
      </c>
      <c r="H36" t="s">
        <v>18</v>
      </c>
      <c r="I36" s="28">
        <v>540</v>
      </c>
      <c r="J36">
        <v>49000</v>
      </c>
      <c r="K36" s="34">
        <v>7.1228999999999996</v>
      </c>
      <c r="L36" s="34">
        <v>7.0979700000000001</v>
      </c>
      <c r="M36">
        <v>347800.53</v>
      </c>
      <c r="N36" s="35">
        <v>3.512271818562208E-3</v>
      </c>
      <c r="O36">
        <v>1221.57</v>
      </c>
      <c r="P36" s="27">
        <v>46066</v>
      </c>
      <c r="Q36" s="27">
        <v>46066</v>
      </c>
    </row>
    <row r="37" spans="2:17" x14ac:dyDescent="0.3">
      <c r="B37" s="27">
        <v>46066</v>
      </c>
      <c r="C37" t="s">
        <v>873</v>
      </c>
      <c r="D37" t="s">
        <v>849</v>
      </c>
      <c r="E37" t="s">
        <v>16</v>
      </c>
      <c r="F37" t="s">
        <v>20</v>
      </c>
      <c r="G37">
        <v>22103</v>
      </c>
      <c r="H37" t="s">
        <v>19</v>
      </c>
      <c r="I37" s="28">
        <v>220</v>
      </c>
      <c r="J37">
        <v>60000</v>
      </c>
      <c r="K37" s="34">
        <v>5.2312000000000003</v>
      </c>
      <c r="L37" s="34">
        <v>5.247395</v>
      </c>
      <c r="M37">
        <v>314843.69999999995</v>
      </c>
      <c r="N37" s="35">
        <v>3.0862932941011687E-3</v>
      </c>
      <c r="O37">
        <v>971.7</v>
      </c>
      <c r="P37" s="27">
        <v>46066</v>
      </c>
      <c r="Q37" s="27">
        <v>46066</v>
      </c>
    </row>
    <row r="38" spans="2:17" x14ac:dyDescent="0.3">
      <c r="B38" s="27">
        <v>46066</v>
      </c>
      <c r="C38" t="s">
        <v>866</v>
      </c>
      <c r="D38" t="s">
        <v>849</v>
      </c>
      <c r="E38" t="s">
        <v>16</v>
      </c>
      <c r="F38" t="s">
        <v>20</v>
      </c>
      <c r="G38">
        <v>24415</v>
      </c>
      <c r="H38" t="s">
        <v>19</v>
      </c>
      <c r="I38" s="28">
        <v>978</v>
      </c>
      <c r="J38">
        <v>2400</v>
      </c>
      <c r="K38" s="34">
        <v>6.1921999999999997</v>
      </c>
      <c r="L38" s="34">
        <v>6.3765239999999999</v>
      </c>
      <c r="M38">
        <v>15303.66</v>
      </c>
      <c r="N38" s="35">
        <v>2.890665370244765E-2</v>
      </c>
      <c r="O38">
        <v>442.37759999999997</v>
      </c>
      <c r="P38" s="27">
        <v>46066</v>
      </c>
      <c r="Q38" s="27">
        <v>46066</v>
      </c>
    </row>
    <row r="39" spans="2:17" x14ac:dyDescent="0.3">
      <c r="B39" s="27">
        <v>46066</v>
      </c>
      <c r="C39" t="s">
        <v>851</v>
      </c>
      <c r="D39" t="s">
        <v>849</v>
      </c>
      <c r="E39" t="s">
        <v>16</v>
      </c>
      <c r="F39" t="s">
        <v>17</v>
      </c>
      <c r="G39">
        <v>38517</v>
      </c>
      <c r="H39" t="s">
        <v>18</v>
      </c>
      <c r="I39" s="28">
        <v>978</v>
      </c>
      <c r="J39">
        <v>12480.28</v>
      </c>
      <c r="K39" s="34">
        <v>12.3931</v>
      </c>
      <c r="L39" s="34">
        <v>12.2994</v>
      </c>
      <c r="M39">
        <v>76780.89</v>
      </c>
      <c r="N39" s="35">
        <v>7.729490762610332E-3</v>
      </c>
      <c r="O39">
        <v>593.47717999999998</v>
      </c>
      <c r="P39" s="27">
        <v>46066</v>
      </c>
      <c r="Q39" s="27">
        <v>46066</v>
      </c>
    </row>
    <row r="40" spans="2:17" x14ac:dyDescent="0.3">
      <c r="B40" s="27">
        <v>46071</v>
      </c>
      <c r="C40" t="s">
        <v>860</v>
      </c>
      <c r="D40" t="s">
        <v>849</v>
      </c>
      <c r="E40" t="s">
        <v>16</v>
      </c>
      <c r="F40" t="s">
        <v>17</v>
      </c>
      <c r="G40">
        <v>21468</v>
      </c>
      <c r="H40" t="s">
        <v>18</v>
      </c>
      <c r="I40" s="28">
        <v>220</v>
      </c>
      <c r="J40">
        <v>5796.97</v>
      </c>
      <c r="K40" s="34">
        <v>5.2061999999999999</v>
      </c>
      <c r="L40" s="34">
        <v>5.1536429999999998</v>
      </c>
      <c r="M40">
        <v>29875.51</v>
      </c>
      <c r="N40" s="35">
        <v>1.0198030159150422E-2</v>
      </c>
      <c r="O40">
        <v>304.67135200000001</v>
      </c>
      <c r="P40" s="27">
        <v>46071</v>
      </c>
      <c r="Q40" s="27">
        <v>46071</v>
      </c>
    </row>
    <row r="41" spans="2:17" x14ac:dyDescent="0.3">
      <c r="B41" s="27">
        <v>46071</v>
      </c>
      <c r="C41" t="s">
        <v>872</v>
      </c>
      <c r="D41" t="s">
        <v>849</v>
      </c>
      <c r="E41" t="s">
        <v>16</v>
      </c>
      <c r="F41" t="s">
        <v>20</v>
      </c>
      <c r="G41">
        <v>71881</v>
      </c>
      <c r="H41" t="s">
        <v>19</v>
      </c>
      <c r="I41" s="28">
        <v>220</v>
      </c>
      <c r="J41">
        <v>29645</v>
      </c>
      <c r="K41" s="34">
        <v>10.4499</v>
      </c>
      <c r="L41" s="34">
        <v>10.500602000000001</v>
      </c>
      <c r="M41">
        <v>156034.31999999998</v>
      </c>
      <c r="N41" s="35">
        <v>4.793074113438634E-3</v>
      </c>
      <c r="O41">
        <v>747.88405999999998</v>
      </c>
      <c r="P41" s="27">
        <v>46071</v>
      </c>
      <c r="Q41" s="27">
        <v>46071</v>
      </c>
    </row>
    <row r="42" spans="2:17" x14ac:dyDescent="0.3">
      <c r="B42" s="27">
        <v>46071</v>
      </c>
      <c r="C42" t="s">
        <v>874</v>
      </c>
      <c r="D42" t="s">
        <v>849</v>
      </c>
      <c r="E42" t="s">
        <v>16</v>
      </c>
      <c r="F42" t="s">
        <v>20</v>
      </c>
      <c r="G42">
        <v>23410</v>
      </c>
      <c r="H42" t="s">
        <v>19</v>
      </c>
      <c r="I42" s="28">
        <v>220</v>
      </c>
      <c r="J42">
        <v>5000</v>
      </c>
      <c r="K42" s="34">
        <v>5.2427000000000001</v>
      </c>
      <c r="L42" s="34">
        <v>5.2951269999999999</v>
      </c>
      <c r="M42">
        <v>26475.64</v>
      </c>
      <c r="N42" s="35">
        <v>9.9009882291797285E-3</v>
      </c>
      <c r="O42">
        <v>262.13499999999999</v>
      </c>
      <c r="P42" s="27">
        <v>46071</v>
      </c>
      <c r="Q42" s="27">
        <v>46071</v>
      </c>
    </row>
    <row r="43" spans="2:17" x14ac:dyDescent="0.3">
      <c r="B43" s="27">
        <v>46071</v>
      </c>
      <c r="C43" t="s">
        <v>851</v>
      </c>
      <c r="D43" t="s">
        <v>849</v>
      </c>
      <c r="E43" t="s">
        <v>16</v>
      </c>
      <c r="F43" t="s">
        <v>17</v>
      </c>
      <c r="G43">
        <v>38517</v>
      </c>
      <c r="H43" t="s">
        <v>18</v>
      </c>
      <c r="I43" s="28">
        <v>220</v>
      </c>
      <c r="J43">
        <v>2904.9999999999995</v>
      </c>
      <c r="K43" s="34">
        <v>5.2240000000000002</v>
      </c>
      <c r="L43" s="34">
        <v>5.1801000000000004</v>
      </c>
      <c r="M43">
        <v>15048.19</v>
      </c>
      <c r="N43" s="35">
        <v>8.4747401514733665E-3</v>
      </c>
      <c r="O43">
        <v>127.5295</v>
      </c>
      <c r="P43" s="27">
        <v>46071</v>
      </c>
      <c r="Q43" s="27">
        <v>46071</v>
      </c>
    </row>
    <row r="44" spans="2:17" x14ac:dyDescent="0.3">
      <c r="B44" s="27">
        <v>46071</v>
      </c>
      <c r="C44" t="s">
        <v>851</v>
      </c>
      <c r="D44" t="s">
        <v>849</v>
      </c>
      <c r="E44" t="s">
        <v>16</v>
      </c>
      <c r="F44" t="s">
        <v>17</v>
      </c>
      <c r="G44">
        <v>38517</v>
      </c>
      <c r="H44" t="s">
        <v>19</v>
      </c>
      <c r="I44" s="28">
        <v>978</v>
      </c>
      <c r="J44">
        <v>750</v>
      </c>
      <c r="K44" s="34">
        <v>6.1734999999999998</v>
      </c>
      <c r="L44" s="34">
        <v>6.2252999999999998</v>
      </c>
      <c r="M44">
        <v>4668.9799999999996</v>
      </c>
      <c r="N44" s="35">
        <v>8.3208752232821741E-3</v>
      </c>
      <c r="O44">
        <v>38.85</v>
      </c>
      <c r="P44" s="27">
        <v>46071</v>
      </c>
      <c r="Q44" s="27">
        <v>46071</v>
      </c>
    </row>
    <row r="45" spans="2:17" x14ac:dyDescent="0.3">
      <c r="B45" s="27">
        <v>46073</v>
      </c>
      <c r="C45" t="s">
        <v>863</v>
      </c>
      <c r="D45" t="s">
        <v>849</v>
      </c>
      <c r="E45" t="s">
        <v>16</v>
      </c>
      <c r="F45" t="s">
        <v>20</v>
      </c>
      <c r="G45">
        <v>41552</v>
      </c>
      <c r="H45" t="s">
        <v>19</v>
      </c>
      <c r="I45" s="28">
        <v>220</v>
      </c>
      <c r="J45">
        <v>18959.96</v>
      </c>
      <c r="K45" s="34">
        <v>5.1976000000000004</v>
      </c>
      <c r="L45" s="34">
        <v>5.2168840000000003</v>
      </c>
      <c r="M45">
        <v>98911.91</v>
      </c>
      <c r="N45" s="35">
        <v>3.6964594961314567E-3</v>
      </c>
      <c r="O45">
        <v>365.62386900000001</v>
      </c>
      <c r="P45" s="27">
        <v>46073</v>
      </c>
      <c r="Q45" s="27">
        <v>46073</v>
      </c>
    </row>
    <row r="46" spans="2:17" x14ac:dyDescent="0.3">
      <c r="B46" s="27">
        <v>46073</v>
      </c>
      <c r="C46" t="s">
        <v>856</v>
      </c>
      <c r="D46" t="s">
        <v>849</v>
      </c>
      <c r="E46" t="s">
        <v>16</v>
      </c>
      <c r="F46" t="s">
        <v>17</v>
      </c>
      <c r="G46">
        <v>72444</v>
      </c>
      <c r="H46" t="s">
        <v>18</v>
      </c>
      <c r="I46" s="28">
        <v>220</v>
      </c>
      <c r="J46">
        <v>364.76</v>
      </c>
      <c r="K46" s="34">
        <v>5.1970999999999998</v>
      </c>
      <c r="L46" s="34">
        <v>5.1597</v>
      </c>
      <c r="M46">
        <v>1882.05</v>
      </c>
      <c r="N46" s="35">
        <v>7.2484918041497304E-3</v>
      </c>
      <c r="O46">
        <v>13.642023999999999</v>
      </c>
      <c r="P46" s="27">
        <v>46073</v>
      </c>
      <c r="Q46" s="27">
        <v>46073</v>
      </c>
    </row>
    <row r="47" spans="2:17" x14ac:dyDescent="0.3">
      <c r="B47" s="27">
        <v>46076</v>
      </c>
      <c r="C47" t="s">
        <v>875</v>
      </c>
      <c r="D47" t="s">
        <v>849</v>
      </c>
      <c r="E47" t="s">
        <v>16</v>
      </c>
      <c r="F47" t="s">
        <v>20</v>
      </c>
      <c r="G47">
        <v>49894</v>
      </c>
      <c r="H47" t="s">
        <v>19</v>
      </c>
      <c r="I47" s="28">
        <v>220</v>
      </c>
      <c r="J47">
        <v>2000</v>
      </c>
      <c r="K47" s="34">
        <v>5.1620999999999997</v>
      </c>
      <c r="L47" s="34">
        <v>5.1775000000000002</v>
      </c>
      <c r="M47">
        <v>10355</v>
      </c>
      <c r="N47" s="35">
        <v>2.9744084983099953E-3</v>
      </c>
      <c r="O47">
        <v>30.8</v>
      </c>
      <c r="P47" s="27">
        <v>46076</v>
      </c>
      <c r="Q47" s="27">
        <v>46076</v>
      </c>
    </row>
    <row r="48" spans="2:17" x14ac:dyDescent="0.3">
      <c r="B48" s="27">
        <v>46076</v>
      </c>
      <c r="C48" t="s">
        <v>876</v>
      </c>
      <c r="D48" t="s">
        <v>849</v>
      </c>
      <c r="E48" t="s">
        <v>16</v>
      </c>
      <c r="F48" t="s">
        <v>17</v>
      </c>
      <c r="G48">
        <v>69519</v>
      </c>
      <c r="H48" t="s">
        <v>19</v>
      </c>
      <c r="I48" s="28">
        <v>978</v>
      </c>
      <c r="J48">
        <v>36666.67</v>
      </c>
      <c r="K48" s="34">
        <v>6.0879000000000003</v>
      </c>
      <c r="L48" s="34">
        <v>6.0967000000000002</v>
      </c>
      <c r="M48">
        <v>223545.69</v>
      </c>
      <c r="N48" s="35">
        <v>1.4434037891761632E-3</v>
      </c>
      <c r="O48">
        <v>322.66669599999994</v>
      </c>
      <c r="P48" s="27">
        <v>46076</v>
      </c>
      <c r="Q48" s="27">
        <v>46076</v>
      </c>
    </row>
    <row r="49" spans="2:17" x14ac:dyDescent="0.3">
      <c r="B49" s="27">
        <v>46076</v>
      </c>
      <c r="C49" t="s">
        <v>851</v>
      </c>
      <c r="D49" t="s">
        <v>849</v>
      </c>
      <c r="E49" t="s">
        <v>16</v>
      </c>
      <c r="F49" t="s">
        <v>17</v>
      </c>
      <c r="G49">
        <v>38517</v>
      </c>
      <c r="H49" t="s">
        <v>18</v>
      </c>
      <c r="I49" s="28">
        <v>220</v>
      </c>
      <c r="J49">
        <v>3231.25</v>
      </c>
      <c r="K49" s="34">
        <v>5.1741999999999999</v>
      </c>
      <c r="L49" s="34">
        <v>5.1214000000000004</v>
      </c>
      <c r="M49">
        <v>16548.52</v>
      </c>
      <c r="N49" s="35">
        <v>1.0309683282855506E-2</v>
      </c>
      <c r="O49">
        <v>170.61</v>
      </c>
      <c r="P49" s="27">
        <v>46076</v>
      </c>
      <c r="Q49" s="27">
        <v>46076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FAC3-52EC-4D91-9528-0022271F301B}">
  <sheetPr codeName="Planilha7"/>
  <dimension ref="B2:T105"/>
  <sheetViews>
    <sheetView workbookViewId="0">
      <selection activeCell="I2" sqref="I2"/>
    </sheetView>
  </sheetViews>
  <sheetFormatPr defaultRowHeight="14.4" x14ac:dyDescent="0.3"/>
  <cols>
    <col min="2" max="2" width="8.5546875" bestFit="1" customWidth="1"/>
    <col min="3" max="3" width="15" bestFit="1" customWidth="1"/>
    <col min="4" max="4" width="7.88671875" bestFit="1" customWidth="1"/>
    <col min="5" max="5" width="59.5546875" bestFit="1" customWidth="1"/>
    <col min="6" max="6" width="17.6640625" bestFit="1" customWidth="1"/>
    <col min="7" max="7" width="17.33203125" bestFit="1" customWidth="1"/>
    <col min="8" max="8" width="6.21875" bestFit="1" customWidth="1"/>
    <col min="9" max="9" width="9.44140625" bestFit="1" customWidth="1"/>
    <col min="10" max="10" width="11" bestFit="1" customWidth="1"/>
    <col min="11" max="11" width="9" bestFit="1" customWidth="1"/>
    <col min="12" max="12" width="22.6640625" bestFit="1" customWidth="1"/>
    <col min="13" max="13" width="19.88671875" bestFit="1" customWidth="1"/>
    <col min="14" max="14" width="15.5546875" bestFit="1" customWidth="1"/>
    <col min="15" max="15" width="17.21875" bestFit="1" customWidth="1"/>
    <col min="16" max="16" width="20.44140625" bestFit="1" customWidth="1"/>
    <col min="17" max="17" width="60" bestFit="1" customWidth="1"/>
    <col min="18" max="18" width="18.77734375" bestFit="1" customWidth="1"/>
    <col min="19" max="19" width="13.21875" bestFit="1" customWidth="1"/>
    <col min="20" max="20" width="7.6640625" bestFit="1" customWidth="1"/>
  </cols>
  <sheetData>
    <row r="2" spans="2:20" x14ac:dyDescent="0.3">
      <c r="B2" t="s">
        <v>130</v>
      </c>
      <c r="C2" t="s">
        <v>131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  <c r="I2" t="s">
        <v>220</v>
      </c>
      <c r="J2" t="s">
        <v>5</v>
      </c>
      <c r="K2" t="s">
        <v>137</v>
      </c>
      <c r="L2" t="s">
        <v>138</v>
      </c>
      <c r="M2" t="s">
        <v>139</v>
      </c>
      <c r="N2" t="s">
        <v>140</v>
      </c>
      <c r="O2" t="s">
        <v>141</v>
      </c>
      <c r="P2" t="s">
        <v>142</v>
      </c>
      <c r="Q2" t="s">
        <v>143</v>
      </c>
      <c r="R2" t="s">
        <v>144</v>
      </c>
      <c r="S2" t="s">
        <v>145</v>
      </c>
      <c r="T2" t="s">
        <v>146</v>
      </c>
    </row>
    <row r="3" spans="2:20" x14ac:dyDescent="0.3">
      <c r="B3" t="s">
        <v>975</v>
      </c>
      <c r="C3">
        <v>1478</v>
      </c>
      <c r="D3" t="s">
        <v>976</v>
      </c>
      <c r="E3" t="s">
        <v>977</v>
      </c>
      <c r="F3" t="s">
        <v>132</v>
      </c>
      <c r="G3" s="1">
        <v>46084</v>
      </c>
      <c r="H3" s="3">
        <v>1.4999999999999999E-2</v>
      </c>
      <c r="I3" s="31">
        <f>H3*M3</f>
        <v>750</v>
      </c>
      <c r="J3">
        <v>25619</v>
      </c>
      <c r="K3">
        <v>15974702</v>
      </c>
      <c r="L3" t="s">
        <v>147</v>
      </c>
      <c r="M3" s="2">
        <v>50000</v>
      </c>
      <c r="N3">
        <v>1000</v>
      </c>
      <c r="P3" t="s">
        <v>978</v>
      </c>
      <c r="Q3" t="s">
        <v>148</v>
      </c>
      <c r="R3" t="s">
        <v>979</v>
      </c>
      <c r="T3" t="s">
        <v>147</v>
      </c>
    </row>
    <row r="4" spans="2:20" x14ac:dyDescent="0.3">
      <c r="B4" t="s">
        <v>975</v>
      </c>
      <c r="C4">
        <v>1504</v>
      </c>
      <c r="D4" t="s">
        <v>980</v>
      </c>
      <c r="E4" t="s">
        <v>981</v>
      </c>
      <c r="F4" t="s">
        <v>132</v>
      </c>
      <c r="G4" s="1">
        <v>46085</v>
      </c>
      <c r="H4" s="3">
        <v>1.4999999999999999E-2</v>
      </c>
      <c r="I4" s="31">
        <f t="shared" ref="I4:I10" si="0">H4*M4</f>
        <v>1650.6179999999999</v>
      </c>
      <c r="J4">
        <v>49894</v>
      </c>
      <c r="K4">
        <v>16885841</v>
      </c>
      <c r="L4" t="s">
        <v>147</v>
      </c>
      <c r="M4" s="2">
        <v>110041.2</v>
      </c>
      <c r="N4">
        <v>101.89</v>
      </c>
      <c r="P4" t="s">
        <v>982</v>
      </c>
      <c r="Q4" t="s">
        <v>148</v>
      </c>
      <c r="R4" t="s">
        <v>983</v>
      </c>
      <c r="T4" t="s">
        <v>147</v>
      </c>
    </row>
    <row r="5" spans="2:20" x14ac:dyDescent="0.3">
      <c r="B5" t="s">
        <v>975</v>
      </c>
      <c r="C5">
        <v>1504</v>
      </c>
      <c r="D5" t="s">
        <v>980</v>
      </c>
      <c r="E5" t="s">
        <v>981</v>
      </c>
      <c r="F5" t="s">
        <v>132</v>
      </c>
      <c r="G5" s="1">
        <v>46085</v>
      </c>
      <c r="H5" s="3">
        <v>1.4999999999999999E-2</v>
      </c>
      <c r="I5" s="31">
        <f t="shared" si="0"/>
        <v>1650.6179999999999</v>
      </c>
      <c r="J5">
        <v>49894</v>
      </c>
      <c r="K5">
        <v>18365289</v>
      </c>
      <c r="L5" t="s">
        <v>147</v>
      </c>
      <c r="M5" s="2">
        <v>110041.2</v>
      </c>
      <c r="N5">
        <v>101.89</v>
      </c>
      <c r="P5" t="s">
        <v>982</v>
      </c>
      <c r="Q5" t="s">
        <v>148</v>
      </c>
      <c r="R5" t="s">
        <v>983</v>
      </c>
      <c r="T5" t="s">
        <v>147</v>
      </c>
    </row>
    <row r="6" spans="2:20" x14ac:dyDescent="0.3">
      <c r="B6" t="s">
        <v>975</v>
      </c>
      <c r="C6">
        <v>1509</v>
      </c>
      <c r="D6" t="s">
        <v>984</v>
      </c>
      <c r="E6" t="s">
        <v>985</v>
      </c>
      <c r="F6" t="s">
        <v>132</v>
      </c>
      <c r="G6" s="1">
        <v>46086</v>
      </c>
      <c r="H6" s="3">
        <v>1.4999999999999999E-2</v>
      </c>
      <c r="I6" s="31">
        <f t="shared" si="0"/>
        <v>156</v>
      </c>
      <c r="J6">
        <v>49894</v>
      </c>
      <c r="K6">
        <v>7106317</v>
      </c>
      <c r="L6" t="s">
        <v>147</v>
      </c>
      <c r="M6" s="2">
        <v>10400</v>
      </c>
      <c r="N6">
        <v>104</v>
      </c>
      <c r="P6" t="s">
        <v>986</v>
      </c>
      <c r="Q6" t="s">
        <v>148</v>
      </c>
      <c r="R6" t="s">
        <v>983</v>
      </c>
      <c r="T6" t="s">
        <v>147</v>
      </c>
    </row>
    <row r="7" spans="2:20" x14ac:dyDescent="0.3">
      <c r="B7" t="s">
        <v>975</v>
      </c>
      <c r="C7">
        <v>1509</v>
      </c>
      <c r="D7" t="s">
        <v>984</v>
      </c>
      <c r="E7" t="s">
        <v>985</v>
      </c>
      <c r="F7" t="s">
        <v>132</v>
      </c>
      <c r="G7" s="1">
        <v>46086</v>
      </c>
      <c r="H7" s="3">
        <v>1.4999999999999999E-2</v>
      </c>
      <c r="I7" s="31">
        <f t="shared" si="0"/>
        <v>1560</v>
      </c>
      <c r="J7">
        <v>49894</v>
      </c>
      <c r="K7">
        <v>3566334</v>
      </c>
      <c r="L7" t="s">
        <v>147</v>
      </c>
      <c r="M7" s="2">
        <v>104000</v>
      </c>
      <c r="N7">
        <v>104</v>
      </c>
      <c r="P7" t="s">
        <v>986</v>
      </c>
      <c r="Q7" t="s">
        <v>148</v>
      </c>
      <c r="R7" t="s">
        <v>983</v>
      </c>
      <c r="T7" t="s">
        <v>147</v>
      </c>
    </row>
    <row r="8" spans="2:20" x14ac:dyDescent="0.3">
      <c r="B8" t="s">
        <v>975</v>
      </c>
      <c r="C8">
        <v>1509</v>
      </c>
      <c r="D8" t="s">
        <v>984</v>
      </c>
      <c r="E8" t="s">
        <v>985</v>
      </c>
      <c r="F8" t="s">
        <v>132</v>
      </c>
      <c r="G8" s="1">
        <v>46086</v>
      </c>
      <c r="H8" s="3">
        <v>1.4999999999999999E-2</v>
      </c>
      <c r="I8" s="31">
        <f t="shared" si="0"/>
        <v>1201.2</v>
      </c>
      <c r="J8">
        <v>49894</v>
      </c>
      <c r="K8">
        <v>15055794</v>
      </c>
      <c r="L8" t="s">
        <v>147</v>
      </c>
      <c r="M8" s="2">
        <v>80080</v>
      </c>
      <c r="N8">
        <v>104</v>
      </c>
      <c r="P8" t="s">
        <v>986</v>
      </c>
      <c r="Q8" t="s">
        <v>148</v>
      </c>
      <c r="R8" t="s">
        <v>983</v>
      </c>
      <c r="T8" t="s">
        <v>147</v>
      </c>
    </row>
    <row r="9" spans="2:20" x14ac:dyDescent="0.3">
      <c r="B9" t="s">
        <v>975</v>
      </c>
      <c r="C9">
        <v>1504</v>
      </c>
      <c r="D9" t="s">
        <v>980</v>
      </c>
      <c r="E9" t="s">
        <v>981</v>
      </c>
      <c r="F9" t="s">
        <v>132</v>
      </c>
      <c r="G9" s="1">
        <v>46085</v>
      </c>
      <c r="H9" s="3">
        <v>1.4999999999999999E-2</v>
      </c>
      <c r="I9" s="31">
        <f t="shared" si="0"/>
        <v>1222.68</v>
      </c>
      <c r="J9">
        <v>49894</v>
      </c>
      <c r="K9">
        <v>15055794</v>
      </c>
      <c r="L9" t="s">
        <v>147</v>
      </c>
      <c r="M9" s="2">
        <v>81512</v>
      </c>
      <c r="N9">
        <v>101.89</v>
      </c>
      <c r="P9" t="s">
        <v>982</v>
      </c>
      <c r="Q9" t="s">
        <v>148</v>
      </c>
      <c r="R9" t="s">
        <v>983</v>
      </c>
      <c r="T9" t="s">
        <v>147</v>
      </c>
    </row>
    <row r="10" spans="2:20" x14ac:dyDescent="0.3">
      <c r="B10" t="s">
        <v>975</v>
      </c>
      <c r="C10">
        <v>1478</v>
      </c>
      <c r="D10" t="s">
        <v>976</v>
      </c>
      <c r="E10" t="s">
        <v>977</v>
      </c>
      <c r="F10" t="s">
        <v>132</v>
      </c>
      <c r="G10" s="1">
        <v>46084</v>
      </c>
      <c r="H10" s="3">
        <v>1.4999999999999999E-2</v>
      </c>
      <c r="I10" s="31">
        <f t="shared" si="0"/>
        <v>750</v>
      </c>
      <c r="J10">
        <v>49894</v>
      </c>
      <c r="K10">
        <v>535922</v>
      </c>
      <c r="L10" t="s">
        <v>147</v>
      </c>
      <c r="M10" s="2">
        <v>50000</v>
      </c>
      <c r="N10">
        <v>1000</v>
      </c>
      <c r="P10" t="s">
        <v>978</v>
      </c>
      <c r="Q10" t="s">
        <v>148</v>
      </c>
      <c r="R10" t="s">
        <v>983</v>
      </c>
      <c r="T10" t="s">
        <v>147</v>
      </c>
    </row>
    <row r="11" spans="2:20" x14ac:dyDescent="0.3">
      <c r="G11" s="1"/>
      <c r="H11" s="3"/>
      <c r="I11" s="3"/>
      <c r="M11" s="2"/>
      <c r="N11" s="2"/>
    </row>
    <row r="12" spans="2:20" x14ac:dyDescent="0.3">
      <c r="G12" s="1"/>
      <c r="H12" s="3"/>
      <c r="I12" s="3"/>
      <c r="M12" s="2"/>
      <c r="N12" s="2"/>
    </row>
    <row r="13" spans="2:20" x14ac:dyDescent="0.3">
      <c r="G13" s="1"/>
      <c r="H13" s="3"/>
      <c r="I13" s="3"/>
      <c r="M13" s="2"/>
      <c r="N13" s="2"/>
    </row>
    <row r="14" spans="2:20" x14ac:dyDescent="0.3">
      <c r="G14" s="1"/>
      <c r="H14" s="3"/>
      <c r="I14" s="3"/>
      <c r="M14" s="2"/>
      <c r="N14" s="2"/>
    </row>
    <row r="15" spans="2:20" x14ac:dyDescent="0.3">
      <c r="G15" s="1"/>
      <c r="H15" s="3"/>
      <c r="I15" s="3"/>
      <c r="M15" s="2"/>
      <c r="N15" s="2"/>
    </row>
    <row r="16" spans="2:20" x14ac:dyDescent="0.3">
      <c r="G16" s="1"/>
      <c r="H16" s="3"/>
      <c r="I16" s="3"/>
      <c r="M16" s="2"/>
      <c r="N16" s="2"/>
    </row>
    <row r="17" spans="7:14" x14ac:dyDescent="0.3">
      <c r="G17" s="1"/>
      <c r="H17" s="3"/>
      <c r="I17" s="3"/>
      <c r="M17" s="2"/>
      <c r="N17" s="2"/>
    </row>
    <row r="18" spans="7:14" x14ac:dyDescent="0.3">
      <c r="G18" s="1"/>
      <c r="H18" s="3"/>
      <c r="I18" s="3"/>
      <c r="M18" s="2"/>
      <c r="N18" s="2"/>
    </row>
    <row r="19" spans="7:14" x14ac:dyDescent="0.3">
      <c r="G19" s="1"/>
      <c r="H19" s="3"/>
      <c r="I19" s="3"/>
      <c r="M19" s="2"/>
      <c r="N19" s="2"/>
    </row>
    <row r="20" spans="7:14" x14ac:dyDescent="0.3">
      <c r="G20" s="1"/>
      <c r="H20" s="3"/>
      <c r="I20" s="3"/>
      <c r="M20" s="2"/>
      <c r="N20" s="2"/>
    </row>
    <row r="21" spans="7:14" x14ac:dyDescent="0.3">
      <c r="G21" s="1"/>
      <c r="H21" s="3"/>
      <c r="I21" s="3"/>
      <c r="M21" s="2"/>
      <c r="N21" s="2"/>
    </row>
    <row r="22" spans="7:14" x14ac:dyDescent="0.3">
      <c r="G22" s="1"/>
      <c r="H22" s="3"/>
      <c r="I22" s="3"/>
      <c r="M22" s="2"/>
      <c r="N22" s="2"/>
    </row>
    <row r="23" spans="7:14" x14ac:dyDescent="0.3">
      <c r="G23" s="1"/>
      <c r="H23" s="3"/>
      <c r="I23" s="3"/>
      <c r="M23" s="2"/>
      <c r="N23" s="2"/>
    </row>
    <row r="24" spans="7:14" x14ac:dyDescent="0.3">
      <c r="G24" s="1"/>
      <c r="H24" s="3"/>
      <c r="I24" s="3"/>
      <c r="M24" s="2"/>
      <c r="N24" s="2"/>
    </row>
    <row r="25" spans="7:14" x14ac:dyDescent="0.3">
      <c r="G25" s="1"/>
      <c r="H25" s="3"/>
      <c r="I25" s="3"/>
      <c r="M25" s="2"/>
      <c r="N25" s="2"/>
    </row>
    <row r="26" spans="7:14" x14ac:dyDescent="0.3">
      <c r="G26" s="1"/>
      <c r="H26" s="3"/>
      <c r="I26" s="3"/>
      <c r="M26" s="2"/>
      <c r="N26" s="2"/>
    </row>
    <row r="27" spans="7:14" x14ac:dyDescent="0.3">
      <c r="G27" s="1"/>
      <c r="H27" s="3"/>
      <c r="I27" s="3"/>
      <c r="M27" s="2"/>
      <c r="N27" s="2"/>
    </row>
    <row r="28" spans="7:14" x14ac:dyDescent="0.3">
      <c r="G28" s="1"/>
      <c r="H28" s="3"/>
      <c r="I28" s="3"/>
      <c r="M28" s="2"/>
      <c r="N28" s="2"/>
    </row>
    <row r="29" spans="7:14" x14ac:dyDescent="0.3">
      <c r="G29" s="1"/>
      <c r="H29" s="3"/>
      <c r="I29" s="3"/>
      <c r="M29" s="2"/>
      <c r="N29" s="2"/>
    </row>
    <row r="30" spans="7:14" x14ac:dyDescent="0.3">
      <c r="G30" s="1"/>
      <c r="H30" s="3"/>
      <c r="I30" s="3"/>
      <c r="M30" s="2"/>
      <c r="N30" s="2"/>
    </row>
    <row r="31" spans="7:14" x14ac:dyDescent="0.3">
      <c r="G31" s="1"/>
      <c r="H31" s="3"/>
      <c r="I31" s="3"/>
      <c r="M31" s="2"/>
      <c r="N31" s="2"/>
    </row>
    <row r="32" spans="7:14" x14ac:dyDescent="0.3">
      <c r="G32" s="1"/>
      <c r="H32" s="3"/>
      <c r="I32" s="3"/>
      <c r="M32" s="2"/>
      <c r="N32" s="2"/>
    </row>
    <row r="33" spans="7:14" x14ac:dyDescent="0.3">
      <c r="G33" s="1"/>
      <c r="H33" s="3"/>
      <c r="I33" s="3"/>
      <c r="M33" s="2"/>
      <c r="N33" s="2"/>
    </row>
    <row r="34" spans="7:14" x14ac:dyDescent="0.3">
      <c r="G34" s="1"/>
      <c r="H34" s="3"/>
      <c r="I34" s="3"/>
      <c r="M34" s="2"/>
      <c r="N34" s="2"/>
    </row>
    <row r="35" spans="7:14" x14ac:dyDescent="0.3">
      <c r="G35" s="1"/>
      <c r="H35" s="3"/>
      <c r="I35" s="3"/>
      <c r="M35" s="2"/>
      <c r="N35" s="2"/>
    </row>
    <row r="36" spans="7:14" x14ac:dyDescent="0.3">
      <c r="G36" s="1"/>
      <c r="H36" s="3"/>
      <c r="I36" s="3"/>
      <c r="M36" s="2"/>
      <c r="N36" s="2"/>
    </row>
    <row r="37" spans="7:14" x14ac:dyDescent="0.3">
      <c r="G37" s="1"/>
      <c r="H37" s="3"/>
      <c r="I37" s="3"/>
      <c r="M37" s="2"/>
      <c r="N37" s="2"/>
    </row>
    <row r="38" spans="7:14" x14ac:dyDescent="0.3">
      <c r="G38" s="1"/>
      <c r="H38" s="3"/>
      <c r="I38" s="3"/>
      <c r="M38" s="2"/>
      <c r="N38" s="2"/>
    </row>
    <row r="39" spans="7:14" x14ac:dyDescent="0.3">
      <c r="G39" s="1"/>
      <c r="H39" s="3"/>
      <c r="I39" s="3"/>
      <c r="M39" s="2"/>
      <c r="N39" s="2"/>
    </row>
    <row r="40" spans="7:14" x14ac:dyDescent="0.3">
      <c r="G40" s="1"/>
      <c r="H40" s="3"/>
      <c r="I40" s="3"/>
      <c r="M40" s="2"/>
      <c r="N40" s="2"/>
    </row>
    <row r="41" spans="7:14" x14ac:dyDescent="0.3">
      <c r="G41" s="1"/>
      <c r="H41" s="3"/>
      <c r="I41" s="3"/>
      <c r="M41" s="2"/>
      <c r="N41" s="2"/>
    </row>
    <row r="42" spans="7:14" x14ac:dyDescent="0.3">
      <c r="G42" s="1"/>
      <c r="H42" s="3"/>
      <c r="I42" s="3"/>
      <c r="M42" s="2"/>
      <c r="N42" s="2"/>
    </row>
    <row r="43" spans="7:14" x14ac:dyDescent="0.3">
      <c r="G43" s="1"/>
      <c r="H43" s="3"/>
      <c r="I43" s="3"/>
      <c r="M43" s="2"/>
      <c r="N43" s="2"/>
    </row>
    <row r="44" spans="7:14" x14ac:dyDescent="0.3">
      <c r="G44" s="1"/>
      <c r="H44" s="3"/>
      <c r="I44" s="3"/>
      <c r="M44" s="2"/>
      <c r="N44" s="2"/>
    </row>
    <row r="45" spans="7:14" x14ac:dyDescent="0.3">
      <c r="G45" s="1"/>
      <c r="H45" s="3"/>
      <c r="I45" s="3"/>
      <c r="M45" s="2"/>
      <c r="N45" s="2"/>
    </row>
    <row r="46" spans="7:14" x14ac:dyDescent="0.3">
      <c r="G46" s="1"/>
      <c r="H46" s="3"/>
      <c r="I46" s="3"/>
      <c r="M46" s="2"/>
      <c r="N46" s="2"/>
    </row>
    <row r="47" spans="7:14" x14ac:dyDescent="0.3">
      <c r="G47" s="1"/>
      <c r="H47" s="3"/>
      <c r="I47" s="3"/>
      <c r="M47" s="2"/>
      <c r="N47" s="2"/>
    </row>
    <row r="48" spans="7:14" x14ac:dyDescent="0.3">
      <c r="G48" s="1"/>
      <c r="H48" s="3"/>
      <c r="I48" s="3"/>
      <c r="M48" s="2"/>
      <c r="N48" s="2"/>
    </row>
    <row r="49" spans="7:14" x14ac:dyDescent="0.3">
      <c r="G49" s="1"/>
      <c r="H49" s="3"/>
      <c r="I49" s="3"/>
      <c r="M49" s="2"/>
      <c r="N49" s="2"/>
    </row>
    <row r="50" spans="7:14" x14ac:dyDescent="0.3">
      <c r="G50" s="1"/>
      <c r="H50" s="3"/>
      <c r="I50" s="3"/>
      <c r="M50" s="2"/>
      <c r="N50" s="2"/>
    </row>
    <row r="51" spans="7:14" x14ac:dyDescent="0.3">
      <c r="G51" s="1"/>
      <c r="H51" s="3"/>
      <c r="I51" s="3"/>
      <c r="M51" s="2"/>
      <c r="N51" s="2"/>
    </row>
    <row r="52" spans="7:14" x14ac:dyDescent="0.3">
      <c r="G52" s="1"/>
      <c r="H52" s="3"/>
      <c r="I52" s="3"/>
      <c r="M52" s="2"/>
      <c r="N52" s="2"/>
    </row>
    <row r="53" spans="7:14" x14ac:dyDescent="0.3">
      <c r="G53" s="1"/>
      <c r="H53" s="3"/>
      <c r="I53" s="3"/>
      <c r="M53" s="2"/>
      <c r="N53" s="2"/>
    </row>
    <row r="54" spans="7:14" x14ac:dyDescent="0.3">
      <c r="G54" s="1"/>
      <c r="H54" s="3"/>
      <c r="I54" s="3"/>
      <c r="M54" s="2"/>
      <c r="N54" s="2"/>
    </row>
    <row r="55" spans="7:14" x14ac:dyDescent="0.3">
      <c r="G55" s="1"/>
      <c r="H55" s="3"/>
      <c r="I55" s="3"/>
      <c r="M55" s="2"/>
      <c r="N55" s="2"/>
    </row>
    <row r="56" spans="7:14" x14ac:dyDescent="0.3">
      <c r="G56" s="1"/>
      <c r="H56" s="3"/>
      <c r="I56" s="3"/>
      <c r="M56" s="2"/>
      <c r="N56" s="2"/>
    </row>
    <row r="57" spans="7:14" x14ac:dyDescent="0.3">
      <c r="G57" s="1"/>
      <c r="H57" s="3"/>
      <c r="I57" s="3"/>
      <c r="M57" s="2"/>
      <c r="N57" s="2"/>
    </row>
    <row r="58" spans="7:14" x14ac:dyDescent="0.3">
      <c r="G58" s="1"/>
      <c r="H58" s="3"/>
      <c r="I58" s="3"/>
      <c r="M58" s="2"/>
      <c r="N58" s="2"/>
    </row>
    <row r="59" spans="7:14" x14ac:dyDescent="0.3">
      <c r="G59" s="1"/>
      <c r="H59" s="3"/>
      <c r="I59" s="3"/>
      <c r="M59" s="2"/>
      <c r="N59" s="2"/>
    </row>
    <row r="60" spans="7:14" x14ac:dyDescent="0.3">
      <c r="G60" s="1"/>
      <c r="H60" s="3"/>
      <c r="I60" s="3"/>
      <c r="M60" s="2"/>
      <c r="N60" s="2"/>
    </row>
    <row r="61" spans="7:14" x14ac:dyDescent="0.3">
      <c r="G61" s="1"/>
      <c r="H61" s="3"/>
      <c r="I61" s="3"/>
      <c r="M61" s="2"/>
      <c r="N61" s="2"/>
    </row>
    <row r="62" spans="7:14" x14ac:dyDescent="0.3">
      <c r="G62" s="1"/>
      <c r="H62" s="3"/>
      <c r="I62" s="3"/>
      <c r="M62" s="2"/>
      <c r="N62" s="2"/>
    </row>
    <row r="63" spans="7:14" x14ac:dyDescent="0.3">
      <c r="G63" s="1"/>
      <c r="H63" s="3"/>
      <c r="I63" s="3"/>
      <c r="M63" s="2"/>
      <c r="N63" s="2"/>
    </row>
    <row r="64" spans="7:14" x14ac:dyDescent="0.3">
      <c r="G64" s="1"/>
      <c r="H64" s="3"/>
      <c r="I64" s="3"/>
      <c r="M64" s="2"/>
      <c r="N64" s="2"/>
    </row>
    <row r="65" spans="7:14" x14ac:dyDescent="0.3">
      <c r="G65" s="1"/>
      <c r="H65" s="3"/>
      <c r="I65" s="3"/>
      <c r="M65" s="2"/>
      <c r="N65" s="2"/>
    </row>
    <row r="66" spans="7:14" x14ac:dyDescent="0.3">
      <c r="G66" s="1"/>
      <c r="H66" s="3"/>
      <c r="I66" s="3"/>
      <c r="M66" s="2"/>
      <c r="N66" s="2"/>
    </row>
    <row r="67" spans="7:14" x14ac:dyDescent="0.3">
      <c r="G67" s="1"/>
      <c r="H67" s="3"/>
      <c r="I67" s="3"/>
      <c r="M67" s="2"/>
      <c r="N67" s="2"/>
    </row>
    <row r="68" spans="7:14" x14ac:dyDescent="0.3">
      <c r="G68" s="1"/>
      <c r="H68" s="3"/>
      <c r="I68" s="3"/>
      <c r="M68" s="2"/>
      <c r="N68" s="2"/>
    </row>
    <row r="69" spans="7:14" x14ac:dyDescent="0.3">
      <c r="G69" s="1"/>
      <c r="H69" s="3"/>
      <c r="I69" s="3"/>
      <c r="M69" s="2"/>
      <c r="N69" s="2"/>
    </row>
    <row r="70" spans="7:14" x14ac:dyDescent="0.3">
      <c r="G70" s="1"/>
      <c r="H70" s="3"/>
      <c r="I70" s="3"/>
      <c r="M70" s="2"/>
      <c r="N70" s="2"/>
    </row>
    <row r="71" spans="7:14" x14ac:dyDescent="0.3">
      <c r="G71" s="1"/>
      <c r="H71" s="3"/>
      <c r="I71" s="3"/>
      <c r="M71" s="2"/>
      <c r="N71" s="2"/>
    </row>
    <row r="72" spans="7:14" x14ac:dyDescent="0.3">
      <c r="G72" s="1"/>
      <c r="H72" s="3"/>
      <c r="I72" s="3"/>
      <c r="M72" s="2"/>
      <c r="N72" s="2"/>
    </row>
    <row r="73" spans="7:14" x14ac:dyDescent="0.3">
      <c r="G73" s="1"/>
      <c r="H73" s="3"/>
      <c r="I73" s="3"/>
      <c r="M73" s="2"/>
      <c r="N73" s="2"/>
    </row>
    <row r="74" spans="7:14" x14ac:dyDescent="0.3">
      <c r="G74" s="1"/>
      <c r="H74" s="3"/>
      <c r="I74" s="3"/>
      <c r="M74" s="2"/>
      <c r="N74" s="2"/>
    </row>
    <row r="75" spans="7:14" x14ac:dyDescent="0.3">
      <c r="G75" s="1"/>
      <c r="H75" s="3"/>
      <c r="I75" s="3"/>
      <c r="M75" s="2"/>
      <c r="N75" s="2"/>
    </row>
    <row r="76" spans="7:14" x14ac:dyDescent="0.3">
      <c r="G76" s="1"/>
      <c r="H76" s="3"/>
      <c r="I76" s="3"/>
      <c r="M76" s="2"/>
      <c r="N76" s="2"/>
    </row>
    <row r="77" spans="7:14" x14ac:dyDescent="0.3">
      <c r="G77" s="1"/>
      <c r="H77" s="3"/>
      <c r="I77" s="3"/>
      <c r="M77" s="2"/>
      <c r="N77" s="2"/>
    </row>
    <row r="78" spans="7:14" x14ac:dyDescent="0.3">
      <c r="G78" s="1"/>
      <c r="H78" s="3"/>
      <c r="I78" s="3"/>
      <c r="M78" s="2"/>
      <c r="N78" s="2"/>
    </row>
    <row r="79" spans="7:14" x14ac:dyDescent="0.3">
      <c r="G79" s="1"/>
      <c r="H79" s="3"/>
      <c r="I79" s="3"/>
      <c r="M79" s="2"/>
      <c r="N79" s="2"/>
    </row>
    <row r="80" spans="7:14" x14ac:dyDescent="0.3">
      <c r="G80" s="1"/>
      <c r="H80" s="3"/>
      <c r="I80" s="3"/>
      <c r="M80" s="2"/>
      <c r="N80" s="2"/>
    </row>
    <row r="81" spans="7:14" x14ac:dyDescent="0.3">
      <c r="G81" s="1"/>
      <c r="H81" s="3"/>
      <c r="I81" s="3"/>
      <c r="M81" s="2"/>
      <c r="N81" s="2"/>
    </row>
    <row r="82" spans="7:14" x14ac:dyDescent="0.3">
      <c r="G82" s="1"/>
      <c r="H82" s="3"/>
      <c r="I82" s="3"/>
      <c r="M82" s="2"/>
      <c r="N82" s="2"/>
    </row>
    <row r="83" spans="7:14" x14ac:dyDescent="0.3">
      <c r="G83" s="1"/>
      <c r="H83" s="3"/>
      <c r="I83" s="3"/>
      <c r="M83" s="2"/>
      <c r="N83" s="2"/>
    </row>
    <row r="84" spans="7:14" x14ac:dyDescent="0.3">
      <c r="G84" s="1"/>
      <c r="H84" s="3"/>
      <c r="I84" s="3"/>
      <c r="M84" s="2"/>
      <c r="N84" s="2"/>
    </row>
    <row r="85" spans="7:14" x14ac:dyDescent="0.3">
      <c r="G85" s="1"/>
      <c r="H85" s="3"/>
      <c r="I85" s="3"/>
      <c r="M85" s="2"/>
      <c r="N85" s="2"/>
    </row>
    <row r="86" spans="7:14" x14ac:dyDescent="0.3">
      <c r="G86" s="1"/>
      <c r="H86" s="3"/>
      <c r="I86" s="3"/>
      <c r="M86" s="2"/>
      <c r="N86" s="2"/>
    </row>
    <row r="87" spans="7:14" x14ac:dyDescent="0.3">
      <c r="G87" s="1"/>
      <c r="H87" s="3"/>
      <c r="I87" s="3"/>
      <c r="M87" s="2"/>
      <c r="N87" s="2"/>
    </row>
    <row r="88" spans="7:14" x14ac:dyDescent="0.3">
      <c r="G88" s="1"/>
      <c r="H88" s="3"/>
      <c r="I88" s="3"/>
      <c r="M88" s="2"/>
      <c r="N88" s="2"/>
    </row>
    <row r="89" spans="7:14" x14ac:dyDescent="0.3">
      <c r="G89" s="1"/>
      <c r="H89" s="3"/>
      <c r="I89" s="3"/>
      <c r="M89" s="2"/>
      <c r="N89" s="2"/>
    </row>
    <row r="90" spans="7:14" x14ac:dyDescent="0.3">
      <c r="G90" s="1"/>
      <c r="H90" s="3"/>
      <c r="I90" s="3"/>
      <c r="M90" s="2"/>
      <c r="N90" s="2"/>
    </row>
    <row r="91" spans="7:14" x14ac:dyDescent="0.3">
      <c r="G91" s="1"/>
      <c r="H91" s="3"/>
      <c r="I91" s="3"/>
      <c r="M91" s="2"/>
      <c r="N91" s="2"/>
    </row>
    <row r="92" spans="7:14" x14ac:dyDescent="0.3">
      <c r="G92" s="1"/>
      <c r="H92" s="3"/>
      <c r="I92" s="3"/>
      <c r="M92" s="2"/>
      <c r="N92" s="2"/>
    </row>
    <row r="93" spans="7:14" x14ac:dyDescent="0.3">
      <c r="G93" s="1"/>
      <c r="H93" s="3"/>
      <c r="I93" s="3"/>
      <c r="M93" s="2"/>
      <c r="N93" s="2"/>
    </row>
    <row r="94" spans="7:14" x14ac:dyDescent="0.3">
      <c r="G94" s="1"/>
      <c r="H94" s="3"/>
      <c r="I94" s="3"/>
      <c r="M94" s="2"/>
      <c r="N94" s="2"/>
    </row>
    <row r="95" spans="7:14" x14ac:dyDescent="0.3">
      <c r="G95" s="1"/>
      <c r="H95" s="3"/>
      <c r="I95" s="3"/>
      <c r="M95" s="2"/>
      <c r="N95" s="2"/>
    </row>
    <row r="96" spans="7:14" x14ac:dyDescent="0.3">
      <c r="G96" s="1"/>
      <c r="H96" s="3"/>
      <c r="I96" s="3"/>
      <c r="M96" s="2"/>
      <c r="N96" s="2"/>
    </row>
    <row r="97" spans="7:14" x14ac:dyDescent="0.3">
      <c r="G97" s="1"/>
      <c r="H97" s="3"/>
      <c r="I97" s="3"/>
      <c r="M97" s="2"/>
      <c r="N97" s="2"/>
    </row>
    <row r="98" spans="7:14" x14ac:dyDescent="0.3">
      <c r="G98" s="1"/>
      <c r="H98" s="3"/>
      <c r="I98" s="3"/>
      <c r="M98" s="2"/>
      <c r="N98" s="2"/>
    </row>
    <row r="99" spans="7:14" x14ac:dyDescent="0.3">
      <c r="G99" s="1"/>
      <c r="H99" s="3"/>
      <c r="I99" s="3"/>
      <c r="M99" s="2"/>
      <c r="N99" s="2"/>
    </row>
    <row r="100" spans="7:14" x14ac:dyDescent="0.3">
      <c r="G100" s="1"/>
      <c r="H100" s="3"/>
      <c r="I100" s="3"/>
      <c r="M100" s="2"/>
      <c r="N100" s="2"/>
    </row>
    <row r="101" spans="7:14" x14ac:dyDescent="0.3">
      <c r="G101" s="1"/>
      <c r="H101" s="3"/>
      <c r="I101" s="3"/>
      <c r="M101" s="2"/>
      <c r="N101" s="2"/>
    </row>
    <row r="102" spans="7:14" x14ac:dyDescent="0.3">
      <c r="G102" s="1"/>
      <c r="H102" s="3"/>
      <c r="I102" s="3"/>
      <c r="M102" s="2"/>
      <c r="N102" s="2"/>
    </row>
    <row r="103" spans="7:14" x14ac:dyDescent="0.3">
      <c r="G103" s="1"/>
      <c r="H103" s="3"/>
      <c r="I103" s="3"/>
      <c r="M103" s="2"/>
      <c r="N103" s="2"/>
    </row>
    <row r="104" spans="7:14" x14ac:dyDescent="0.3">
      <c r="G104" s="1"/>
      <c r="H104" s="3"/>
      <c r="I104" s="3"/>
      <c r="M104" s="2"/>
      <c r="N104" s="2"/>
    </row>
    <row r="105" spans="7:14" x14ac:dyDescent="0.3">
      <c r="G105" s="1"/>
      <c r="H105" s="3"/>
      <c r="I105" s="3"/>
      <c r="M105" s="2"/>
      <c r="N105" s="2"/>
    </row>
  </sheetData>
  <autoFilter ref="B2:T105" xr:uid="{B060FAC3-52EC-4D91-9528-0022271F301B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3C1D-71E2-4B3F-B3E6-A6B2DF44A669}">
  <sheetPr codeName="Planilha8"/>
  <dimension ref="B2:O70"/>
  <sheetViews>
    <sheetView showGridLines="0" topLeftCell="C33" workbookViewId="0">
      <selection activeCell="N3" sqref="N3:N70"/>
    </sheetView>
  </sheetViews>
  <sheetFormatPr defaultRowHeight="14.4" x14ac:dyDescent="0.3"/>
  <cols>
    <col min="2" max="2" width="45.6640625" bestFit="1" customWidth="1"/>
    <col min="3" max="3" width="11.33203125" bestFit="1" customWidth="1"/>
    <col min="4" max="4" width="13.21875" bestFit="1" customWidth="1"/>
    <col min="5" max="5" width="53.5546875" bestFit="1" customWidth="1"/>
    <col min="6" max="6" width="9.88671875" bestFit="1" customWidth="1"/>
    <col min="7" max="7" width="10.33203125" bestFit="1" customWidth="1"/>
    <col min="8" max="8" width="9.44140625" bestFit="1" customWidth="1"/>
    <col min="9" max="9" width="15" bestFit="1" customWidth="1"/>
    <col min="10" max="10" width="16.6640625" bestFit="1" customWidth="1"/>
    <col min="11" max="11" width="19.44140625" bestFit="1" customWidth="1"/>
    <col min="12" max="12" width="25.77734375" bestFit="1" customWidth="1"/>
    <col min="13" max="13" width="11.6640625" bestFit="1" customWidth="1"/>
    <col min="14" max="14" width="12.5546875" bestFit="1" customWidth="1"/>
    <col min="15" max="15" width="9.44140625" bestFit="1" customWidth="1"/>
  </cols>
  <sheetData>
    <row r="2" spans="2:15" x14ac:dyDescent="0.3">
      <c r="B2" s="19" t="s">
        <v>470</v>
      </c>
      <c r="C2" s="19" t="s">
        <v>889</v>
      </c>
      <c r="D2" s="19" t="s">
        <v>877</v>
      </c>
      <c r="E2" s="19" t="s">
        <v>890</v>
      </c>
      <c r="F2" s="19" t="s">
        <v>891</v>
      </c>
      <c r="G2" s="19" t="s">
        <v>892</v>
      </c>
      <c r="H2" s="19" t="s">
        <v>893</v>
      </c>
      <c r="I2" s="19" t="s">
        <v>894</v>
      </c>
      <c r="J2" s="19" t="s">
        <v>895</v>
      </c>
      <c r="K2" s="19" t="s">
        <v>896</v>
      </c>
      <c r="L2" s="19" t="s">
        <v>897</v>
      </c>
      <c r="M2" s="19" t="s">
        <v>898</v>
      </c>
      <c r="N2" s="21" t="s">
        <v>974</v>
      </c>
      <c r="O2" s="21" t="s">
        <v>831</v>
      </c>
    </row>
    <row r="3" spans="2:15" x14ac:dyDescent="0.3">
      <c r="B3" s="21" t="s">
        <v>472</v>
      </c>
      <c r="C3" s="21">
        <v>90566</v>
      </c>
      <c r="D3" s="21">
        <v>25619</v>
      </c>
      <c r="E3" s="21" t="s">
        <v>149</v>
      </c>
      <c r="F3" s="21">
        <v>46076</v>
      </c>
      <c r="G3" s="21" t="s">
        <v>899</v>
      </c>
      <c r="H3" s="21" t="s">
        <v>237</v>
      </c>
      <c r="I3" s="21" t="s">
        <v>900</v>
      </c>
      <c r="J3" s="25">
        <v>18600</v>
      </c>
      <c r="K3" s="26">
        <v>18600</v>
      </c>
      <c r="L3" s="36">
        <v>206117.18</v>
      </c>
      <c r="M3" s="24" t="s">
        <v>901</v>
      </c>
      <c r="N3" s="3">
        <v>0.02</v>
      </c>
      <c r="O3" s="2">
        <f>N3*L3</f>
        <v>4122.3436000000002</v>
      </c>
    </row>
    <row r="4" spans="2:15" x14ac:dyDescent="0.3">
      <c r="B4" s="21" t="s">
        <v>500</v>
      </c>
      <c r="C4" s="21">
        <v>211007</v>
      </c>
      <c r="D4" s="21">
        <v>49894</v>
      </c>
      <c r="E4" s="21" t="s">
        <v>151</v>
      </c>
      <c r="F4" s="21">
        <v>46064</v>
      </c>
      <c r="G4" s="21" t="s">
        <v>902</v>
      </c>
      <c r="H4" s="21" t="s">
        <v>237</v>
      </c>
      <c r="I4" s="21" t="s">
        <v>900</v>
      </c>
      <c r="J4" s="25">
        <v>249</v>
      </c>
      <c r="K4" s="26">
        <v>249</v>
      </c>
      <c r="L4" s="36">
        <v>25473.53</v>
      </c>
      <c r="M4" s="24" t="s">
        <v>901</v>
      </c>
      <c r="N4" s="3">
        <v>0.02</v>
      </c>
      <c r="O4" s="2">
        <f t="shared" ref="O4:O67" si="0">N4*L4</f>
        <v>509.47059999999999</v>
      </c>
    </row>
    <row r="5" spans="2:15" x14ac:dyDescent="0.3">
      <c r="B5" s="21" t="s">
        <v>490</v>
      </c>
      <c r="C5" s="21">
        <v>293951</v>
      </c>
      <c r="D5" s="21">
        <v>25619</v>
      </c>
      <c r="E5" s="21" t="s">
        <v>149</v>
      </c>
      <c r="F5" s="21">
        <v>46071</v>
      </c>
      <c r="G5" s="21" t="s">
        <v>903</v>
      </c>
      <c r="H5" s="21" t="s">
        <v>237</v>
      </c>
      <c r="I5" s="21" t="s">
        <v>900</v>
      </c>
      <c r="J5" s="25">
        <v>4600</v>
      </c>
      <c r="K5" s="26">
        <v>4600</v>
      </c>
      <c r="L5" s="36">
        <v>51595.59</v>
      </c>
      <c r="M5" s="24" t="s">
        <v>901</v>
      </c>
      <c r="N5" s="3">
        <v>0.02</v>
      </c>
      <c r="O5" s="2">
        <f t="shared" si="0"/>
        <v>1031.9117999999999</v>
      </c>
    </row>
    <row r="6" spans="2:15" x14ac:dyDescent="0.3">
      <c r="B6" s="21" t="s">
        <v>497</v>
      </c>
      <c r="C6" s="21">
        <v>324364</v>
      </c>
      <c r="D6" s="21">
        <v>25619</v>
      </c>
      <c r="E6" s="21" t="s">
        <v>149</v>
      </c>
      <c r="F6" s="21">
        <v>46065</v>
      </c>
      <c r="G6" s="21" t="s">
        <v>904</v>
      </c>
      <c r="H6" s="21" t="s">
        <v>237</v>
      </c>
      <c r="I6" s="21" t="s">
        <v>900</v>
      </c>
      <c r="J6" s="25">
        <v>1000</v>
      </c>
      <c r="K6" s="26">
        <v>1000</v>
      </c>
      <c r="L6" s="36">
        <v>11216.02</v>
      </c>
      <c r="M6" s="24" t="s">
        <v>901</v>
      </c>
      <c r="N6" s="3">
        <v>0.02</v>
      </c>
      <c r="O6" s="2">
        <f t="shared" si="0"/>
        <v>224.32040000000001</v>
      </c>
    </row>
    <row r="7" spans="2:15" x14ac:dyDescent="0.3">
      <c r="B7" s="21" t="s">
        <v>479</v>
      </c>
      <c r="C7" s="21">
        <v>362329</v>
      </c>
      <c r="D7" s="21">
        <v>49894</v>
      </c>
      <c r="E7" s="21" t="s">
        <v>151</v>
      </c>
      <c r="F7" s="21">
        <v>46058</v>
      </c>
      <c r="G7" s="21" t="s">
        <v>905</v>
      </c>
      <c r="H7" s="21" t="s">
        <v>237</v>
      </c>
      <c r="I7" s="21" t="s">
        <v>900</v>
      </c>
      <c r="J7" s="25">
        <v>300</v>
      </c>
      <c r="K7" s="26">
        <v>300</v>
      </c>
      <c r="L7" s="36">
        <v>30656.97</v>
      </c>
      <c r="M7" s="24" t="s">
        <v>901</v>
      </c>
      <c r="N7" s="3">
        <v>0.02</v>
      </c>
      <c r="O7" s="2">
        <f t="shared" si="0"/>
        <v>613.13940000000002</v>
      </c>
    </row>
    <row r="8" spans="2:15" x14ac:dyDescent="0.3">
      <c r="B8" s="21" t="s">
        <v>479</v>
      </c>
      <c r="C8" s="21">
        <v>362329</v>
      </c>
      <c r="D8" s="21">
        <v>49894</v>
      </c>
      <c r="E8" s="21" t="s">
        <v>152</v>
      </c>
      <c r="F8" s="21">
        <v>46058</v>
      </c>
      <c r="G8" s="21" t="s">
        <v>906</v>
      </c>
      <c r="H8" s="21" t="s">
        <v>237</v>
      </c>
      <c r="I8" s="21" t="s">
        <v>900</v>
      </c>
      <c r="J8" s="25">
        <v>200</v>
      </c>
      <c r="K8" s="26">
        <v>200</v>
      </c>
      <c r="L8" s="36">
        <v>20912.419999999998</v>
      </c>
      <c r="M8" s="24" t="s">
        <v>901</v>
      </c>
      <c r="N8" s="3">
        <v>0.02</v>
      </c>
      <c r="O8" s="2">
        <f t="shared" si="0"/>
        <v>418.24839999999995</v>
      </c>
    </row>
    <row r="9" spans="2:15" x14ac:dyDescent="0.3">
      <c r="B9" s="21" t="s">
        <v>479</v>
      </c>
      <c r="C9" s="21">
        <v>362329</v>
      </c>
      <c r="D9" s="21">
        <v>49894</v>
      </c>
      <c r="E9" s="21" t="s">
        <v>468</v>
      </c>
      <c r="F9" s="21">
        <v>46075</v>
      </c>
      <c r="G9" s="21" t="s">
        <v>907</v>
      </c>
      <c r="H9" s="21" t="s">
        <v>237</v>
      </c>
      <c r="I9" s="21" t="s">
        <v>900</v>
      </c>
      <c r="J9" s="25">
        <v>1472</v>
      </c>
      <c r="K9" s="26">
        <v>1472</v>
      </c>
      <c r="L9" s="36">
        <v>14716.38</v>
      </c>
      <c r="M9" s="24" t="s">
        <v>901</v>
      </c>
      <c r="N9" s="3">
        <v>0.02</v>
      </c>
      <c r="O9" s="2">
        <f t="shared" si="0"/>
        <v>294.32760000000002</v>
      </c>
    </row>
    <row r="10" spans="2:15" x14ac:dyDescent="0.3">
      <c r="B10" s="21" t="s">
        <v>503</v>
      </c>
      <c r="C10" s="21">
        <v>542586</v>
      </c>
      <c r="D10" s="21">
        <v>21468</v>
      </c>
      <c r="E10" s="21" t="s">
        <v>469</v>
      </c>
      <c r="F10" s="21">
        <v>46062</v>
      </c>
      <c r="G10" s="21" t="s">
        <v>908</v>
      </c>
      <c r="H10" s="21" t="s">
        <v>237</v>
      </c>
      <c r="I10" s="21" t="s">
        <v>900</v>
      </c>
      <c r="J10" s="25">
        <v>3200</v>
      </c>
      <c r="K10" s="26">
        <v>3200</v>
      </c>
      <c r="L10" s="36">
        <v>30477.22</v>
      </c>
      <c r="M10" s="24" t="s">
        <v>901</v>
      </c>
      <c r="N10" s="3">
        <v>0.02</v>
      </c>
      <c r="O10" s="2">
        <f t="shared" si="0"/>
        <v>609.5444</v>
      </c>
    </row>
    <row r="11" spans="2:15" x14ac:dyDescent="0.3">
      <c r="B11" s="21" t="s">
        <v>503</v>
      </c>
      <c r="C11" s="21">
        <v>542586</v>
      </c>
      <c r="D11" s="21">
        <v>21468</v>
      </c>
      <c r="E11" s="21" t="s">
        <v>509</v>
      </c>
      <c r="F11" s="21">
        <v>46062</v>
      </c>
      <c r="G11" s="21" t="s">
        <v>909</v>
      </c>
      <c r="H11" s="21" t="s">
        <v>237</v>
      </c>
      <c r="I11" s="21" t="s">
        <v>900</v>
      </c>
      <c r="J11" s="25">
        <v>2400</v>
      </c>
      <c r="K11" s="26">
        <v>2400</v>
      </c>
      <c r="L11" s="36">
        <v>22672.54</v>
      </c>
      <c r="M11" s="24" t="s">
        <v>901</v>
      </c>
      <c r="N11" s="3">
        <v>0.02</v>
      </c>
      <c r="O11" s="2">
        <f t="shared" si="0"/>
        <v>453.45080000000002</v>
      </c>
    </row>
    <row r="12" spans="2:15" x14ac:dyDescent="0.3">
      <c r="B12" s="21" t="s">
        <v>503</v>
      </c>
      <c r="C12" s="21">
        <v>542586</v>
      </c>
      <c r="D12" s="21">
        <v>21468</v>
      </c>
      <c r="E12" s="21" t="s">
        <v>508</v>
      </c>
      <c r="F12" s="21">
        <v>46062</v>
      </c>
      <c r="G12" s="21" t="s">
        <v>910</v>
      </c>
      <c r="H12" s="21" t="s">
        <v>237</v>
      </c>
      <c r="I12" s="21" t="s">
        <v>900</v>
      </c>
      <c r="J12" s="25">
        <v>813</v>
      </c>
      <c r="K12" s="26">
        <v>813</v>
      </c>
      <c r="L12" s="36">
        <v>7887.91</v>
      </c>
      <c r="M12" s="24" t="s">
        <v>901</v>
      </c>
      <c r="N12" s="3">
        <v>0.02</v>
      </c>
      <c r="O12" s="2">
        <f t="shared" si="0"/>
        <v>157.75819999999999</v>
      </c>
    </row>
    <row r="13" spans="2:15" x14ac:dyDescent="0.3">
      <c r="B13" s="21" t="s">
        <v>503</v>
      </c>
      <c r="C13" s="21">
        <v>542586</v>
      </c>
      <c r="D13" s="21">
        <v>21468</v>
      </c>
      <c r="E13" s="21" t="s">
        <v>149</v>
      </c>
      <c r="F13" s="21">
        <v>46063</v>
      </c>
      <c r="G13" s="21" t="s">
        <v>911</v>
      </c>
      <c r="H13" s="21" t="s">
        <v>237</v>
      </c>
      <c r="I13" s="21" t="s">
        <v>900</v>
      </c>
      <c r="J13" s="25">
        <v>3000</v>
      </c>
      <c r="K13" s="26">
        <v>3000</v>
      </c>
      <c r="L13" s="36">
        <v>33646.230000000003</v>
      </c>
      <c r="M13" s="24" t="s">
        <v>901</v>
      </c>
      <c r="N13" s="3">
        <v>0.02</v>
      </c>
      <c r="O13" s="2">
        <f t="shared" si="0"/>
        <v>672.92460000000005</v>
      </c>
    </row>
    <row r="14" spans="2:15" x14ac:dyDescent="0.3">
      <c r="B14" s="21" t="s">
        <v>503</v>
      </c>
      <c r="C14" s="21">
        <v>542586</v>
      </c>
      <c r="D14" s="21">
        <v>21468</v>
      </c>
      <c r="E14" s="21" t="s">
        <v>508</v>
      </c>
      <c r="F14" s="21">
        <v>46077</v>
      </c>
      <c r="G14" s="21" t="s">
        <v>912</v>
      </c>
      <c r="H14" s="21" t="s">
        <v>237</v>
      </c>
      <c r="I14" s="21" t="s">
        <v>900</v>
      </c>
      <c r="J14" s="25">
        <v>2090</v>
      </c>
      <c r="K14" s="26">
        <v>2090</v>
      </c>
      <c r="L14" s="36">
        <v>20340.759999999998</v>
      </c>
      <c r="M14" s="24" t="s">
        <v>901</v>
      </c>
      <c r="N14" s="3">
        <v>0.02</v>
      </c>
      <c r="O14" s="2">
        <f t="shared" si="0"/>
        <v>406.8152</v>
      </c>
    </row>
    <row r="15" spans="2:15" x14ac:dyDescent="0.3">
      <c r="B15" s="21" t="s">
        <v>482</v>
      </c>
      <c r="C15" s="21">
        <v>575946</v>
      </c>
      <c r="D15" s="21">
        <v>25619</v>
      </c>
      <c r="E15" s="21" t="s">
        <v>149</v>
      </c>
      <c r="F15" s="21">
        <v>46072</v>
      </c>
      <c r="G15" s="21" t="s">
        <v>913</v>
      </c>
      <c r="H15" s="21" t="s">
        <v>237</v>
      </c>
      <c r="I15" s="21" t="s">
        <v>900</v>
      </c>
      <c r="J15" s="25">
        <v>4600</v>
      </c>
      <c r="K15" s="26">
        <v>4600</v>
      </c>
      <c r="L15" s="36">
        <v>50973.3</v>
      </c>
      <c r="M15" s="24" t="s">
        <v>901</v>
      </c>
      <c r="N15" s="3">
        <v>0.02</v>
      </c>
      <c r="O15" s="2">
        <f t="shared" si="0"/>
        <v>1019.4660000000001</v>
      </c>
    </row>
    <row r="16" spans="2:15" x14ac:dyDescent="0.3">
      <c r="B16" s="21" t="s">
        <v>505</v>
      </c>
      <c r="C16" s="21">
        <v>2091913</v>
      </c>
      <c r="D16" s="21">
        <v>49894</v>
      </c>
      <c r="E16" s="21" t="s">
        <v>149</v>
      </c>
      <c r="F16" s="21">
        <v>46059</v>
      </c>
      <c r="G16" s="21" t="s">
        <v>914</v>
      </c>
      <c r="H16" s="21" t="s">
        <v>237</v>
      </c>
      <c r="I16" s="21" t="s">
        <v>900</v>
      </c>
      <c r="J16" s="25">
        <v>8800</v>
      </c>
      <c r="K16" s="26">
        <v>8800</v>
      </c>
      <c r="L16" s="36">
        <v>98697.13</v>
      </c>
      <c r="M16" s="24" t="s">
        <v>901</v>
      </c>
      <c r="N16" s="3">
        <v>0.02</v>
      </c>
      <c r="O16" s="2">
        <f t="shared" si="0"/>
        <v>1973.9426000000001</v>
      </c>
    </row>
    <row r="17" spans="2:15" x14ac:dyDescent="0.3">
      <c r="B17" s="21" t="s">
        <v>484</v>
      </c>
      <c r="C17" s="21">
        <v>2191869</v>
      </c>
      <c r="D17" s="21">
        <v>49894</v>
      </c>
      <c r="E17" s="21" t="s">
        <v>149</v>
      </c>
      <c r="F17" s="21">
        <v>46058</v>
      </c>
      <c r="G17" s="21" t="s">
        <v>915</v>
      </c>
      <c r="H17" s="21" t="s">
        <v>237</v>
      </c>
      <c r="I17" s="21" t="s">
        <v>900</v>
      </c>
      <c r="J17" s="25">
        <v>9200</v>
      </c>
      <c r="K17" s="26">
        <v>9200</v>
      </c>
      <c r="L17" s="36">
        <v>103179.53</v>
      </c>
      <c r="M17" s="24" t="s">
        <v>901</v>
      </c>
      <c r="N17" s="3">
        <v>0.02</v>
      </c>
      <c r="O17" s="2">
        <f t="shared" si="0"/>
        <v>2063.5906</v>
      </c>
    </row>
    <row r="18" spans="2:15" x14ac:dyDescent="0.3">
      <c r="B18" s="21" t="s">
        <v>484</v>
      </c>
      <c r="C18" s="21">
        <v>2191869</v>
      </c>
      <c r="D18" s="21">
        <v>49894</v>
      </c>
      <c r="E18" s="21" t="s">
        <v>152</v>
      </c>
      <c r="F18" s="21">
        <v>46058</v>
      </c>
      <c r="G18" s="21" t="s">
        <v>916</v>
      </c>
      <c r="H18" s="21" t="s">
        <v>237</v>
      </c>
      <c r="I18" s="21" t="s">
        <v>900</v>
      </c>
      <c r="J18" s="25">
        <v>400</v>
      </c>
      <c r="K18" s="26">
        <v>400</v>
      </c>
      <c r="L18" s="36">
        <v>41824.85</v>
      </c>
      <c r="M18" s="24" t="s">
        <v>901</v>
      </c>
      <c r="N18" s="3">
        <v>0.02</v>
      </c>
      <c r="O18" s="2">
        <f t="shared" si="0"/>
        <v>836.49699999999996</v>
      </c>
    </row>
    <row r="19" spans="2:15" x14ac:dyDescent="0.3">
      <c r="B19" s="21" t="s">
        <v>484</v>
      </c>
      <c r="C19" s="21">
        <v>2191869</v>
      </c>
      <c r="D19" s="21">
        <v>49894</v>
      </c>
      <c r="E19" s="21" t="s">
        <v>468</v>
      </c>
      <c r="F19" s="21">
        <v>46072</v>
      </c>
      <c r="G19" s="21" t="s">
        <v>917</v>
      </c>
      <c r="H19" s="21" t="s">
        <v>237</v>
      </c>
      <c r="I19" s="21" t="s">
        <v>900</v>
      </c>
      <c r="J19" s="25">
        <v>4360</v>
      </c>
      <c r="K19" s="26">
        <v>4360</v>
      </c>
      <c r="L19" s="36">
        <v>43536.88</v>
      </c>
      <c r="M19" s="24" t="s">
        <v>901</v>
      </c>
      <c r="N19" s="3">
        <v>0.02</v>
      </c>
      <c r="O19" s="2">
        <f t="shared" si="0"/>
        <v>870.73759999999993</v>
      </c>
    </row>
    <row r="20" spans="2:15" x14ac:dyDescent="0.3">
      <c r="B20" s="21" t="s">
        <v>918</v>
      </c>
      <c r="C20" s="21">
        <v>2579681</v>
      </c>
      <c r="D20" s="21">
        <v>25619</v>
      </c>
      <c r="E20" s="21" t="s">
        <v>149</v>
      </c>
      <c r="F20" s="21">
        <v>46078</v>
      </c>
      <c r="G20" s="21" t="s">
        <v>919</v>
      </c>
      <c r="H20" s="21" t="s">
        <v>237</v>
      </c>
      <c r="I20" s="21" t="s">
        <v>900</v>
      </c>
      <c r="J20" s="25">
        <v>19000</v>
      </c>
      <c r="K20" s="26">
        <v>19000</v>
      </c>
      <c r="L20" s="36">
        <v>208657.74</v>
      </c>
      <c r="M20" s="24" t="s">
        <v>901</v>
      </c>
      <c r="N20" s="3">
        <v>0.02</v>
      </c>
      <c r="O20" s="2">
        <f t="shared" si="0"/>
        <v>4173.1548000000003</v>
      </c>
    </row>
    <row r="21" spans="2:15" x14ac:dyDescent="0.3">
      <c r="B21" s="21" t="s">
        <v>499</v>
      </c>
      <c r="C21" s="21">
        <v>2735150</v>
      </c>
      <c r="D21" s="21">
        <v>49894</v>
      </c>
      <c r="E21" s="21" t="s">
        <v>149</v>
      </c>
      <c r="F21" s="21">
        <v>46062</v>
      </c>
      <c r="G21" s="21" t="s">
        <v>920</v>
      </c>
      <c r="H21" s="21" t="s">
        <v>237</v>
      </c>
      <c r="I21" s="21" t="s">
        <v>900</v>
      </c>
      <c r="J21" s="25">
        <v>6650</v>
      </c>
      <c r="K21" s="26">
        <v>6650</v>
      </c>
      <c r="L21" s="36">
        <v>74583.63</v>
      </c>
      <c r="M21" s="24" t="s">
        <v>901</v>
      </c>
      <c r="N21" s="3">
        <v>0.02</v>
      </c>
      <c r="O21" s="2">
        <f t="shared" si="0"/>
        <v>1491.6726000000001</v>
      </c>
    </row>
    <row r="22" spans="2:15" x14ac:dyDescent="0.3">
      <c r="B22" s="21" t="s">
        <v>499</v>
      </c>
      <c r="C22" s="21">
        <v>2735150</v>
      </c>
      <c r="D22" s="21">
        <v>49894</v>
      </c>
      <c r="E22" s="21" t="s">
        <v>151</v>
      </c>
      <c r="F22" s="21">
        <v>46064</v>
      </c>
      <c r="G22" s="21" t="s">
        <v>921</v>
      </c>
      <c r="H22" s="21" t="s">
        <v>237</v>
      </c>
      <c r="I22" s="21" t="s">
        <v>900</v>
      </c>
      <c r="J22" s="25">
        <v>980</v>
      </c>
      <c r="K22" s="26">
        <v>980</v>
      </c>
      <c r="L22" s="36">
        <v>100257.25</v>
      </c>
      <c r="M22" s="24" t="s">
        <v>901</v>
      </c>
      <c r="N22" s="3">
        <v>0.02</v>
      </c>
      <c r="O22" s="2">
        <f t="shared" si="0"/>
        <v>2005.145</v>
      </c>
    </row>
    <row r="23" spans="2:15" x14ac:dyDescent="0.3">
      <c r="B23" s="21" t="s">
        <v>478</v>
      </c>
      <c r="C23" s="21">
        <v>3566334</v>
      </c>
      <c r="D23" s="21">
        <v>49894</v>
      </c>
      <c r="E23" s="21" t="s">
        <v>149</v>
      </c>
      <c r="F23" s="21">
        <v>46071</v>
      </c>
      <c r="G23" s="21" t="s">
        <v>922</v>
      </c>
      <c r="H23" s="21" t="s">
        <v>237</v>
      </c>
      <c r="I23" s="21" t="s">
        <v>900</v>
      </c>
      <c r="J23" s="25">
        <v>5530</v>
      </c>
      <c r="K23" s="26">
        <v>5530</v>
      </c>
      <c r="L23" s="36">
        <v>62026.87</v>
      </c>
      <c r="M23" s="24" t="s">
        <v>901</v>
      </c>
      <c r="N23" s="3">
        <v>0.02</v>
      </c>
      <c r="O23" s="2">
        <f t="shared" si="0"/>
        <v>1240.5374000000002</v>
      </c>
    </row>
    <row r="24" spans="2:15" x14ac:dyDescent="0.3">
      <c r="B24" s="21" t="s">
        <v>478</v>
      </c>
      <c r="C24" s="21">
        <v>3566334</v>
      </c>
      <c r="D24" s="21">
        <v>49894</v>
      </c>
      <c r="E24" s="21" t="s">
        <v>149</v>
      </c>
      <c r="F24" s="21">
        <v>46076</v>
      </c>
      <c r="G24" s="21" t="s">
        <v>923</v>
      </c>
      <c r="H24" s="21" t="s">
        <v>237</v>
      </c>
      <c r="I24" s="21" t="s">
        <v>900</v>
      </c>
      <c r="J24" s="25">
        <v>3800</v>
      </c>
      <c r="K24" s="26">
        <v>3800</v>
      </c>
      <c r="L24" s="36">
        <v>42109.96</v>
      </c>
      <c r="M24" s="24" t="s">
        <v>901</v>
      </c>
      <c r="N24" s="3">
        <v>0.02</v>
      </c>
      <c r="O24" s="2">
        <f t="shared" si="0"/>
        <v>842.19920000000002</v>
      </c>
    </row>
    <row r="25" spans="2:15" x14ac:dyDescent="0.3">
      <c r="B25" s="21" t="s">
        <v>493</v>
      </c>
      <c r="C25" s="21">
        <v>3669630</v>
      </c>
      <c r="D25" s="21">
        <v>49894</v>
      </c>
      <c r="E25" s="21" t="s">
        <v>152</v>
      </c>
      <c r="F25" s="21">
        <v>46069</v>
      </c>
      <c r="G25" s="21" t="s">
        <v>924</v>
      </c>
      <c r="H25" s="21" t="s">
        <v>237</v>
      </c>
      <c r="I25" s="21" t="s">
        <v>900</v>
      </c>
      <c r="J25" s="25">
        <v>300</v>
      </c>
      <c r="K25" s="26">
        <v>300</v>
      </c>
      <c r="L25" s="36">
        <v>31252.35</v>
      </c>
      <c r="M25" s="24" t="s">
        <v>901</v>
      </c>
      <c r="N25" s="3">
        <v>0.02</v>
      </c>
      <c r="O25" s="2">
        <f t="shared" si="0"/>
        <v>625.04700000000003</v>
      </c>
    </row>
    <row r="26" spans="2:15" x14ac:dyDescent="0.3">
      <c r="B26" s="21" t="s">
        <v>483</v>
      </c>
      <c r="C26" s="21">
        <v>4117692</v>
      </c>
      <c r="D26" s="21">
        <v>49894</v>
      </c>
      <c r="E26" s="21" t="s">
        <v>149</v>
      </c>
      <c r="F26" s="21">
        <v>46059</v>
      </c>
      <c r="G26" s="21" t="s">
        <v>925</v>
      </c>
      <c r="H26" s="21" t="s">
        <v>237</v>
      </c>
      <c r="I26" s="21" t="s">
        <v>900</v>
      </c>
      <c r="J26" s="25">
        <v>1665</v>
      </c>
      <c r="K26" s="26">
        <v>1665</v>
      </c>
      <c r="L26" s="36">
        <v>18673.95</v>
      </c>
      <c r="M26" s="24" t="s">
        <v>901</v>
      </c>
      <c r="N26" s="3">
        <v>0.02</v>
      </c>
      <c r="O26" s="2">
        <f t="shared" si="0"/>
        <v>373.47900000000004</v>
      </c>
    </row>
    <row r="27" spans="2:15" x14ac:dyDescent="0.3">
      <c r="B27" s="21" t="s">
        <v>483</v>
      </c>
      <c r="C27" s="21">
        <v>4117692</v>
      </c>
      <c r="D27" s="21">
        <v>49894</v>
      </c>
      <c r="E27" s="21" t="s">
        <v>468</v>
      </c>
      <c r="F27" s="21">
        <v>46072</v>
      </c>
      <c r="G27" s="21" t="s">
        <v>926</v>
      </c>
      <c r="H27" s="21" t="s">
        <v>237</v>
      </c>
      <c r="I27" s="21" t="s">
        <v>927</v>
      </c>
      <c r="J27" s="25">
        <v>1992.8542870000001</v>
      </c>
      <c r="K27" s="26">
        <v>1992.8542870000001</v>
      </c>
      <c r="L27" s="36">
        <v>18796</v>
      </c>
      <c r="M27" s="24" t="s">
        <v>901</v>
      </c>
      <c r="N27" s="3">
        <v>0.02</v>
      </c>
      <c r="O27" s="2">
        <f t="shared" si="0"/>
        <v>375.92</v>
      </c>
    </row>
    <row r="28" spans="2:15" x14ac:dyDescent="0.3">
      <c r="B28" s="21" t="s">
        <v>496</v>
      </c>
      <c r="C28" s="21">
        <v>4124282</v>
      </c>
      <c r="D28" s="21">
        <v>24415</v>
      </c>
      <c r="E28" s="21" t="s">
        <v>151</v>
      </c>
      <c r="F28" s="21">
        <v>46065</v>
      </c>
      <c r="G28" s="21" t="s">
        <v>928</v>
      </c>
      <c r="H28" s="21" t="s">
        <v>237</v>
      </c>
      <c r="I28" s="21" t="s">
        <v>900</v>
      </c>
      <c r="J28" s="25">
        <v>240</v>
      </c>
      <c r="K28" s="26">
        <v>240</v>
      </c>
      <c r="L28" s="36">
        <v>24552.799999999999</v>
      </c>
      <c r="M28" s="24" t="s">
        <v>901</v>
      </c>
      <c r="N28" s="3">
        <v>0.02</v>
      </c>
      <c r="O28" s="2">
        <f t="shared" si="0"/>
        <v>491.05599999999998</v>
      </c>
    </row>
    <row r="29" spans="2:15" x14ac:dyDescent="0.3">
      <c r="B29" s="21" t="s">
        <v>485</v>
      </c>
      <c r="C29" s="21">
        <v>4234049</v>
      </c>
      <c r="D29" s="21">
        <v>23648</v>
      </c>
      <c r="E29" s="21" t="s">
        <v>149</v>
      </c>
      <c r="F29" s="21">
        <v>46072</v>
      </c>
      <c r="G29" s="21" t="s">
        <v>929</v>
      </c>
      <c r="H29" s="21" t="s">
        <v>237</v>
      </c>
      <c r="I29" s="21" t="s">
        <v>900</v>
      </c>
      <c r="J29" s="25">
        <v>2510</v>
      </c>
      <c r="K29" s="26">
        <v>2510</v>
      </c>
      <c r="L29" s="36">
        <v>27813.69</v>
      </c>
      <c r="M29" s="21" t="s">
        <v>901</v>
      </c>
      <c r="N29" s="3">
        <v>0.02</v>
      </c>
      <c r="O29" s="2">
        <f t="shared" si="0"/>
        <v>556.27379999999994</v>
      </c>
    </row>
    <row r="30" spans="2:15" x14ac:dyDescent="0.3">
      <c r="B30" s="21" t="s">
        <v>498</v>
      </c>
      <c r="C30" s="21">
        <v>4423223</v>
      </c>
      <c r="D30" s="21">
        <v>96837</v>
      </c>
      <c r="E30" s="21" t="s">
        <v>151</v>
      </c>
      <c r="F30" s="21">
        <v>46065</v>
      </c>
      <c r="G30" s="21" t="s">
        <v>930</v>
      </c>
      <c r="H30" s="21" t="s">
        <v>237</v>
      </c>
      <c r="I30" s="21" t="s">
        <v>900</v>
      </c>
      <c r="J30" s="25">
        <v>31.72</v>
      </c>
      <c r="K30" s="26">
        <v>31.72</v>
      </c>
      <c r="L30" s="36">
        <v>3245.06</v>
      </c>
      <c r="M30" s="21" t="s">
        <v>901</v>
      </c>
      <c r="N30" s="3">
        <v>0.02</v>
      </c>
      <c r="O30" s="2">
        <f t="shared" si="0"/>
        <v>64.901200000000003</v>
      </c>
    </row>
    <row r="31" spans="2:15" x14ac:dyDescent="0.3">
      <c r="B31" s="21" t="s">
        <v>494</v>
      </c>
      <c r="C31" s="21">
        <v>4489616</v>
      </c>
      <c r="D31" s="21">
        <v>25619</v>
      </c>
      <c r="E31" s="21" t="s">
        <v>149</v>
      </c>
      <c r="F31" s="21">
        <v>46066</v>
      </c>
      <c r="G31" s="21" t="s">
        <v>931</v>
      </c>
      <c r="H31" s="21" t="s">
        <v>237</v>
      </c>
      <c r="I31" s="21" t="s">
        <v>900</v>
      </c>
      <c r="J31" s="25">
        <v>3700</v>
      </c>
      <c r="K31" s="26">
        <v>3700</v>
      </c>
      <c r="L31" s="36">
        <v>41500.03</v>
      </c>
      <c r="M31" s="21" t="s">
        <v>901</v>
      </c>
      <c r="N31" s="3">
        <v>0.02</v>
      </c>
      <c r="O31" s="2">
        <f t="shared" si="0"/>
        <v>830.00059999999996</v>
      </c>
    </row>
    <row r="32" spans="2:15" x14ac:dyDescent="0.3">
      <c r="B32" s="21" t="s">
        <v>480</v>
      </c>
      <c r="C32" s="21">
        <v>4783330</v>
      </c>
      <c r="D32" s="21">
        <v>49894</v>
      </c>
      <c r="E32" s="21" t="s">
        <v>149</v>
      </c>
      <c r="F32" s="21">
        <v>46058</v>
      </c>
      <c r="G32" s="21" t="s">
        <v>932</v>
      </c>
      <c r="H32" s="21" t="s">
        <v>237</v>
      </c>
      <c r="I32" s="21" t="s">
        <v>900</v>
      </c>
      <c r="J32" s="25">
        <v>3000</v>
      </c>
      <c r="K32" s="26">
        <v>3000</v>
      </c>
      <c r="L32" s="36">
        <v>33645.5</v>
      </c>
      <c r="M32" s="21" t="s">
        <v>901</v>
      </c>
      <c r="N32" s="3">
        <v>0.02</v>
      </c>
      <c r="O32" s="2">
        <f t="shared" si="0"/>
        <v>672.91</v>
      </c>
    </row>
    <row r="33" spans="2:15" x14ac:dyDescent="0.3">
      <c r="B33" s="21" t="s">
        <v>480</v>
      </c>
      <c r="C33" s="21">
        <v>4783330</v>
      </c>
      <c r="D33" s="21">
        <v>49894</v>
      </c>
      <c r="E33" s="21" t="s">
        <v>151</v>
      </c>
      <c r="F33" s="21">
        <v>46059</v>
      </c>
      <c r="G33" s="21" t="s">
        <v>933</v>
      </c>
      <c r="H33" s="21" t="s">
        <v>237</v>
      </c>
      <c r="I33" s="21" t="s">
        <v>900</v>
      </c>
      <c r="J33" s="25">
        <v>300</v>
      </c>
      <c r="K33" s="26">
        <v>300</v>
      </c>
      <c r="L33" s="36">
        <v>30690.99</v>
      </c>
      <c r="M33" s="21" t="s">
        <v>901</v>
      </c>
      <c r="N33" s="3">
        <v>0.02</v>
      </c>
      <c r="O33" s="2">
        <f t="shared" si="0"/>
        <v>613.8198000000001</v>
      </c>
    </row>
    <row r="34" spans="2:15" x14ac:dyDescent="0.3">
      <c r="B34" s="21" t="s">
        <v>480</v>
      </c>
      <c r="C34" s="21">
        <v>4783330</v>
      </c>
      <c r="D34" s="21">
        <v>49894</v>
      </c>
      <c r="E34" s="21" t="s">
        <v>152</v>
      </c>
      <c r="F34" s="21">
        <v>46062</v>
      </c>
      <c r="G34" s="21" t="s">
        <v>934</v>
      </c>
      <c r="H34" s="21" t="s">
        <v>237</v>
      </c>
      <c r="I34" s="21" t="s">
        <v>900</v>
      </c>
      <c r="J34" s="25">
        <v>252</v>
      </c>
      <c r="K34" s="26">
        <v>252</v>
      </c>
      <c r="L34" s="36">
        <v>26362.77</v>
      </c>
      <c r="M34" s="21" t="s">
        <v>901</v>
      </c>
      <c r="N34" s="3">
        <v>0.02</v>
      </c>
      <c r="O34" s="2">
        <f t="shared" si="0"/>
        <v>527.25540000000001</v>
      </c>
    </row>
    <row r="35" spans="2:15" x14ac:dyDescent="0.3">
      <c r="B35" s="21" t="s">
        <v>480</v>
      </c>
      <c r="C35" s="21">
        <v>4783330</v>
      </c>
      <c r="D35" s="21">
        <v>49894</v>
      </c>
      <c r="E35" s="21" t="s">
        <v>149</v>
      </c>
      <c r="F35" s="21">
        <v>46073</v>
      </c>
      <c r="G35" s="21" t="s">
        <v>935</v>
      </c>
      <c r="H35" s="21" t="s">
        <v>237</v>
      </c>
      <c r="I35" s="21" t="s">
        <v>900</v>
      </c>
      <c r="J35" s="25">
        <v>1700</v>
      </c>
      <c r="K35" s="26">
        <v>1700</v>
      </c>
      <c r="L35" s="36">
        <v>18838.310000000001</v>
      </c>
      <c r="M35" s="21" t="s">
        <v>901</v>
      </c>
      <c r="N35" s="3">
        <v>0.02</v>
      </c>
      <c r="O35" s="2">
        <f t="shared" si="0"/>
        <v>376.76620000000003</v>
      </c>
    </row>
    <row r="36" spans="2:15" x14ac:dyDescent="0.3">
      <c r="B36" s="21" t="s">
        <v>480</v>
      </c>
      <c r="C36" s="21">
        <v>4783330</v>
      </c>
      <c r="D36" s="21">
        <v>49894</v>
      </c>
      <c r="E36" s="21" t="s">
        <v>468</v>
      </c>
      <c r="F36" s="21">
        <v>46075</v>
      </c>
      <c r="G36" s="21" t="s">
        <v>936</v>
      </c>
      <c r="H36" s="21" t="s">
        <v>237</v>
      </c>
      <c r="I36" s="21" t="s">
        <v>900</v>
      </c>
      <c r="J36" s="25">
        <v>3211.181</v>
      </c>
      <c r="K36" s="26">
        <v>3211.181</v>
      </c>
      <c r="L36" s="36">
        <v>32103.91</v>
      </c>
      <c r="M36" s="21" t="s">
        <v>901</v>
      </c>
      <c r="N36" s="3">
        <v>0.02</v>
      </c>
      <c r="O36" s="2">
        <f t="shared" si="0"/>
        <v>642.07820000000004</v>
      </c>
    </row>
    <row r="37" spans="2:15" x14ac:dyDescent="0.3">
      <c r="B37" s="21" t="s">
        <v>487</v>
      </c>
      <c r="C37" s="21">
        <v>4925492</v>
      </c>
      <c r="D37" s="21">
        <v>21468</v>
      </c>
      <c r="E37" s="21" t="s">
        <v>153</v>
      </c>
      <c r="F37" s="21">
        <v>46071</v>
      </c>
      <c r="G37" s="21" t="s">
        <v>937</v>
      </c>
      <c r="H37" s="21" t="s">
        <v>237</v>
      </c>
      <c r="I37" s="21" t="s">
        <v>900</v>
      </c>
      <c r="J37" s="25">
        <v>150</v>
      </c>
      <c r="K37" s="26">
        <v>150</v>
      </c>
      <c r="L37" s="36">
        <v>14970.04</v>
      </c>
      <c r="M37" s="21" t="s">
        <v>901</v>
      </c>
      <c r="N37" s="3">
        <v>0.02</v>
      </c>
      <c r="O37" s="2">
        <f t="shared" si="0"/>
        <v>299.4008</v>
      </c>
    </row>
    <row r="38" spans="2:15" x14ac:dyDescent="0.3">
      <c r="B38" s="21" t="s">
        <v>487</v>
      </c>
      <c r="C38" s="21">
        <v>4925492</v>
      </c>
      <c r="D38" s="21">
        <v>21468</v>
      </c>
      <c r="E38" s="21" t="s">
        <v>469</v>
      </c>
      <c r="F38" s="21">
        <v>46071</v>
      </c>
      <c r="G38" s="21" t="s">
        <v>938</v>
      </c>
      <c r="H38" s="21" t="s">
        <v>237</v>
      </c>
      <c r="I38" s="21" t="s">
        <v>900</v>
      </c>
      <c r="J38" s="25">
        <v>1100</v>
      </c>
      <c r="K38" s="26">
        <v>1100</v>
      </c>
      <c r="L38" s="36">
        <v>10422.44</v>
      </c>
      <c r="M38" s="21" t="s">
        <v>901</v>
      </c>
      <c r="N38" s="3">
        <v>0.02</v>
      </c>
      <c r="O38" s="2">
        <f t="shared" si="0"/>
        <v>208.44880000000001</v>
      </c>
    </row>
    <row r="39" spans="2:15" x14ac:dyDescent="0.3">
      <c r="B39" s="21" t="s">
        <v>487</v>
      </c>
      <c r="C39" s="21">
        <v>4925492</v>
      </c>
      <c r="D39" s="21">
        <v>21468</v>
      </c>
      <c r="E39" s="21" t="s">
        <v>508</v>
      </c>
      <c r="F39" s="21">
        <v>46077</v>
      </c>
      <c r="G39" s="21" t="s">
        <v>939</v>
      </c>
      <c r="H39" s="21" t="s">
        <v>237</v>
      </c>
      <c r="I39" s="21" t="s">
        <v>900</v>
      </c>
      <c r="J39" s="25">
        <v>1550</v>
      </c>
      <c r="K39" s="26">
        <v>1550</v>
      </c>
      <c r="L39" s="36">
        <v>15085.25</v>
      </c>
      <c r="M39" s="21" t="s">
        <v>901</v>
      </c>
      <c r="N39" s="3">
        <v>0.02</v>
      </c>
      <c r="O39" s="2">
        <f t="shared" si="0"/>
        <v>301.70499999999998</v>
      </c>
    </row>
    <row r="40" spans="2:15" x14ac:dyDescent="0.3">
      <c r="B40" s="21" t="s">
        <v>471</v>
      </c>
      <c r="C40" s="21">
        <v>5563520</v>
      </c>
      <c r="D40" s="21">
        <v>24415</v>
      </c>
      <c r="E40" s="21" t="s">
        <v>149</v>
      </c>
      <c r="F40" s="21">
        <v>46076</v>
      </c>
      <c r="G40" s="21" t="s">
        <v>940</v>
      </c>
      <c r="H40" s="21" t="s">
        <v>237</v>
      </c>
      <c r="I40" s="21" t="s">
        <v>900</v>
      </c>
      <c r="J40" s="25">
        <v>19831</v>
      </c>
      <c r="K40" s="26">
        <v>19831</v>
      </c>
      <c r="L40" s="36">
        <v>219758.6</v>
      </c>
      <c r="M40" s="21" t="s">
        <v>901</v>
      </c>
      <c r="N40" s="3">
        <v>0.02</v>
      </c>
      <c r="O40" s="2">
        <f t="shared" si="0"/>
        <v>4395.1720000000005</v>
      </c>
    </row>
    <row r="41" spans="2:15" x14ac:dyDescent="0.3">
      <c r="B41" s="21" t="s">
        <v>481</v>
      </c>
      <c r="C41" s="21">
        <v>5714703</v>
      </c>
      <c r="D41" s="21">
        <v>25619</v>
      </c>
      <c r="E41" s="21" t="s">
        <v>149</v>
      </c>
      <c r="F41" s="21">
        <v>46073</v>
      </c>
      <c r="G41" s="21" t="s">
        <v>941</v>
      </c>
      <c r="H41" s="21" t="s">
        <v>237</v>
      </c>
      <c r="I41" s="21" t="s">
        <v>900</v>
      </c>
      <c r="J41" s="25">
        <v>52000</v>
      </c>
      <c r="K41" s="26">
        <v>52000</v>
      </c>
      <c r="L41" s="36">
        <v>576230.73</v>
      </c>
      <c r="M41" s="21" t="s">
        <v>901</v>
      </c>
      <c r="N41" s="3">
        <v>0.02</v>
      </c>
      <c r="O41" s="2">
        <f t="shared" si="0"/>
        <v>11524.614599999999</v>
      </c>
    </row>
    <row r="42" spans="2:15" x14ac:dyDescent="0.3">
      <c r="B42" s="21" t="s">
        <v>491</v>
      </c>
      <c r="C42" s="21">
        <v>7106317</v>
      </c>
      <c r="D42" s="21">
        <v>49894</v>
      </c>
      <c r="E42" s="21" t="s">
        <v>151</v>
      </c>
      <c r="F42" s="21">
        <v>46071</v>
      </c>
      <c r="G42" s="21" t="s">
        <v>942</v>
      </c>
      <c r="H42" s="21" t="s">
        <v>237</v>
      </c>
      <c r="I42" s="21" t="s">
        <v>900</v>
      </c>
      <c r="J42" s="25">
        <v>100</v>
      </c>
      <c r="K42" s="26">
        <v>100</v>
      </c>
      <c r="L42" s="36">
        <v>10270.49</v>
      </c>
      <c r="M42" s="21" t="s">
        <v>901</v>
      </c>
      <c r="N42" s="3">
        <v>0.02</v>
      </c>
      <c r="O42" s="2">
        <f t="shared" si="0"/>
        <v>205.40979999999999</v>
      </c>
    </row>
    <row r="43" spans="2:15" x14ac:dyDescent="0.3">
      <c r="B43" s="21" t="s">
        <v>507</v>
      </c>
      <c r="C43" s="21">
        <v>7601450</v>
      </c>
      <c r="D43" s="21">
        <v>24415</v>
      </c>
      <c r="E43" s="21" t="s">
        <v>149</v>
      </c>
      <c r="F43" s="21">
        <v>46055</v>
      </c>
      <c r="G43" s="21" t="s">
        <v>943</v>
      </c>
      <c r="H43" s="21" t="s">
        <v>237</v>
      </c>
      <c r="I43" s="21" t="s">
        <v>900</v>
      </c>
      <c r="J43" s="25">
        <v>3760</v>
      </c>
      <c r="K43" s="26">
        <v>3760</v>
      </c>
      <c r="L43" s="36">
        <v>42167.45</v>
      </c>
      <c r="M43" s="21" t="s">
        <v>901</v>
      </c>
      <c r="N43" s="3">
        <v>0.02</v>
      </c>
      <c r="O43" s="2">
        <f t="shared" si="0"/>
        <v>843.34899999999993</v>
      </c>
    </row>
    <row r="44" spans="2:15" x14ac:dyDescent="0.3">
      <c r="B44" s="21" t="s">
        <v>475</v>
      </c>
      <c r="C44" s="21">
        <v>7996683</v>
      </c>
      <c r="D44" s="21">
        <v>49894</v>
      </c>
      <c r="E44" s="21" t="s">
        <v>149</v>
      </c>
      <c r="F44" s="21">
        <v>46063</v>
      </c>
      <c r="G44" s="21" t="s">
        <v>944</v>
      </c>
      <c r="H44" s="21" t="s">
        <v>237</v>
      </c>
      <c r="I44" s="21" t="s">
        <v>900</v>
      </c>
      <c r="J44" s="25">
        <v>2375</v>
      </c>
      <c r="K44" s="26">
        <v>2375</v>
      </c>
      <c r="L44" s="36">
        <v>26637.55</v>
      </c>
      <c r="M44" s="21" t="s">
        <v>901</v>
      </c>
      <c r="N44" s="3">
        <v>0.02</v>
      </c>
      <c r="O44" s="2">
        <f t="shared" si="0"/>
        <v>532.75099999999998</v>
      </c>
    </row>
    <row r="45" spans="2:15" x14ac:dyDescent="0.3">
      <c r="B45" s="21" t="s">
        <v>475</v>
      </c>
      <c r="C45" s="21">
        <v>7996683</v>
      </c>
      <c r="D45" s="21">
        <v>49894</v>
      </c>
      <c r="E45" s="21" t="s">
        <v>151</v>
      </c>
      <c r="F45" s="21">
        <v>46063</v>
      </c>
      <c r="G45" s="21" t="s">
        <v>945</v>
      </c>
      <c r="H45" s="21" t="s">
        <v>237</v>
      </c>
      <c r="I45" s="21" t="s">
        <v>900</v>
      </c>
      <c r="J45" s="25">
        <v>166</v>
      </c>
      <c r="K45" s="26">
        <v>166</v>
      </c>
      <c r="L45" s="36">
        <v>16982.349999999999</v>
      </c>
      <c r="M45" s="21" t="s">
        <v>901</v>
      </c>
      <c r="N45" s="3">
        <v>0.02</v>
      </c>
      <c r="O45" s="2">
        <f t="shared" si="0"/>
        <v>339.64699999999999</v>
      </c>
    </row>
    <row r="46" spans="2:15" x14ac:dyDescent="0.3">
      <c r="B46" s="21" t="s">
        <v>475</v>
      </c>
      <c r="C46" s="21">
        <v>7996683</v>
      </c>
      <c r="D46" s="21">
        <v>49894</v>
      </c>
      <c r="E46" s="21" t="s">
        <v>468</v>
      </c>
      <c r="F46" s="21">
        <v>46076</v>
      </c>
      <c r="G46" s="21" t="s">
        <v>946</v>
      </c>
      <c r="H46" s="21" t="s">
        <v>237</v>
      </c>
      <c r="I46" s="21" t="s">
        <v>900</v>
      </c>
      <c r="J46" s="25">
        <v>2620</v>
      </c>
      <c r="K46" s="26">
        <v>2620</v>
      </c>
      <c r="L46" s="36">
        <v>26193.56</v>
      </c>
      <c r="M46" s="21" t="s">
        <v>901</v>
      </c>
      <c r="N46" s="3">
        <v>0.02</v>
      </c>
      <c r="O46" s="2">
        <f t="shared" si="0"/>
        <v>523.87120000000004</v>
      </c>
    </row>
    <row r="47" spans="2:15" x14ac:dyDescent="0.3">
      <c r="B47" s="21" t="s">
        <v>504</v>
      </c>
      <c r="C47" s="21">
        <v>8422420</v>
      </c>
      <c r="D47" s="21">
        <v>21468</v>
      </c>
      <c r="E47" s="21" t="s">
        <v>469</v>
      </c>
      <c r="F47" s="21">
        <v>46062</v>
      </c>
      <c r="G47" s="21" t="s">
        <v>947</v>
      </c>
      <c r="H47" s="21" t="s">
        <v>237</v>
      </c>
      <c r="I47" s="21" t="s">
        <v>900</v>
      </c>
      <c r="J47" s="25">
        <v>1100</v>
      </c>
      <c r="K47" s="26">
        <v>1100</v>
      </c>
      <c r="L47" s="36">
        <v>10476.549999999999</v>
      </c>
      <c r="M47" s="21" t="s">
        <v>901</v>
      </c>
      <c r="N47" s="3">
        <v>0.02</v>
      </c>
      <c r="O47" s="2">
        <f t="shared" si="0"/>
        <v>209.53099999999998</v>
      </c>
    </row>
    <row r="48" spans="2:15" x14ac:dyDescent="0.3">
      <c r="B48" s="21" t="s">
        <v>474</v>
      </c>
      <c r="C48" s="21">
        <v>8531047</v>
      </c>
      <c r="D48" s="21">
        <v>49894</v>
      </c>
      <c r="E48" s="21" t="s">
        <v>468</v>
      </c>
      <c r="F48" s="21">
        <v>46076</v>
      </c>
      <c r="G48" s="21" t="s">
        <v>948</v>
      </c>
      <c r="H48" s="21" t="s">
        <v>237</v>
      </c>
      <c r="I48" s="21" t="s">
        <v>927</v>
      </c>
      <c r="J48" s="25">
        <v>2250</v>
      </c>
      <c r="K48" s="26">
        <v>2250</v>
      </c>
      <c r="L48" s="36">
        <v>21233.65</v>
      </c>
      <c r="M48" s="21" t="s">
        <v>901</v>
      </c>
      <c r="N48" s="3">
        <v>0.02</v>
      </c>
      <c r="O48" s="2">
        <f t="shared" si="0"/>
        <v>424.67300000000006</v>
      </c>
    </row>
    <row r="49" spans="2:15" x14ac:dyDescent="0.3">
      <c r="B49" s="21" t="s">
        <v>474</v>
      </c>
      <c r="C49" s="21">
        <v>8531047</v>
      </c>
      <c r="D49" s="21">
        <v>49894</v>
      </c>
      <c r="E49" s="21" t="s">
        <v>468</v>
      </c>
      <c r="F49" s="21">
        <v>46076</v>
      </c>
      <c r="G49" s="21" t="s">
        <v>949</v>
      </c>
      <c r="H49" s="21" t="s">
        <v>237</v>
      </c>
      <c r="I49" s="21" t="s">
        <v>927</v>
      </c>
      <c r="J49" s="25">
        <v>400</v>
      </c>
      <c r="K49" s="26">
        <v>400</v>
      </c>
      <c r="L49" s="36">
        <v>3774.87</v>
      </c>
      <c r="M49" s="21" t="s">
        <v>901</v>
      </c>
      <c r="N49" s="3">
        <v>0.02</v>
      </c>
      <c r="O49" s="2">
        <f t="shared" si="0"/>
        <v>75.497399999999999</v>
      </c>
    </row>
    <row r="50" spans="2:15" x14ac:dyDescent="0.3">
      <c r="B50" s="21" t="s">
        <v>488</v>
      </c>
      <c r="C50" s="21">
        <v>8808528</v>
      </c>
      <c r="D50" s="21">
        <v>25619</v>
      </c>
      <c r="E50" s="21" t="s">
        <v>149</v>
      </c>
      <c r="F50" s="21">
        <v>46071</v>
      </c>
      <c r="G50" s="21" t="s">
        <v>950</v>
      </c>
      <c r="H50" s="21" t="s">
        <v>237</v>
      </c>
      <c r="I50" s="21" t="s">
        <v>900</v>
      </c>
      <c r="J50" s="25">
        <v>16500</v>
      </c>
      <c r="K50" s="26">
        <v>16500</v>
      </c>
      <c r="L50" s="36">
        <v>185071.13</v>
      </c>
      <c r="M50" s="21" t="s">
        <v>901</v>
      </c>
      <c r="N50" s="3">
        <v>0.02</v>
      </c>
      <c r="O50" s="2">
        <f t="shared" si="0"/>
        <v>3701.4226000000003</v>
      </c>
    </row>
    <row r="51" spans="2:15" x14ac:dyDescent="0.3">
      <c r="B51" s="21" t="s">
        <v>951</v>
      </c>
      <c r="C51" s="21">
        <v>9799059</v>
      </c>
      <c r="D51" s="21">
        <v>38675</v>
      </c>
      <c r="E51" s="21" t="s">
        <v>149</v>
      </c>
      <c r="F51" s="21">
        <v>46077</v>
      </c>
      <c r="G51" s="21" t="s">
        <v>952</v>
      </c>
      <c r="H51" s="21" t="s">
        <v>237</v>
      </c>
      <c r="I51" s="21" t="s">
        <v>900</v>
      </c>
      <c r="J51" s="25">
        <v>13964</v>
      </c>
      <c r="K51" s="26">
        <v>13964</v>
      </c>
      <c r="L51" s="36">
        <v>154745.93</v>
      </c>
      <c r="M51" s="21" t="s">
        <v>901</v>
      </c>
      <c r="N51" s="3">
        <v>0.02</v>
      </c>
      <c r="O51" s="2">
        <f t="shared" si="0"/>
        <v>3094.9186</v>
      </c>
    </row>
    <row r="52" spans="2:15" x14ac:dyDescent="0.3">
      <c r="B52" s="21" t="s">
        <v>501</v>
      </c>
      <c r="C52" s="21">
        <v>11732843</v>
      </c>
      <c r="D52" s="21">
        <v>96837</v>
      </c>
      <c r="E52" s="21" t="s">
        <v>149</v>
      </c>
      <c r="F52" s="21">
        <v>46064</v>
      </c>
      <c r="G52" s="21" t="s">
        <v>953</v>
      </c>
      <c r="H52" s="21" t="s">
        <v>237</v>
      </c>
      <c r="I52" s="21" t="s">
        <v>900</v>
      </c>
      <c r="J52" s="25">
        <v>184</v>
      </c>
      <c r="K52" s="26">
        <v>184</v>
      </c>
      <c r="L52" s="36">
        <v>2063.71</v>
      </c>
      <c r="M52" s="21" t="s">
        <v>901</v>
      </c>
      <c r="N52" s="3">
        <v>0.02</v>
      </c>
      <c r="O52" s="2">
        <f t="shared" si="0"/>
        <v>41.2742</v>
      </c>
    </row>
    <row r="53" spans="2:15" x14ac:dyDescent="0.3">
      <c r="B53" s="21" t="s">
        <v>473</v>
      </c>
      <c r="C53" s="21">
        <v>11815047</v>
      </c>
      <c r="D53" s="21">
        <v>24415</v>
      </c>
      <c r="E53" s="21" t="s">
        <v>149</v>
      </c>
      <c r="F53" s="21">
        <v>46076</v>
      </c>
      <c r="G53" s="21" t="s">
        <v>954</v>
      </c>
      <c r="H53" s="21" t="s">
        <v>237</v>
      </c>
      <c r="I53" s="21" t="s">
        <v>900</v>
      </c>
      <c r="J53" s="25">
        <v>4680</v>
      </c>
      <c r="K53" s="26">
        <v>4680</v>
      </c>
      <c r="L53" s="36">
        <v>51861.74</v>
      </c>
      <c r="M53" s="21" t="s">
        <v>901</v>
      </c>
      <c r="N53" s="3">
        <v>0.02</v>
      </c>
      <c r="O53" s="2">
        <f t="shared" si="0"/>
        <v>1037.2348</v>
      </c>
    </row>
    <row r="54" spans="2:15" x14ac:dyDescent="0.3">
      <c r="B54" s="21" t="s">
        <v>502</v>
      </c>
      <c r="C54" s="21">
        <v>14573957</v>
      </c>
      <c r="D54" s="21">
        <v>49894</v>
      </c>
      <c r="E54" s="21" t="s">
        <v>149</v>
      </c>
      <c r="F54" s="21">
        <v>46063</v>
      </c>
      <c r="G54" s="21" t="s">
        <v>955</v>
      </c>
      <c r="H54" s="21" t="s">
        <v>237</v>
      </c>
      <c r="I54" s="21" t="s">
        <v>900</v>
      </c>
      <c r="J54" s="25">
        <v>2800</v>
      </c>
      <c r="K54" s="26">
        <v>2800</v>
      </c>
      <c r="L54" s="36">
        <v>31403.15</v>
      </c>
      <c r="M54" s="21" t="s">
        <v>901</v>
      </c>
      <c r="N54" s="3">
        <v>0.02</v>
      </c>
      <c r="O54" s="2">
        <f t="shared" si="0"/>
        <v>628.06299999999999</v>
      </c>
    </row>
    <row r="55" spans="2:15" x14ac:dyDescent="0.3">
      <c r="B55" s="21" t="s">
        <v>956</v>
      </c>
      <c r="C55" s="21">
        <v>15055794</v>
      </c>
      <c r="D55" s="21">
        <v>49894</v>
      </c>
      <c r="E55" s="21" t="s">
        <v>149</v>
      </c>
      <c r="F55" s="21">
        <v>46078</v>
      </c>
      <c r="G55" s="21" t="s">
        <v>957</v>
      </c>
      <c r="H55" s="21" t="s">
        <v>237</v>
      </c>
      <c r="I55" s="21" t="s">
        <v>900</v>
      </c>
      <c r="J55" s="25">
        <v>7600</v>
      </c>
      <c r="K55" s="26">
        <v>7600</v>
      </c>
      <c r="L55" s="36">
        <v>83463.100000000006</v>
      </c>
      <c r="M55" s="21" t="s">
        <v>901</v>
      </c>
      <c r="N55" s="3">
        <v>0.02</v>
      </c>
      <c r="O55" s="2">
        <f t="shared" si="0"/>
        <v>1669.2620000000002</v>
      </c>
    </row>
    <row r="56" spans="2:15" x14ac:dyDescent="0.3">
      <c r="B56" s="21" t="s">
        <v>495</v>
      </c>
      <c r="C56" s="21">
        <v>15886665</v>
      </c>
      <c r="D56" s="21">
        <v>49894</v>
      </c>
      <c r="E56" s="21" t="s">
        <v>149</v>
      </c>
      <c r="F56" s="21">
        <v>46066</v>
      </c>
      <c r="G56" s="21" t="s">
        <v>958</v>
      </c>
      <c r="H56" s="21" t="s">
        <v>237</v>
      </c>
      <c r="I56" s="21" t="s">
        <v>900</v>
      </c>
      <c r="J56" s="25">
        <v>980</v>
      </c>
      <c r="K56" s="26">
        <v>980</v>
      </c>
      <c r="L56" s="36">
        <v>10991.9</v>
      </c>
      <c r="M56" s="21" t="s">
        <v>901</v>
      </c>
      <c r="N56" s="3">
        <v>0.02</v>
      </c>
      <c r="O56" s="2">
        <f t="shared" si="0"/>
        <v>219.83799999999999</v>
      </c>
    </row>
    <row r="57" spans="2:15" x14ac:dyDescent="0.3">
      <c r="B57" s="21" t="s">
        <v>959</v>
      </c>
      <c r="C57" s="21">
        <v>15974702</v>
      </c>
      <c r="D57" s="21">
        <v>25619</v>
      </c>
      <c r="E57" s="21" t="s">
        <v>149</v>
      </c>
      <c r="F57" s="21">
        <v>46078</v>
      </c>
      <c r="G57" s="21" t="s">
        <v>960</v>
      </c>
      <c r="H57" s="21" t="s">
        <v>237</v>
      </c>
      <c r="I57" s="21" t="s">
        <v>900</v>
      </c>
      <c r="J57" s="25">
        <v>4000</v>
      </c>
      <c r="K57" s="26">
        <v>4000</v>
      </c>
      <c r="L57" s="36">
        <v>43927.95</v>
      </c>
      <c r="M57" s="21" t="s">
        <v>901</v>
      </c>
      <c r="N57" s="3">
        <v>0.02</v>
      </c>
      <c r="O57" s="2">
        <f t="shared" si="0"/>
        <v>878.55899999999997</v>
      </c>
    </row>
    <row r="58" spans="2:15" x14ac:dyDescent="0.3">
      <c r="B58" s="21" t="s">
        <v>476</v>
      </c>
      <c r="C58" s="21">
        <v>16951165</v>
      </c>
      <c r="D58" s="21">
        <v>49894</v>
      </c>
      <c r="E58" s="21" t="s">
        <v>152</v>
      </c>
      <c r="F58" s="21">
        <v>46061</v>
      </c>
      <c r="G58" s="21" t="s">
        <v>961</v>
      </c>
      <c r="H58" s="21" t="s">
        <v>237</v>
      </c>
      <c r="I58" s="21" t="s">
        <v>900</v>
      </c>
      <c r="J58" s="25">
        <v>170</v>
      </c>
      <c r="K58" s="26">
        <v>170</v>
      </c>
      <c r="L58" s="36">
        <v>17784.41</v>
      </c>
      <c r="M58" s="21" t="s">
        <v>901</v>
      </c>
      <c r="N58" s="3">
        <v>0.02</v>
      </c>
      <c r="O58" s="2">
        <f t="shared" si="0"/>
        <v>355.68819999999999</v>
      </c>
    </row>
    <row r="59" spans="2:15" x14ac:dyDescent="0.3">
      <c r="B59" s="21" t="s">
        <v>476</v>
      </c>
      <c r="C59" s="21">
        <v>16951165</v>
      </c>
      <c r="D59" s="21">
        <v>49894</v>
      </c>
      <c r="E59" s="21" t="s">
        <v>151</v>
      </c>
      <c r="F59" s="21">
        <v>46061</v>
      </c>
      <c r="G59" s="21" t="s">
        <v>962</v>
      </c>
      <c r="H59" s="21" t="s">
        <v>237</v>
      </c>
      <c r="I59" s="21" t="s">
        <v>900</v>
      </c>
      <c r="J59" s="25">
        <v>410</v>
      </c>
      <c r="K59" s="26">
        <v>410</v>
      </c>
      <c r="L59" s="36">
        <v>41944.36</v>
      </c>
      <c r="M59" s="21" t="s">
        <v>901</v>
      </c>
      <c r="N59" s="3">
        <v>0.02</v>
      </c>
      <c r="O59" s="2">
        <f t="shared" si="0"/>
        <v>838.88720000000001</v>
      </c>
    </row>
    <row r="60" spans="2:15" x14ac:dyDescent="0.3">
      <c r="B60" s="21" t="s">
        <v>476</v>
      </c>
      <c r="C60" s="21">
        <v>16951165</v>
      </c>
      <c r="D60" s="21">
        <v>49894</v>
      </c>
      <c r="E60" s="21" t="s">
        <v>149</v>
      </c>
      <c r="F60" s="21">
        <v>46061</v>
      </c>
      <c r="G60" s="21" t="s">
        <v>963</v>
      </c>
      <c r="H60" s="21" t="s">
        <v>237</v>
      </c>
      <c r="I60" s="21" t="s">
        <v>900</v>
      </c>
      <c r="J60" s="25">
        <v>3800</v>
      </c>
      <c r="K60" s="26">
        <v>3800</v>
      </c>
      <c r="L60" s="36">
        <v>42619.22</v>
      </c>
      <c r="M60" s="21" t="s">
        <v>901</v>
      </c>
      <c r="N60" s="3">
        <v>0.02</v>
      </c>
      <c r="O60" s="2">
        <f t="shared" si="0"/>
        <v>852.38440000000003</v>
      </c>
    </row>
    <row r="61" spans="2:15" x14ac:dyDescent="0.3">
      <c r="B61" s="21" t="s">
        <v>476</v>
      </c>
      <c r="C61" s="21">
        <v>16951165</v>
      </c>
      <c r="D61" s="21">
        <v>49894</v>
      </c>
      <c r="E61" s="21" t="s">
        <v>468</v>
      </c>
      <c r="F61" s="21">
        <v>46076</v>
      </c>
      <c r="G61" s="21" t="s">
        <v>964</v>
      </c>
      <c r="H61" s="21" t="s">
        <v>237</v>
      </c>
      <c r="I61" s="21" t="s">
        <v>927</v>
      </c>
      <c r="J61" s="25">
        <v>7388</v>
      </c>
      <c r="K61" s="26">
        <v>7388</v>
      </c>
      <c r="L61" s="36">
        <v>69721.88</v>
      </c>
      <c r="M61" s="21" t="s">
        <v>901</v>
      </c>
      <c r="N61" s="3">
        <v>0.02</v>
      </c>
      <c r="O61" s="2">
        <f t="shared" si="0"/>
        <v>1394.4376000000002</v>
      </c>
    </row>
    <row r="62" spans="2:15" x14ac:dyDescent="0.3">
      <c r="B62" t="s">
        <v>800</v>
      </c>
      <c r="C62">
        <v>16951176</v>
      </c>
      <c r="D62" s="21">
        <v>49894</v>
      </c>
      <c r="E62" t="s">
        <v>468</v>
      </c>
      <c r="F62">
        <v>46078</v>
      </c>
      <c r="G62" t="s">
        <v>965</v>
      </c>
      <c r="H62" t="s">
        <v>237</v>
      </c>
      <c r="I62" t="s">
        <v>900</v>
      </c>
      <c r="J62">
        <v>600</v>
      </c>
      <c r="K62">
        <v>600</v>
      </c>
      <c r="L62" s="2">
        <v>6009.65</v>
      </c>
      <c r="M62" t="s">
        <v>901</v>
      </c>
      <c r="N62" s="3">
        <v>0.02</v>
      </c>
      <c r="O62" s="2">
        <f t="shared" si="0"/>
        <v>120.193</v>
      </c>
    </row>
    <row r="63" spans="2:15" x14ac:dyDescent="0.3">
      <c r="B63" t="s">
        <v>800</v>
      </c>
      <c r="C63">
        <v>16951176</v>
      </c>
      <c r="D63" s="21">
        <v>49894</v>
      </c>
      <c r="E63" t="s">
        <v>468</v>
      </c>
      <c r="F63">
        <v>46078</v>
      </c>
      <c r="G63" t="s">
        <v>966</v>
      </c>
      <c r="H63" t="s">
        <v>237</v>
      </c>
      <c r="I63" t="s">
        <v>900</v>
      </c>
      <c r="J63">
        <v>2500.6</v>
      </c>
      <c r="K63">
        <v>2500.6</v>
      </c>
      <c r="L63" s="2">
        <v>25046.22</v>
      </c>
      <c r="M63" t="s">
        <v>901</v>
      </c>
      <c r="N63" s="3">
        <v>0.02</v>
      </c>
      <c r="O63" s="2">
        <f t="shared" si="0"/>
        <v>500.92440000000005</v>
      </c>
    </row>
    <row r="64" spans="2:15" x14ac:dyDescent="0.3">
      <c r="B64" t="s">
        <v>506</v>
      </c>
      <c r="C64">
        <v>18468419</v>
      </c>
      <c r="D64" s="21">
        <v>72444</v>
      </c>
      <c r="E64" t="s">
        <v>510</v>
      </c>
      <c r="F64">
        <v>46058</v>
      </c>
      <c r="G64" t="s">
        <v>967</v>
      </c>
      <c r="H64" t="s">
        <v>237</v>
      </c>
      <c r="I64" t="s">
        <v>900</v>
      </c>
      <c r="J64">
        <v>47</v>
      </c>
      <c r="K64">
        <v>47</v>
      </c>
      <c r="L64" s="2">
        <v>4765.0200000000004</v>
      </c>
      <c r="M64" t="s">
        <v>901</v>
      </c>
      <c r="N64" s="3">
        <v>0.02</v>
      </c>
      <c r="O64" s="2">
        <f t="shared" si="0"/>
        <v>95.30040000000001</v>
      </c>
    </row>
    <row r="65" spans="2:15" x14ac:dyDescent="0.3">
      <c r="B65" t="s">
        <v>492</v>
      </c>
      <c r="C65">
        <v>18517819</v>
      </c>
      <c r="D65" s="21">
        <v>49894</v>
      </c>
      <c r="E65" t="s">
        <v>149</v>
      </c>
      <c r="F65">
        <v>46069</v>
      </c>
      <c r="G65" t="s">
        <v>968</v>
      </c>
      <c r="H65" t="s">
        <v>237</v>
      </c>
      <c r="I65" t="s">
        <v>900</v>
      </c>
      <c r="J65">
        <v>1840</v>
      </c>
      <c r="K65">
        <v>1840</v>
      </c>
      <c r="L65" s="2">
        <v>20638.240000000002</v>
      </c>
      <c r="M65" t="s">
        <v>901</v>
      </c>
      <c r="N65" s="3">
        <v>0.02</v>
      </c>
      <c r="O65" s="2">
        <f t="shared" si="0"/>
        <v>412.76480000000004</v>
      </c>
    </row>
    <row r="66" spans="2:15" x14ac:dyDescent="0.3">
      <c r="B66" t="s">
        <v>486</v>
      </c>
      <c r="C66">
        <v>18729077</v>
      </c>
      <c r="D66" s="21">
        <v>49894</v>
      </c>
      <c r="E66" t="s">
        <v>468</v>
      </c>
      <c r="F66">
        <v>46071</v>
      </c>
      <c r="G66" t="s">
        <v>969</v>
      </c>
      <c r="H66" t="s">
        <v>237</v>
      </c>
      <c r="I66" t="s">
        <v>900</v>
      </c>
      <c r="J66">
        <v>1144.5719999999999</v>
      </c>
      <c r="K66">
        <v>1144.5719999999999</v>
      </c>
      <c r="L66" s="2">
        <v>11429.15</v>
      </c>
      <c r="M66" t="s">
        <v>901</v>
      </c>
      <c r="N66" s="3">
        <v>0.02</v>
      </c>
      <c r="O66" s="2">
        <f t="shared" si="0"/>
        <v>228.583</v>
      </c>
    </row>
    <row r="67" spans="2:15" x14ac:dyDescent="0.3">
      <c r="B67" t="s">
        <v>486</v>
      </c>
      <c r="C67">
        <v>18729077</v>
      </c>
      <c r="D67" s="21">
        <v>49894</v>
      </c>
      <c r="E67" t="s">
        <v>468</v>
      </c>
      <c r="F67">
        <v>46072</v>
      </c>
      <c r="G67" t="s">
        <v>970</v>
      </c>
      <c r="H67" t="s">
        <v>237</v>
      </c>
      <c r="I67" t="s">
        <v>900</v>
      </c>
      <c r="J67">
        <v>1300</v>
      </c>
      <c r="K67">
        <v>1300</v>
      </c>
      <c r="L67" s="2">
        <v>12981.18</v>
      </c>
      <c r="M67" t="s">
        <v>901</v>
      </c>
      <c r="N67" s="3">
        <v>0.02</v>
      </c>
      <c r="O67" s="2">
        <f t="shared" si="0"/>
        <v>259.62360000000001</v>
      </c>
    </row>
    <row r="68" spans="2:15" x14ac:dyDescent="0.3">
      <c r="B68" t="s">
        <v>489</v>
      </c>
      <c r="C68">
        <v>18871519</v>
      </c>
      <c r="D68" s="21">
        <v>74304</v>
      </c>
      <c r="E68" t="s">
        <v>149</v>
      </c>
      <c r="F68">
        <v>46071</v>
      </c>
      <c r="G68" t="s">
        <v>971</v>
      </c>
      <c r="H68" t="s">
        <v>237</v>
      </c>
      <c r="I68" t="s">
        <v>900</v>
      </c>
      <c r="J68">
        <v>1800</v>
      </c>
      <c r="K68">
        <v>1800</v>
      </c>
      <c r="L68" s="2">
        <v>20189.580000000002</v>
      </c>
      <c r="M68" t="s">
        <v>901</v>
      </c>
      <c r="N68" s="3">
        <v>0.02</v>
      </c>
      <c r="O68" s="2">
        <f t="shared" ref="O68:O70" si="1">N68*L68</f>
        <v>403.79160000000002</v>
      </c>
    </row>
    <row r="69" spans="2:15" x14ac:dyDescent="0.3">
      <c r="B69" t="s">
        <v>489</v>
      </c>
      <c r="C69">
        <v>18871519</v>
      </c>
      <c r="D69" s="21">
        <v>74304</v>
      </c>
      <c r="E69" t="s">
        <v>151</v>
      </c>
      <c r="F69">
        <v>46077</v>
      </c>
      <c r="G69" t="s">
        <v>972</v>
      </c>
      <c r="H69" t="s">
        <v>237</v>
      </c>
      <c r="I69" t="s">
        <v>900</v>
      </c>
      <c r="J69">
        <v>107</v>
      </c>
      <c r="K69">
        <v>107</v>
      </c>
      <c r="L69" s="2">
        <v>10989.42</v>
      </c>
      <c r="M69" t="s">
        <v>901</v>
      </c>
      <c r="N69" s="3">
        <v>0.02</v>
      </c>
      <c r="O69" s="2">
        <f t="shared" si="1"/>
        <v>219.7884</v>
      </c>
    </row>
    <row r="70" spans="2:15" x14ac:dyDescent="0.3">
      <c r="B70" t="s">
        <v>477</v>
      </c>
      <c r="C70">
        <v>18872460</v>
      </c>
      <c r="D70" s="21">
        <v>74304</v>
      </c>
      <c r="E70" t="s">
        <v>149</v>
      </c>
      <c r="F70">
        <v>46076</v>
      </c>
      <c r="G70" t="s">
        <v>973</v>
      </c>
      <c r="H70" t="s">
        <v>237</v>
      </c>
      <c r="I70" t="s">
        <v>900</v>
      </c>
      <c r="J70">
        <v>4510</v>
      </c>
      <c r="K70">
        <v>4510</v>
      </c>
      <c r="L70" s="2">
        <v>49977.88</v>
      </c>
      <c r="M70" t="s">
        <v>901</v>
      </c>
      <c r="N70" s="3">
        <v>0.02</v>
      </c>
      <c r="O70" s="2">
        <f t="shared" si="1"/>
        <v>999.55759999999998</v>
      </c>
    </row>
  </sheetData>
  <autoFilter ref="B2:M28" xr:uid="{29A53C1D-71E2-4B3F-B3E6-A6B2DF44A669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ACBB-3A78-4316-91FE-4DEF05C60045}">
  <sheetPr codeName="Planilha9"/>
  <dimension ref="B2:K61"/>
  <sheetViews>
    <sheetView workbookViewId="0">
      <selection activeCell="E9" sqref="E9"/>
    </sheetView>
  </sheetViews>
  <sheetFormatPr defaultRowHeight="14.4" x14ac:dyDescent="0.3"/>
  <cols>
    <col min="2" max="2" width="18" bestFit="1" customWidth="1"/>
    <col min="3" max="3" width="16" bestFit="1" customWidth="1"/>
    <col min="4" max="4" width="10.6640625" bestFit="1" customWidth="1"/>
    <col min="5" max="5" width="72.44140625" bestFit="1" customWidth="1"/>
    <col min="6" max="6" width="10.33203125" bestFit="1" customWidth="1"/>
    <col min="7" max="7" width="8.109375" bestFit="1" customWidth="1"/>
    <col min="8" max="8" width="10.44140625" bestFit="1" customWidth="1"/>
    <col min="9" max="9" width="40" bestFit="1" customWidth="1"/>
    <col min="10" max="10" width="11.5546875" bestFit="1" customWidth="1"/>
    <col min="11" max="11" width="10.44140625" bestFit="1" customWidth="1"/>
  </cols>
  <sheetData>
    <row r="2" spans="2:11" x14ac:dyDescent="0.3">
      <c r="B2" t="s">
        <v>208</v>
      </c>
      <c r="C2" t="s">
        <v>168</v>
      </c>
      <c r="D2" t="s">
        <v>219</v>
      </c>
      <c r="E2" t="s">
        <v>132</v>
      </c>
      <c r="F2" t="s">
        <v>0</v>
      </c>
      <c r="G2" t="s">
        <v>218</v>
      </c>
      <c r="H2" t="s">
        <v>217</v>
      </c>
      <c r="I2" t="s">
        <v>216</v>
      </c>
      <c r="J2" t="s">
        <v>215</v>
      </c>
      <c r="K2" t="s">
        <v>220</v>
      </c>
    </row>
    <row r="3" spans="2:11" x14ac:dyDescent="0.3">
      <c r="B3">
        <v>21468</v>
      </c>
      <c r="C3">
        <v>1579</v>
      </c>
      <c r="D3" t="s">
        <v>213</v>
      </c>
      <c r="E3" t="s">
        <v>878</v>
      </c>
      <c r="F3" t="s">
        <v>879</v>
      </c>
      <c r="G3" t="s">
        <v>880</v>
      </c>
      <c r="H3" s="2">
        <v>3000</v>
      </c>
      <c r="I3" t="s">
        <v>212</v>
      </c>
      <c r="J3" s="16">
        <v>4.4999999999999998E-2</v>
      </c>
      <c r="K3" s="2">
        <f>H3*J3</f>
        <v>135</v>
      </c>
    </row>
    <row r="4" spans="2:11" x14ac:dyDescent="0.3">
      <c r="B4">
        <v>23648</v>
      </c>
      <c r="C4">
        <v>2716663</v>
      </c>
      <c r="D4" t="s">
        <v>213</v>
      </c>
      <c r="E4" t="s">
        <v>881</v>
      </c>
      <c r="F4" t="s">
        <v>882</v>
      </c>
      <c r="G4" t="s">
        <v>883</v>
      </c>
      <c r="H4" s="2">
        <v>11900</v>
      </c>
      <c r="I4" t="s">
        <v>212</v>
      </c>
      <c r="J4" s="16">
        <v>4.4999999999999998E-2</v>
      </c>
      <c r="K4" s="2">
        <f t="shared" ref="K4:K6" si="0">H4*J4</f>
        <v>535.5</v>
      </c>
    </row>
    <row r="5" spans="2:11" x14ac:dyDescent="0.3">
      <c r="B5">
        <v>23648</v>
      </c>
      <c r="C5">
        <v>4234049</v>
      </c>
      <c r="D5" t="s">
        <v>213</v>
      </c>
      <c r="E5" t="s">
        <v>884</v>
      </c>
      <c r="F5" t="s">
        <v>882</v>
      </c>
      <c r="G5" t="s">
        <v>885</v>
      </c>
      <c r="H5" s="2">
        <v>20000</v>
      </c>
      <c r="I5" t="s">
        <v>212</v>
      </c>
      <c r="J5" s="3">
        <v>0.02</v>
      </c>
      <c r="K5" s="2">
        <f t="shared" si="0"/>
        <v>400</v>
      </c>
    </row>
    <row r="6" spans="2:11" x14ac:dyDescent="0.3">
      <c r="B6">
        <v>21468</v>
      </c>
      <c r="C6">
        <v>4925492</v>
      </c>
      <c r="D6" t="s">
        <v>213</v>
      </c>
      <c r="E6" t="s">
        <v>886</v>
      </c>
      <c r="F6" t="s">
        <v>887</v>
      </c>
      <c r="G6" t="s">
        <v>888</v>
      </c>
      <c r="H6" s="2">
        <v>5000</v>
      </c>
      <c r="I6" t="s">
        <v>214</v>
      </c>
      <c r="J6" s="3">
        <v>0.04</v>
      </c>
      <c r="K6" s="2">
        <f t="shared" si="0"/>
        <v>200</v>
      </c>
    </row>
    <row r="7" spans="2:11" x14ac:dyDescent="0.3">
      <c r="J7" s="16"/>
      <c r="K7" s="2"/>
    </row>
    <row r="8" spans="2:11" x14ac:dyDescent="0.3">
      <c r="J8" s="16"/>
      <c r="K8" s="2"/>
    </row>
    <row r="9" spans="2:11" x14ac:dyDescent="0.3">
      <c r="J9" s="16"/>
      <c r="K9" s="2"/>
    </row>
    <row r="10" spans="2:11" x14ac:dyDescent="0.3">
      <c r="J10" s="16"/>
      <c r="K10" s="2"/>
    </row>
    <row r="11" spans="2:11" x14ac:dyDescent="0.3">
      <c r="J11" s="16"/>
      <c r="K11" s="2"/>
    </row>
    <row r="12" spans="2:11" x14ac:dyDescent="0.3">
      <c r="J12" s="16"/>
      <c r="K12" s="2"/>
    </row>
    <row r="13" spans="2:11" x14ac:dyDescent="0.3">
      <c r="J13" s="16"/>
      <c r="K13" s="2"/>
    </row>
    <row r="14" spans="2:11" x14ac:dyDescent="0.3">
      <c r="J14" s="16"/>
      <c r="K14" s="2"/>
    </row>
    <row r="15" spans="2:11" x14ac:dyDescent="0.3">
      <c r="J15" s="16"/>
      <c r="K15" s="2"/>
    </row>
    <row r="16" spans="2:11" x14ac:dyDescent="0.3">
      <c r="J16" s="16"/>
      <c r="K16" s="2"/>
    </row>
    <row r="17" spans="10:11" x14ac:dyDescent="0.3">
      <c r="J17" s="16"/>
      <c r="K17" s="2"/>
    </row>
    <row r="18" spans="10:11" x14ac:dyDescent="0.3">
      <c r="J18" s="16"/>
      <c r="K18" s="2"/>
    </row>
    <row r="19" spans="10:11" x14ac:dyDescent="0.3">
      <c r="J19" s="16"/>
      <c r="K19" s="2"/>
    </row>
    <row r="20" spans="10:11" x14ac:dyDescent="0.3">
      <c r="J20" s="16"/>
      <c r="K20" s="2"/>
    </row>
    <row r="21" spans="10:11" x14ac:dyDescent="0.3">
      <c r="J21" s="16"/>
      <c r="K21" s="2"/>
    </row>
    <row r="22" spans="10:11" x14ac:dyDescent="0.3">
      <c r="J22" s="16"/>
      <c r="K22" s="2"/>
    </row>
    <row r="23" spans="10:11" x14ac:dyDescent="0.3">
      <c r="J23" s="16"/>
      <c r="K23" s="2"/>
    </row>
    <row r="24" spans="10:11" x14ac:dyDescent="0.3">
      <c r="J24" s="16"/>
      <c r="K24" s="2"/>
    </row>
    <row r="25" spans="10:11" x14ac:dyDescent="0.3">
      <c r="J25" s="16"/>
      <c r="K25" s="2"/>
    </row>
    <row r="26" spans="10:11" x14ac:dyDescent="0.3">
      <c r="J26" s="16"/>
      <c r="K26" s="2"/>
    </row>
    <row r="27" spans="10:11" x14ac:dyDescent="0.3">
      <c r="J27" s="16"/>
      <c r="K27" s="2"/>
    </row>
    <row r="28" spans="10:11" x14ac:dyDescent="0.3">
      <c r="J28" s="16"/>
      <c r="K28" s="2"/>
    </row>
    <row r="29" spans="10:11" x14ac:dyDescent="0.3">
      <c r="J29" s="16"/>
      <c r="K29" s="2"/>
    </row>
    <row r="30" spans="10:11" x14ac:dyDescent="0.3">
      <c r="J30" s="16"/>
      <c r="K30" s="2"/>
    </row>
    <row r="31" spans="10:11" x14ac:dyDescent="0.3">
      <c r="J31" s="16"/>
      <c r="K31" s="2"/>
    </row>
    <row r="32" spans="10:11" x14ac:dyDescent="0.3">
      <c r="J32" s="16"/>
      <c r="K32" s="2"/>
    </row>
    <row r="33" spans="10:11" x14ac:dyDescent="0.3">
      <c r="J33" s="16"/>
      <c r="K33" s="2"/>
    </row>
    <row r="34" spans="10:11" x14ac:dyDescent="0.3">
      <c r="J34" s="16"/>
      <c r="K34" s="2"/>
    </row>
    <row r="35" spans="10:11" x14ac:dyDescent="0.3">
      <c r="J35" s="16"/>
      <c r="K35" s="2"/>
    </row>
    <row r="36" spans="10:11" x14ac:dyDescent="0.3">
      <c r="J36" s="16"/>
      <c r="K36" s="2"/>
    </row>
    <row r="37" spans="10:11" x14ac:dyDescent="0.3">
      <c r="J37" s="16"/>
      <c r="K37" s="2"/>
    </row>
    <row r="38" spans="10:11" x14ac:dyDescent="0.3">
      <c r="J38" s="16"/>
      <c r="K38" s="2"/>
    </row>
    <row r="39" spans="10:11" x14ac:dyDescent="0.3">
      <c r="J39" s="16"/>
      <c r="K39" s="2"/>
    </row>
    <row r="40" spans="10:11" x14ac:dyDescent="0.3">
      <c r="J40" s="16"/>
      <c r="K40" s="2"/>
    </row>
    <row r="41" spans="10:11" x14ac:dyDescent="0.3">
      <c r="J41" s="16"/>
      <c r="K41" s="2"/>
    </row>
    <row r="42" spans="10:11" x14ac:dyDescent="0.3">
      <c r="J42" s="16"/>
      <c r="K42" s="2"/>
    </row>
    <row r="43" spans="10:11" x14ac:dyDescent="0.3">
      <c r="J43" s="16"/>
      <c r="K43" s="2"/>
    </row>
    <row r="44" spans="10:11" x14ac:dyDescent="0.3">
      <c r="J44" s="16"/>
      <c r="K44" s="2"/>
    </row>
    <row r="45" spans="10:11" x14ac:dyDescent="0.3">
      <c r="J45" s="16"/>
      <c r="K45" s="2"/>
    </row>
    <row r="46" spans="10:11" x14ac:dyDescent="0.3">
      <c r="J46" s="16"/>
      <c r="K46" s="2"/>
    </row>
    <row r="47" spans="10:11" x14ac:dyDescent="0.3">
      <c r="J47" s="16"/>
      <c r="K47" s="2"/>
    </row>
    <row r="48" spans="10:11" x14ac:dyDescent="0.3">
      <c r="J48" s="16"/>
      <c r="K48" s="2"/>
    </row>
    <row r="49" spans="10:11" x14ac:dyDescent="0.3">
      <c r="J49" s="3"/>
      <c r="K49" s="2"/>
    </row>
    <row r="50" spans="10:11" x14ac:dyDescent="0.3">
      <c r="J50" s="16"/>
      <c r="K50" s="2"/>
    </row>
    <row r="51" spans="10:11" x14ac:dyDescent="0.3">
      <c r="J51" s="16"/>
      <c r="K51" s="2"/>
    </row>
    <row r="52" spans="10:11" x14ac:dyDescent="0.3">
      <c r="J52" s="16"/>
      <c r="K52" s="2"/>
    </row>
    <row r="53" spans="10:11" x14ac:dyDescent="0.3">
      <c r="J53" s="16"/>
      <c r="K53" s="2"/>
    </row>
    <row r="54" spans="10:11" x14ac:dyDescent="0.3">
      <c r="J54" s="16"/>
      <c r="K54" s="2"/>
    </row>
    <row r="55" spans="10:11" x14ac:dyDescent="0.3">
      <c r="J55" s="16"/>
      <c r="K55" s="2"/>
    </row>
    <row r="56" spans="10:11" x14ac:dyDescent="0.3">
      <c r="J56" s="16"/>
      <c r="K56" s="2"/>
    </row>
    <row r="57" spans="10:11" x14ac:dyDescent="0.3">
      <c r="J57" s="16"/>
      <c r="K57" s="2"/>
    </row>
    <row r="58" spans="10:11" x14ac:dyDescent="0.3">
      <c r="J58" s="16"/>
      <c r="K58" s="2"/>
    </row>
    <row r="59" spans="10:11" x14ac:dyDescent="0.3">
      <c r="J59" s="16"/>
      <c r="K59" s="2"/>
    </row>
    <row r="60" spans="10:11" x14ac:dyDescent="0.3">
      <c r="J60" s="16"/>
      <c r="K60" s="2"/>
    </row>
    <row r="61" spans="10:11" x14ac:dyDescent="0.3">
      <c r="J61" s="16"/>
      <c r="K61" s="2"/>
    </row>
  </sheetData>
  <autoFilter ref="B2:K61" xr:uid="{D14DACBB-3A78-4316-91FE-4DEF05C6004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CONSOLIDADO</vt:lpstr>
      <vt:lpstr>CONSOLIDADO (3)</vt:lpstr>
      <vt:lpstr>SECUNDÁRIO RF</vt:lpstr>
      <vt:lpstr>PRIMARIO RF</vt:lpstr>
      <vt:lpstr>RENDA VARIAVEL | CORRETAGEM</vt:lpstr>
      <vt:lpstr>RENDA VARIAVEL | ESTRUTURADAS</vt:lpstr>
      <vt:lpstr>CÂMBIO</vt:lpstr>
      <vt:lpstr>FUNDOS FECHADOS</vt:lpstr>
      <vt:lpstr>SECUNDARIO FUNDOS</vt:lpstr>
      <vt:lpstr>COE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Della Torre</dc:creator>
  <cp:lastModifiedBy>Artur Choté</cp:lastModifiedBy>
  <dcterms:created xsi:type="dcterms:W3CDTF">2026-01-29T11:38:54Z</dcterms:created>
  <dcterms:modified xsi:type="dcterms:W3CDTF">2026-02-26T21:49:08Z</dcterms:modified>
</cp:coreProperties>
</file>